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24"/>
  <workbookPr autoCompressPictures="0"/>
  <bookViews>
    <workbookView xWindow="0" yWindow="0" windowWidth="29120" windowHeight="17900" activeTab="6"/>
  </bookViews>
  <sheets>
    <sheet name="ReadMe" sheetId="8" r:id="rId1"/>
    <sheet name="Summary" sheetId="6" r:id="rId2"/>
    <sheet name="Transcriptome" sheetId="1" r:id="rId3"/>
    <sheet name="Proteome" sheetId="2" r:id="rId4"/>
    <sheet name="Consensus Phospho site" sheetId="3" r:id="rId5"/>
    <sheet name="AVP Regulation (PTM &amp; Ca-cAMP" sheetId="4" r:id="rId6"/>
    <sheet name="AQP2 Colocalization" sheetId="5" r:id="rId7"/>
  </sheets>
  <definedNames>
    <definedName name="_xlnm._FilterDatabase" localSheetId="2" hidden="1">Transcriptome!$G$1:$G$2080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311" i="2" l="1"/>
  <c r="G311" i="2"/>
  <c r="F2" i="2"/>
  <c r="G2" i="2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203" i="2"/>
  <c r="G203" i="2"/>
  <c r="F204" i="2"/>
  <c r="G204" i="2"/>
  <c r="F205" i="2"/>
  <c r="G205" i="2"/>
  <c r="F206" i="2"/>
  <c r="G206" i="2"/>
  <c r="F207" i="2"/>
  <c r="G207" i="2"/>
  <c r="F208" i="2"/>
  <c r="G208" i="2"/>
  <c r="F209" i="2"/>
  <c r="G209" i="2"/>
  <c r="F210" i="2"/>
  <c r="G210" i="2"/>
  <c r="F211" i="2"/>
  <c r="G211" i="2"/>
  <c r="F212" i="2"/>
  <c r="G212" i="2"/>
  <c r="F213" i="2"/>
  <c r="G213" i="2"/>
  <c r="F214" i="2"/>
  <c r="G214" i="2"/>
  <c r="F215" i="2"/>
  <c r="G215" i="2"/>
  <c r="F216" i="2"/>
  <c r="G216" i="2"/>
  <c r="F217" i="2"/>
  <c r="G217" i="2"/>
  <c r="F218" i="2"/>
  <c r="G218" i="2"/>
  <c r="F219" i="2"/>
  <c r="G219" i="2"/>
  <c r="F220" i="2"/>
  <c r="G220" i="2"/>
  <c r="F221" i="2"/>
  <c r="G221" i="2"/>
  <c r="F222" i="2"/>
  <c r="G222" i="2"/>
  <c r="F223" i="2"/>
  <c r="G223" i="2"/>
  <c r="F224" i="2"/>
  <c r="G224" i="2"/>
  <c r="F225" i="2"/>
  <c r="G225" i="2"/>
  <c r="F226" i="2"/>
  <c r="G226" i="2"/>
  <c r="F227" i="2"/>
  <c r="G227" i="2"/>
  <c r="F228" i="2"/>
  <c r="G228" i="2"/>
  <c r="F229" i="2"/>
  <c r="G229" i="2"/>
  <c r="F230" i="2"/>
  <c r="G230" i="2"/>
  <c r="F231" i="2"/>
  <c r="G231" i="2"/>
  <c r="F232" i="2"/>
  <c r="G232" i="2"/>
  <c r="F233" i="2"/>
  <c r="G233" i="2"/>
  <c r="F234" i="2"/>
  <c r="G234" i="2"/>
  <c r="F235" i="2"/>
  <c r="G235" i="2"/>
  <c r="F236" i="2"/>
  <c r="G236" i="2"/>
  <c r="F237" i="2"/>
  <c r="G237" i="2"/>
  <c r="F238" i="2"/>
  <c r="G238" i="2"/>
  <c r="F239" i="2"/>
  <c r="G239" i="2"/>
  <c r="F240" i="2"/>
  <c r="G240" i="2"/>
  <c r="F241" i="2"/>
  <c r="G241" i="2"/>
  <c r="F242" i="2"/>
  <c r="G242" i="2"/>
  <c r="F243" i="2"/>
  <c r="G243" i="2"/>
  <c r="F244" i="2"/>
  <c r="G244" i="2"/>
  <c r="F245" i="2"/>
  <c r="G245" i="2"/>
  <c r="F246" i="2"/>
  <c r="G246" i="2"/>
  <c r="F247" i="2"/>
  <c r="G247" i="2"/>
  <c r="F248" i="2"/>
  <c r="G248" i="2"/>
  <c r="F249" i="2"/>
  <c r="G249" i="2"/>
  <c r="F250" i="2"/>
  <c r="G250" i="2"/>
  <c r="F251" i="2"/>
  <c r="G251" i="2"/>
  <c r="F252" i="2"/>
  <c r="G252" i="2"/>
  <c r="F253" i="2"/>
  <c r="G253" i="2"/>
  <c r="F254" i="2"/>
  <c r="G254" i="2"/>
  <c r="F255" i="2"/>
  <c r="G255" i="2"/>
  <c r="F256" i="2"/>
  <c r="G256" i="2"/>
  <c r="F257" i="2"/>
  <c r="G257" i="2"/>
  <c r="F258" i="2"/>
  <c r="G258" i="2"/>
  <c r="F259" i="2"/>
  <c r="G259" i="2"/>
  <c r="F260" i="2"/>
  <c r="G260" i="2"/>
  <c r="F261" i="2"/>
  <c r="G261" i="2"/>
  <c r="F262" i="2"/>
  <c r="G262" i="2"/>
  <c r="F263" i="2"/>
  <c r="G263" i="2"/>
  <c r="F264" i="2"/>
  <c r="G264" i="2"/>
  <c r="F265" i="2"/>
  <c r="G265" i="2"/>
  <c r="F266" i="2"/>
  <c r="G266" i="2"/>
  <c r="F267" i="2"/>
  <c r="G267" i="2"/>
  <c r="F268" i="2"/>
  <c r="G268" i="2"/>
  <c r="F269" i="2"/>
  <c r="G269" i="2"/>
  <c r="F270" i="2"/>
  <c r="G270" i="2"/>
  <c r="F271" i="2"/>
  <c r="G271" i="2"/>
  <c r="F272" i="2"/>
  <c r="G272" i="2"/>
  <c r="F273" i="2"/>
  <c r="G273" i="2"/>
  <c r="F274" i="2"/>
  <c r="G274" i="2"/>
  <c r="F275" i="2"/>
  <c r="G275" i="2"/>
  <c r="F276" i="2"/>
  <c r="G276" i="2"/>
  <c r="F277" i="2"/>
  <c r="G277" i="2"/>
  <c r="F278" i="2"/>
  <c r="G278" i="2"/>
  <c r="F279" i="2"/>
  <c r="G279" i="2"/>
  <c r="F280" i="2"/>
  <c r="G280" i="2"/>
  <c r="F281" i="2"/>
  <c r="G281" i="2"/>
  <c r="F282" i="2"/>
  <c r="G282" i="2"/>
  <c r="F283" i="2"/>
  <c r="G283" i="2"/>
  <c r="F284" i="2"/>
  <c r="G284" i="2"/>
  <c r="F285" i="2"/>
  <c r="G285" i="2"/>
  <c r="F286" i="2"/>
  <c r="G286" i="2"/>
  <c r="F287" i="2"/>
  <c r="G287" i="2"/>
  <c r="F288" i="2"/>
  <c r="G288" i="2"/>
  <c r="F289" i="2"/>
  <c r="G289" i="2"/>
  <c r="F290" i="2"/>
  <c r="G290" i="2"/>
  <c r="F291" i="2"/>
  <c r="G291" i="2"/>
  <c r="F292" i="2"/>
  <c r="G292" i="2"/>
  <c r="F293" i="2"/>
  <c r="G293" i="2"/>
  <c r="F294" i="2"/>
  <c r="G294" i="2"/>
  <c r="F295" i="2"/>
  <c r="G295" i="2"/>
  <c r="F296" i="2"/>
  <c r="G296" i="2"/>
  <c r="F297" i="2"/>
  <c r="G297" i="2"/>
  <c r="F298" i="2"/>
  <c r="G298" i="2"/>
  <c r="F299" i="2"/>
  <c r="G299" i="2"/>
  <c r="F300" i="2"/>
  <c r="G300" i="2"/>
  <c r="F301" i="2"/>
  <c r="G301" i="2"/>
  <c r="F302" i="2"/>
  <c r="G302" i="2"/>
  <c r="F303" i="2"/>
  <c r="G303" i="2"/>
  <c r="F304" i="2"/>
  <c r="G304" i="2"/>
  <c r="F305" i="2"/>
  <c r="G305" i="2"/>
  <c r="F306" i="2"/>
  <c r="G306" i="2"/>
  <c r="F307" i="2"/>
  <c r="G307" i="2"/>
  <c r="F308" i="2"/>
  <c r="G308" i="2"/>
  <c r="F309" i="2"/>
  <c r="G309" i="2"/>
  <c r="F310" i="2"/>
  <c r="G310" i="2"/>
  <c r="F312" i="2"/>
  <c r="G312" i="2"/>
  <c r="F313" i="2"/>
  <c r="G313" i="2"/>
  <c r="F314" i="2"/>
  <c r="G314" i="2"/>
  <c r="F315" i="2"/>
  <c r="G315" i="2"/>
  <c r="F316" i="2"/>
  <c r="G316" i="2"/>
  <c r="F317" i="2"/>
  <c r="G317" i="2"/>
  <c r="F318" i="2"/>
  <c r="G318" i="2"/>
  <c r="F319" i="2"/>
  <c r="G319" i="2"/>
  <c r="F320" i="2"/>
  <c r="G320" i="2"/>
  <c r="F321" i="2"/>
  <c r="G321" i="2"/>
  <c r="F322" i="2"/>
  <c r="G322" i="2"/>
  <c r="F323" i="2"/>
  <c r="G323" i="2"/>
  <c r="F324" i="2"/>
  <c r="G324" i="2"/>
  <c r="F325" i="2"/>
  <c r="G325" i="2"/>
  <c r="F326" i="2"/>
  <c r="G326" i="2"/>
  <c r="F327" i="2"/>
  <c r="G327" i="2"/>
  <c r="F328" i="2"/>
  <c r="G328" i="2"/>
  <c r="F329" i="2"/>
  <c r="G329" i="2"/>
  <c r="F330" i="2"/>
  <c r="G330" i="2"/>
  <c r="F331" i="2"/>
  <c r="G331" i="2"/>
  <c r="F332" i="2"/>
  <c r="G332" i="2"/>
  <c r="F333" i="2"/>
  <c r="G333" i="2"/>
  <c r="F334" i="2"/>
  <c r="G334" i="2"/>
  <c r="F335" i="2"/>
  <c r="G335" i="2"/>
  <c r="F336" i="2"/>
  <c r="G336" i="2"/>
  <c r="F337" i="2"/>
  <c r="G337" i="2"/>
  <c r="F338" i="2"/>
  <c r="G338" i="2"/>
  <c r="F339" i="2"/>
  <c r="G339" i="2"/>
  <c r="F340" i="2"/>
  <c r="G340" i="2"/>
  <c r="F341" i="2"/>
  <c r="G341" i="2"/>
  <c r="F342" i="2"/>
  <c r="G342" i="2"/>
  <c r="F343" i="2"/>
  <c r="G343" i="2"/>
  <c r="F344" i="2"/>
  <c r="G344" i="2"/>
  <c r="F345" i="2"/>
  <c r="G345" i="2"/>
  <c r="F346" i="2"/>
  <c r="G346" i="2"/>
  <c r="F347" i="2"/>
  <c r="G347" i="2"/>
  <c r="F348" i="2"/>
  <c r="G348" i="2"/>
  <c r="F349" i="2"/>
  <c r="G349" i="2"/>
  <c r="F350" i="2"/>
  <c r="G350" i="2"/>
  <c r="F351" i="2"/>
  <c r="G351" i="2"/>
  <c r="F352" i="2"/>
  <c r="G352" i="2"/>
  <c r="F353" i="2"/>
  <c r="G353" i="2"/>
  <c r="F354" i="2"/>
  <c r="G354" i="2"/>
  <c r="F355" i="2"/>
  <c r="G355" i="2"/>
  <c r="F356" i="2"/>
  <c r="G356" i="2"/>
  <c r="F357" i="2"/>
  <c r="G357" i="2"/>
  <c r="F358" i="2"/>
  <c r="G358" i="2"/>
  <c r="F359" i="2"/>
  <c r="G359" i="2"/>
  <c r="F360" i="2"/>
  <c r="G360" i="2"/>
  <c r="F361" i="2"/>
  <c r="G361" i="2"/>
  <c r="F362" i="2"/>
  <c r="G362" i="2"/>
  <c r="F363" i="2"/>
  <c r="G363" i="2"/>
  <c r="F364" i="2"/>
  <c r="G364" i="2"/>
  <c r="F365" i="2"/>
  <c r="G365" i="2"/>
  <c r="F366" i="2"/>
  <c r="G366" i="2"/>
  <c r="F367" i="2"/>
  <c r="G367" i="2"/>
  <c r="F368" i="2"/>
  <c r="G368" i="2"/>
  <c r="F369" i="2"/>
  <c r="G369" i="2"/>
  <c r="F370" i="2"/>
  <c r="G370" i="2"/>
  <c r="F371" i="2"/>
  <c r="G371" i="2"/>
  <c r="F372" i="2"/>
  <c r="G372" i="2"/>
  <c r="F373" i="2"/>
  <c r="G373" i="2"/>
  <c r="F374" i="2"/>
  <c r="G374" i="2"/>
  <c r="F375" i="2"/>
  <c r="G375" i="2"/>
  <c r="F376" i="2"/>
  <c r="G376" i="2"/>
  <c r="F377" i="2"/>
  <c r="G377" i="2"/>
  <c r="F378" i="2"/>
  <c r="G378" i="2"/>
  <c r="F379" i="2"/>
  <c r="G379" i="2"/>
  <c r="F380" i="2"/>
  <c r="G380" i="2"/>
  <c r="F381" i="2"/>
  <c r="G381" i="2"/>
  <c r="F382" i="2"/>
  <c r="G382" i="2"/>
  <c r="F383" i="2"/>
  <c r="G383" i="2"/>
  <c r="F384" i="2"/>
  <c r="G384" i="2"/>
  <c r="F385" i="2"/>
  <c r="G385" i="2"/>
  <c r="F386" i="2"/>
  <c r="G386" i="2"/>
  <c r="F387" i="2"/>
  <c r="G387" i="2"/>
  <c r="F388" i="2"/>
  <c r="G388" i="2"/>
  <c r="F389" i="2"/>
  <c r="G389" i="2"/>
  <c r="F390" i="2"/>
  <c r="G390" i="2"/>
  <c r="F391" i="2"/>
  <c r="G391" i="2"/>
  <c r="F392" i="2"/>
  <c r="G392" i="2"/>
  <c r="F393" i="2"/>
  <c r="G393" i="2"/>
  <c r="F394" i="2"/>
  <c r="G394" i="2"/>
  <c r="F395" i="2"/>
  <c r="G395" i="2"/>
  <c r="F396" i="2"/>
  <c r="G396" i="2"/>
  <c r="F397" i="2"/>
  <c r="G397" i="2"/>
  <c r="F398" i="2"/>
  <c r="G398" i="2"/>
  <c r="F399" i="2"/>
  <c r="G399" i="2"/>
  <c r="F400" i="2"/>
  <c r="G400" i="2"/>
  <c r="F401" i="2"/>
  <c r="G401" i="2"/>
  <c r="F402" i="2"/>
  <c r="G402" i="2"/>
  <c r="F403" i="2"/>
  <c r="G403" i="2"/>
  <c r="F404" i="2"/>
  <c r="G404" i="2"/>
  <c r="F405" i="2"/>
  <c r="G405" i="2"/>
  <c r="F406" i="2"/>
  <c r="G406" i="2"/>
  <c r="F407" i="2"/>
  <c r="G407" i="2"/>
  <c r="F408" i="2"/>
  <c r="G408" i="2"/>
  <c r="F409" i="2"/>
  <c r="G409" i="2"/>
  <c r="F410" i="2"/>
  <c r="G410" i="2"/>
  <c r="F411" i="2"/>
  <c r="G411" i="2"/>
  <c r="F412" i="2"/>
  <c r="G412" i="2"/>
  <c r="F413" i="2"/>
  <c r="G413" i="2"/>
  <c r="F414" i="2"/>
  <c r="G414" i="2"/>
  <c r="F415" i="2"/>
  <c r="G415" i="2"/>
  <c r="F416" i="2"/>
  <c r="G416" i="2"/>
  <c r="F417" i="2"/>
  <c r="G417" i="2"/>
  <c r="F418" i="2"/>
  <c r="G418" i="2"/>
  <c r="F419" i="2"/>
  <c r="G419" i="2"/>
  <c r="F420" i="2"/>
  <c r="G420" i="2"/>
  <c r="F421" i="2"/>
  <c r="G421" i="2"/>
  <c r="F422" i="2"/>
  <c r="G422" i="2"/>
  <c r="F423" i="2"/>
  <c r="G423" i="2"/>
  <c r="F424" i="2"/>
  <c r="G424" i="2"/>
  <c r="F425" i="2"/>
  <c r="G425" i="2"/>
  <c r="F426" i="2"/>
  <c r="G426" i="2"/>
  <c r="F427" i="2"/>
  <c r="G427" i="2"/>
  <c r="F428" i="2"/>
  <c r="G428" i="2"/>
  <c r="F429" i="2"/>
  <c r="G429" i="2"/>
  <c r="F430" i="2"/>
  <c r="G430" i="2"/>
  <c r="F431" i="2"/>
  <c r="G431" i="2"/>
  <c r="F432" i="2"/>
  <c r="G432" i="2"/>
  <c r="F433" i="2"/>
  <c r="G433" i="2"/>
  <c r="F434" i="2"/>
  <c r="G434" i="2"/>
  <c r="F435" i="2"/>
  <c r="G435" i="2"/>
  <c r="F436" i="2"/>
  <c r="G436" i="2"/>
  <c r="F437" i="2"/>
  <c r="G437" i="2"/>
  <c r="F438" i="2"/>
  <c r="G438" i="2"/>
  <c r="F439" i="2"/>
  <c r="G439" i="2"/>
  <c r="F440" i="2"/>
  <c r="G440" i="2"/>
  <c r="F441" i="2"/>
  <c r="G441" i="2"/>
  <c r="F442" i="2"/>
  <c r="G442" i="2"/>
  <c r="F443" i="2"/>
  <c r="G443" i="2"/>
  <c r="F444" i="2"/>
  <c r="G444" i="2"/>
  <c r="F445" i="2"/>
  <c r="G445" i="2"/>
  <c r="F446" i="2"/>
  <c r="G446" i="2"/>
  <c r="F447" i="2"/>
  <c r="G447" i="2"/>
  <c r="F448" i="2"/>
  <c r="G448" i="2"/>
  <c r="F449" i="2"/>
  <c r="G449" i="2"/>
  <c r="F450" i="2"/>
  <c r="G450" i="2"/>
  <c r="F451" i="2"/>
  <c r="G451" i="2"/>
  <c r="F452" i="2"/>
  <c r="G452" i="2"/>
  <c r="F453" i="2"/>
  <c r="G453" i="2"/>
  <c r="F454" i="2"/>
  <c r="G454" i="2"/>
  <c r="F455" i="2"/>
  <c r="G455" i="2"/>
  <c r="F456" i="2"/>
  <c r="G456" i="2"/>
  <c r="F457" i="2"/>
  <c r="G457" i="2"/>
  <c r="F458" i="2"/>
  <c r="G458" i="2"/>
  <c r="F459" i="2"/>
  <c r="G459" i="2"/>
  <c r="F460" i="2"/>
  <c r="G460" i="2"/>
  <c r="F461" i="2"/>
  <c r="G461" i="2"/>
  <c r="F462" i="2"/>
  <c r="G462" i="2"/>
  <c r="F463" i="2"/>
  <c r="G463" i="2"/>
  <c r="F464" i="2"/>
  <c r="G464" i="2"/>
  <c r="F465" i="2"/>
  <c r="G465" i="2"/>
  <c r="F466" i="2"/>
  <c r="G466" i="2"/>
  <c r="F467" i="2"/>
  <c r="G467" i="2"/>
  <c r="F468" i="2"/>
  <c r="G468" i="2"/>
  <c r="F469" i="2"/>
  <c r="G469" i="2"/>
  <c r="F470" i="2"/>
  <c r="G470" i="2"/>
  <c r="F471" i="2"/>
  <c r="G471" i="2"/>
  <c r="F472" i="2"/>
  <c r="G472" i="2"/>
  <c r="F473" i="2"/>
  <c r="G473" i="2"/>
  <c r="F474" i="2"/>
  <c r="G474" i="2"/>
  <c r="F475" i="2"/>
  <c r="G475" i="2"/>
  <c r="F476" i="2"/>
  <c r="G476" i="2"/>
  <c r="F477" i="2"/>
  <c r="G477" i="2"/>
  <c r="F478" i="2"/>
  <c r="G478" i="2"/>
  <c r="F479" i="2"/>
  <c r="G479" i="2"/>
  <c r="F480" i="2"/>
  <c r="G480" i="2"/>
  <c r="F481" i="2"/>
  <c r="G481" i="2"/>
  <c r="F482" i="2"/>
  <c r="G482" i="2"/>
  <c r="F483" i="2"/>
  <c r="G483" i="2"/>
  <c r="F484" i="2"/>
  <c r="G484" i="2"/>
  <c r="F485" i="2"/>
  <c r="G485" i="2"/>
  <c r="F486" i="2"/>
  <c r="G486" i="2"/>
  <c r="F487" i="2"/>
  <c r="G487" i="2"/>
  <c r="F488" i="2"/>
  <c r="G488" i="2"/>
  <c r="F489" i="2"/>
  <c r="G489" i="2"/>
  <c r="F490" i="2"/>
  <c r="G490" i="2"/>
  <c r="F491" i="2"/>
  <c r="G491" i="2"/>
  <c r="F492" i="2"/>
  <c r="G492" i="2"/>
  <c r="F493" i="2"/>
  <c r="G493" i="2"/>
  <c r="F494" i="2"/>
  <c r="G494" i="2"/>
  <c r="F495" i="2"/>
  <c r="G495" i="2"/>
  <c r="F496" i="2"/>
  <c r="G496" i="2"/>
  <c r="F497" i="2"/>
  <c r="G497" i="2"/>
  <c r="F498" i="2"/>
  <c r="G498" i="2"/>
  <c r="F499" i="2"/>
  <c r="G499" i="2"/>
  <c r="F500" i="2"/>
  <c r="G500" i="2"/>
  <c r="F501" i="2"/>
  <c r="G501" i="2"/>
  <c r="F502" i="2"/>
  <c r="G502" i="2"/>
  <c r="F503" i="2"/>
  <c r="G503" i="2"/>
  <c r="F504" i="2"/>
  <c r="G504" i="2"/>
  <c r="F505" i="2"/>
  <c r="G505" i="2"/>
  <c r="F506" i="2"/>
  <c r="G506" i="2"/>
  <c r="F507" i="2"/>
  <c r="G507" i="2"/>
  <c r="F508" i="2"/>
  <c r="G508" i="2"/>
  <c r="F509" i="2"/>
  <c r="G509" i="2"/>
  <c r="F510" i="2"/>
  <c r="G510" i="2"/>
  <c r="F511" i="2"/>
  <c r="G511" i="2"/>
  <c r="F512" i="2"/>
  <c r="G512" i="2"/>
  <c r="F513" i="2"/>
  <c r="G513" i="2"/>
  <c r="F514" i="2"/>
  <c r="G514" i="2"/>
  <c r="F515" i="2"/>
  <c r="G515" i="2"/>
  <c r="F516" i="2"/>
  <c r="G516" i="2"/>
  <c r="F517" i="2"/>
  <c r="G517" i="2"/>
  <c r="F518" i="2"/>
  <c r="G518" i="2"/>
  <c r="F519" i="2"/>
  <c r="G519" i="2"/>
  <c r="F520" i="2"/>
  <c r="G520" i="2"/>
  <c r="F521" i="2"/>
  <c r="G521" i="2"/>
  <c r="F522" i="2"/>
  <c r="G522" i="2"/>
  <c r="H311" i="2"/>
  <c r="I311" i="2"/>
  <c r="C209" i="3"/>
  <c r="E209" i="3"/>
  <c r="H65" i="2"/>
  <c r="I65" i="2"/>
  <c r="C2" i="3"/>
  <c r="E2" i="3"/>
  <c r="H116" i="2"/>
  <c r="I116" i="2"/>
  <c r="C3" i="3"/>
  <c r="E3" i="3"/>
  <c r="H170" i="2"/>
  <c r="I170" i="2"/>
  <c r="C4" i="3"/>
  <c r="E4" i="3"/>
  <c r="H173" i="2"/>
  <c r="I173" i="2"/>
  <c r="C5" i="3"/>
  <c r="E5" i="3"/>
  <c r="H174" i="2"/>
  <c r="I174" i="2"/>
  <c r="C6" i="3"/>
  <c r="E6" i="3"/>
  <c r="H175" i="2"/>
  <c r="I175" i="2"/>
  <c r="C7" i="3"/>
  <c r="E7" i="3"/>
  <c r="H177" i="2"/>
  <c r="I177" i="2"/>
  <c r="C8" i="3"/>
  <c r="E8" i="3"/>
  <c r="H268" i="2"/>
  <c r="I268" i="2"/>
  <c r="C9" i="3"/>
  <c r="E9" i="3"/>
  <c r="H51" i="2"/>
  <c r="I51" i="2"/>
  <c r="C10" i="3"/>
  <c r="E10" i="3"/>
  <c r="H53" i="2"/>
  <c r="I53" i="2"/>
  <c r="C11" i="3"/>
  <c r="E11" i="3"/>
  <c r="H55" i="2"/>
  <c r="I55" i="2"/>
  <c r="C12" i="3"/>
  <c r="E12" i="3"/>
  <c r="H57" i="2"/>
  <c r="I57" i="2"/>
  <c r="C13" i="3"/>
  <c r="E13" i="3"/>
  <c r="H58" i="2"/>
  <c r="I58" i="2"/>
  <c r="C14" i="3"/>
  <c r="E14" i="3"/>
  <c r="H59" i="2"/>
  <c r="I59" i="2"/>
  <c r="C15" i="3"/>
  <c r="E15" i="3"/>
  <c r="H66" i="2"/>
  <c r="I66" i="2"/>
  <c r="C16" i="3"/>
  <c r="E16" i="3"/>
  <c r="H79" i="2"/>
  <c r="I79" i="2"/>
  <c r="C17" i="3"/>
  <c r="E17" i="3"/>
  <c r="H411" i="2"/>
  <c r="I411" i="2"/>
  <c r="C18" i="3"/>
  <c r="E18" i="3"/>
  <c r="H412" i="2"/>
  <c r="I412" i="2"/>
  <c r="C19" i="3"/>
  <c r="E19" i="3"/>
  <c r="H179" i="2"/>
  <c r="I179" i="2"/>
  <c r="C20" i="3"/>
  <c r="E20" i="3"/>
  <c r="H216" i="2"/>
  <c r="I216" i="2"/>
  <c r="C21" i="3"/>
  <c r="E21" i="3"/>
  <c r="H304" i="2"/>
  <c r="I304" i="2"/>
  <c r="C22" i="3"/>
  <c r="E22" i="3"/>
  <c r="H54" i="2"/>
  <c r="I54" i="2"/>
  <c r="C23" i="3"/>
  <c r="E23" i="3"/>
  <c r="H379" i="2"/>
  <c r="I379" i="2"/>
  <c r="C24" i="3"/>
  <c r="E24" i="3"/>
  <c r="H115" i="2"/>
  <c r="I115" i="2"/>
  <c r="C25" i="3"/>
  <c r="E25" i="3"/>
  <c r="H120" i="2"/>
  <c r="I120" i="2"/>
  <c r="C26" i="3"/>
  <c r="E26" i="3"/>
  <c r="H181" i="2"/>
  <c r="I181" i="2"/>
  <c r="C27" i="3"/>
  <c r="E27" i="3"/>
  <c r="H82" i="2"/>
  <c r="I82" i="2"/>
  <c r="C28" i="3"/>
  <c r="E28" i="3"/>
  <c r="H41" i="2"/>
  <c r="I41" i="2"/>
  <c r="C29" i="3"/>
  <c r="E29" i="3"/>
  <c r="H42" i="2"/>
  <c r="I42" i="2"/>
  <c r="C30" i="3"/>
  <c r="E30" i="3"/>
  <c r="H373" i="2"/>
  <c r="I373" i="2"/>
  <c r="C31" i="3"/>
  <c r="E31" i="3"/>
  <c r="H43" i="2"/>
  <c r="I43" i="2"/>
  <c r="C32" i="3"/>
  <c r="E32" i="3"/>
  <c r="H44" i="2"/>
  <c r="I44" i="2"/>
  <c r="C33" i="3"/>
  <c r="E33" i="3"/>
  <c r="H45" i="2"/>
  <c r="I45" i="2"/>
  <c r="C34" i="3"/>
  <c r="E34" i="3"/>
  <c r="H46" i="2"/>
  <c r="I46" i="2"/>
  <c r="C35" i="3"/>
  <c r="E35" i="3"/>
  <c r="H47" i="2"/>
  <c r="I47" i="2"/>
  <c r="C36" i="3"/>
  <c r="E36" i="3"/>
  <c r="H48" i="2"/>
  <c r="I48" i="2"/>
  <c r="C37" i="3"/>
  <c r="E37" i="3"/>
  <c r="H49" i="2"/>
  <c r="I49" i="2"/>
  <c r="C38" i="3"/>
  <c r="E38" i="3"/>
  <c r="H50" i="2"/>
  <c r="I50" i="2"/>
  <c r="C39" i="3"/>
  <c r="E39" i="3"/>
  <c r="H374" i="2"/>
  <c r="I374" i="2"/>
  <c r="C40" i="3"/>
  <c r="E40" i="3"/>
  <c r="H52" i="2"/>
  <c r="I52" i="2"/>
  <c r="C41" i="3"/>
  <c r="E41" i="3"/>
  <c r="H375" i="2"/>
  <c r="I375" i="2"/>
  <c r="C42" i="3"/>
  <c r="E42" i="3"/>
  <c r="H56" i="2"/>
  <c r="I56" i="2"/>
  <c r="C43" i="3"/>
  <c r="E43" i="3"/>
  <c r="H376" i="2"/>
  <c r="I376" i="2"/>
  <c r="C44" i="3"/>
  <c r="E44" i="3"/>
  <c r="H60" i="2"/>
  <c r="I60" i="2"/>
  <c r="C45" i="3"/>
  <c r="E45" i="3"/>
  <c r="H377" i="2"/>
  <c r="I377" i="2"/>
  <c r="C46" i="3"/>
  <c r="E46" i="3"/>
  <c r="H61" i="2"/>
  <c r="I61" i="2"/>
  <c r="C47" i="3"/>
  <c r="E47" i="3"/>
  <c r="H67" i="2"/>
  <c r="I67" i="2"/>
  <c r="C48" i="3"/>
  <c r="E48" i="3"/>
  <c r="H80" i="2"/>
  <c r="I80" i="2"/>
  <c r="C49" i="3"/>
  <c r="E49" i="3"/>
  <c r="H81" i="2"/>
  <c r="I81" i="2"/>
  <c r="C50" i="3"/>
  <c r="E50" i="3"/>
  <c r="H391" i="2"/>
  <c r="I391" i="2"/>
  <c r="C51" i="3"/>
  <c r="E51" i="3"/>
  <c r="H121" i="2"/>
  <c r="I121" i="2"/>
  <c r="C52" i="3"/>
  <c r="E52" i="3"/>
  <c r="H122" i="2"/>
  <c r="I122" i="2"/>
  <c r="C53" i="3"/>
  <c r="E53" i="3"/>
  <c r="H146" i="2"/>
  <c r="I146" i="2"/>
  <c r="C54" i="3"/>
  <c r="E54" i="3"/>
  <c r="H171" i="2"/>
  <c r="I171" i="2"/>
  <c r="C55" i="3"/>
  <c r="E55" i="3"/>
  <c r="H172" i="2"/>
  <c r="I172" i="2"/>
  <c r="C56" i="3"/>
  <c r="E56" i="3"/>
  <c r="H176" i="2"/>
  <c r="I176" i="2"/>
  <c r="C57" i="3"/>
  <c r="E57" i="3"/>
  <c r="H178" i="2"/>
  <c r="I178" i="2"/>
  <c r="C58" i="3"/>
  <c r="E58" i="3"/>
  <c r="H180" i="2"/>
  <c r="I180" i="2"/>
  <c r="C59" i="3"/>
  <c r="E59" i="3"/>
  <c r="H182" i="2"/>
  <c r="I182" i="2"/>
  <c r="C60" i="3"/>
  <c r="E60" i="3"/>
  <c r="H432" i="2"/>
  <c r="I432" i="2"/>
  <c r="C61" i="3"/>
  <c r="E61" i="3"/>
  <c r="H305" i="2"/>
  <c r="I305" i="2"/>
  <c r="C62" i="3"/>
  <c r="E62" i="3"/>
  <c r="H306" i="2"/>
  <c r="I306" i="2"/>
  <c r="C63" i="3"/>
  <c r="E63" i="3"/>
  <c r="H70" i="2"/>
  <c r="I70" i="2"/>
  <c r="C64" i="3"/>
  <c r="E64" i="3"/>
  <c r="H71" i="2"/>
  <c r="I71" i="2"/>
  <c r="C65" i="3"/>
  <c r="E65" i="3"/>
  <c r="H72" i="2"/>
  <c r="I72" i="2"/>
  <c r="C66" i="3"/>
  <c r="E66" i="3"/>
  <c r="H382" i="2"/>
  <c r="I382" i="2"/>
  <c r="C67" i="3"/>
  <c r="E67" i="3"/>
  <c r="H341" i="2"/>
  <c r="I341" i="2"/>
  <c r="C68" i="3"/>
  <c r="E68" i="3"/>
  <c r="H343" i="2"/>
  <c r="I343" i="2"/>
  <c r="C69" i="3"/>
  <c r="E69" i="3"/>
  <c r="H381" i="2"/>
  <c r="I381" i="2"/>
  <c r="C70" i="3"/>
  <c r="E70" i="3"/>
  <c r="H73" i="2"/>
  <c r="I73" i="2"/>
  <c r="C71" i="3"/>
  <c r="E71" i="3"/>
  <c r="H380" i="2"/>
  <c r="I380" i="2"/>
  <c r="C72" i="3"/>
  <c r="E72" i="3"/>
  <c r="H515" i="2"/>
  <c r="I515" i="2"/>
  <c r="C73" i="3"/>
  <c r="E73" i="3"/>
  <c r="H335" i="2"/>
  <c r="I335" i="2"/>
  <c r="C74" i="3"/>
  <c r="E74" i="3"/>
  <c r="H342" i="2"/>
  <c r="I342" i="2"/>
  <c r="C75" i="3"/>
  <c r="E75" i="3"/>
  <c r="H112" i="2"/>
  <c r="I112" i="2"/>
  <c r="C76" i="3"/>
  <c r="E76" i="3"/>
  <c r="H234" i="2"/>
  <c r="I234" i="2"/>
  <c r="C77" i="3"/>
  <c r="E77" i="3"/>
  <c r="H239" i="2"/>
  <c r="I239" i="2"/>
  <c r="C78" i="3"/>
  <c r="E78" i="3"/>
  <c r="H333" i="2"/>
  <c r="I333" i="2"/>
  <c r="C79" i="3"/>
  <c r="E79" i="3"/>
  <c r="H345" i="2"/>
  <c r="I345" i="2"/>
  <c r="C80" i="3"/>
  <c r="E80" i="3"/>
  <c r="H18" i="2"/>
  <c r="I18" i="2"/>
  <c r="C81" i="3"/>
  <c r="E81" i="3"/>
  <c r="H236" i="2"/>
  <c r="I236" i="2"/>
  <c r="C82" i="3"/>
  <c r="E82" i="3"/>
  <c r="H266" i="2"/>
  <c r="I266" i="2"/>
  <c r="C83" i="3"/>
  <c r="E83" i="3"/>
  <c r="H339" i="2"/>
  <c r="I339" i="2"/>
  <c r="C84" i="3"/>
  <c r="E84" i="3"/>
  <c r="H348" i="2"/>
  <c r="I348" i="2"/>
  <c r="C85" i="3"/>
  <c r="E85" i="3"/>
  <c r="H2" i="2"/>
  <c r="I2" i="2"/>
  <c r="C86" i="3"/>
  <c r="E86" i="3"/>
  <c r="H19" i="2"/>
  <c r="I19" i="2"/>
  <c r="C87" i="3"/>
  <c r="E87" i="3"/>
  <c r="H28" i="2"/>
  <c r="I28" i="2"/>
  <c r="C88" i="3"/>
  <c r="E88" i="3"/>
  <c r="H29" i="2"/>
  <c r="I29" i="2"/>
  <c r="C89" i="3"/>
  <c r="E89" i="3"/>
  <c r="H35" i="2"/>
  <c r="I35" i="2"/>
  <c r="C90" i="3"/>
  <c r="E90" i="3"/>
  <c r="H40" i="2"/>
  <c r="I40" i="2"/>
  <c r="C91" i="3"/>
  <c r="E91" i="3"/>
  <c r="H378" i="2"/>
  <c r="I378" i="2"/>
  <c r="C92" i="3"/>
  <c r="E92" i="3"/>
  <c r="H74" i="2"/>
  <c r="I74" i="2"/>
  <c r="C93" i="3"/>
  <c r="E93" i="3"/>
  <c r="H75" i="2"/>
  <c r="I75" i="2"/>
  <c r="C94" i="3"/>
  <c r="E94" i="3"/>
  <c r="H124" i="2"/>
  <c r="I124" i="2"/>
  <c r="C95" i="3"/>
  <c r="E95" i="3"/>
  <c r="H445" i="2"/>
  <c r="I445" i="2"/>
  <c r="C96" i="3"/>
  <c r="E96" i="3"/>
  <c r="H243" i="2"/>
  <c r="I243" i="2"/>
  <c r="C97" i="3"/>
  <c r="E97" i="3"/>
  <c r="H247" i="2"/>
  <c r="I247" i="2"/>
  <c r="C98" i="3"/>
  <c r="E98" i="3"/>
  <c r="H248" i="2"/>
  <c r="I248" i="2"/>
  <c r="C99" i="3"/>
  <c r="E99" i="3"/>
  <c r="H454" i="2"/>
  <c r="I454" i="2"/>
  <c r="C100" i="3"/>
  <c r="E100" i="3"/>
  <c r="H277" i="2"/>
  <c r="I277" i="2"/>
  <c r="C101" i="3"/>
  <c r="E101" i="3"/>
  <c r="H321" i="2"/>
  <c r="I321" i="2"/>
  <c r="C102" i="3"/>
  <c r="E102" i="3"/>
  <c r="H327" i="2"/>
  <c r="I327" i="2"/>
  <c r="C103" i="3"/>
  <c r="E103" i="3"/>
  <c r="H328" i="2"/>
  <c r="I328" i="2"/>
  <c r="C104" i="3"/>
  <c r="E104" i="3"/>
  <c r="H7" i="2"/>
  <c r="I7" i="2"/>
  <c r="C105" i="3"/>
  <c r="E105" i="3"/>
  <c r="H17" i="2"/>
  <c r="I17" i="2"/>
  <c r="C106" i="3"/>
  <c r="E106" i="3"/>
  <c r="H20" i="2"/>
  <c r="I20" i="2"/>
  <c r="C107" i="3"/>
  <c r="E107" i="3"/>
  <c r="H21" i="2"/>
  <c r="I21" i="2"/>
  <c r="C108" i="3"/>
  <c r="E108" i="3"/>
  <c r="H23" i="2"/>
  <c r="I23" i="2"/>
  <c r="C109" i="3"/>
  <c r="E109" i="3"/>
  <c r="H393" i="2"/>
  <c r="I393" i="2"/>
  <c r="C110" i="3"/>
  <c r="E110" i="3"/>
  <c r="H218" i="2"/>
  <c r="I218" i="2"/>
  <c r="C111" i="3"/>
  <c r="E111" i="3"/>
  <c r="H219" i="2"/>
  <c r="I219" i="2"/>
  <c r="C112" i="3"/>
  <c r="E112" i="3"/>
  <c r="H229" i="2"/>
  <c r="I229" i="2"/>
  <c r="C113" i="3"/>
  <c r="E113" i="3"/>
  <c r="H273" i="2"/>
  <c r="I273" i="2"/>
  <c r="C114" i="3"/>
  <c r="E114" i="3"/>
  <c r="H292" i="2"/>
  <c r="I292" i="2"/>
  <c r="C115" i="3"/>
  <c r="E115" i="3"/>
  <c r="H516" i="2"/>
  <c r="I516" i="2"/>
  <c r="C116" i="3"/>
  <c r="E116" i="3"/>
  <c r="H521" i="2"/>
  <c r="I521" i="2"/>
  <c r="C117" i="3"/>
  <c r="E117" i="3"/>
  <c r="H15" i="2"/>
  <c r="I15" i="2"/>
  <c r="C118" i="3"/>
  <c r="E118" i="3"/>
  <c r="H242" i="2"/>
  <c r="I242" i="2"/>
  <c r="C119" i="3"/>
  <c r="E119" i="3"/>
  <c r="H332" i="2"/>
  <c r="I332" i="2"/>
  <c r="C120" i="3"/>
  <c r="E120" i="3"/>
  <c r="H6" i="2"/>
  <c r="I6" i="2"/>
  <c r="C121" i="3"/>
  <c r="E121" i="3"/>
  <c r="H356" i="2"/>
  <c r="I356" i="2"/>
  <c r="C122" i="3"/>
  <c r="E122" i="3"/>
  <c r="H357" i="2"/>
  <c r="I357" i="2"/>
  <c r="C123" i="3"/>
  <c r="E123" i="3"/>
  <c r="H358" i="2"/>
  <c r="I358" i="2"/>
  <c r="C124" i="3"/>
  <c r="E124" i="3"/>
  <c r="H359" i="2"/>
  <c r="I359" i="2"/>
  <c r="C125" i="3"/>
  <c r="E125" i="3"/>
  <c r="H14" i="2"/>
  <c r="I14" i="2"/>
  <c r="C126" i="3"/>
  <c r="E126" i="3"/>
  <c r="H362" i="2"/>
  <c r="I362" i="2"/>
  <c r="C127" i="3"/>
  <c r="E127" i="3"/>
  <c r="H371" i="2"/>
  <c r="I371" i="2"/>
  <c r="C128" i="3"/>
  <c r="E128" i="3"/>
  <c r="H383" i="2"/>
  <c r="I383" i="2"/>
  <c r="C129" i="3"/>
  <c r="E129" i="3"/>
  <c r="H390" i="2"/>
  <c r="I390" i="2"/>
  <c r="C130" i="3"/>
  <c r="E130" i="3"/>
  <c r="H83" i="2"/>
  <c r="I83" i="2"/>
  <c r="C131" i="3"/>
  <c r="E131" i="3"/>
  <c r="H392" i="2"/>
  <c r="I392" i="2"/>
  <c r="C132" i="3"/>
  <c r="E132" i="3"/>
  <c r="H85" i="2"/>
  <c r="I85" i="2"/>
  <c r="C133" i="3"/>
  <c r="E133" i="3"/>
  <c r="H86" i="2"/>
  <c r="I86" i="2"/>
  <c r="C134" i="3"/>
  <c r="E134" i="3"/>
  <c r="H100" i="2"/>
  <c r="I100" i="2"/>
  <c r="C135" i="3"/>
  <c r="E135" i="3"/>
  <c r="H398" i="2"/>
  <c r="I398" i="2"/>
  <c r="C136" i="3"/>
  <c r="E136" i="3"/>
  <c r="H101" i="2"/>
  <c r="I101" i="2"/>
  <c r="C137" i="3"/>
  <c r="E137" i="3"/>
  <c r="H114" i="2"/>
  <c r="I114" i="2"/>
  <c r="C138" i="3"/>
  <c r="E138" i="3"/>
  <c r="H414" i="2"/>
  <c r="I414" i="2"/>
  <c r="C139" i="3"/>
  <c r="E139" i="3"/>
  <c r="H198" i="2"/>
  <c r="I198" i="2"/>
  <c r="C140" i="3"/>
  <c r="E140" i="3"/>
  <c r="H433" i="2"/>
  <c r="I433" i="2"/>
  <c r="C141" i="3"/>
  <c r="E141" i="3"/>
  <c r="H200" i="2"/>
  <c r="I200" i="2"/>
  <c r="C142" i="3"/>
  <c r="E142" i="3"/>
  <c r="H235" i="2"/>
  <c r="I235" i="2"/>
  <c r="C143" i="3"/>
  <c r="E143" i="3"/>
  <c r="H237" i="2"/>
  <c r="I237" i="2"/>
  <c r="C144" i="3"/>
  <c r="E144" i="3"/>
  <c r="H447" i="2"/>
  <c r="I447" i="2"/>
  <c r="C145" i="3"/>
  <c r="E145" i="3"/>
  <c r="H450" i="2"/>
  <c r="I450" i="2"/>
  <c r="C146" i="3"/>
  <c r="E146" i="3"/>
  <c r="H240" i="2"/>
  <c r="I240" i="2"/>
  <c r="C147" i="3"/>
  <c r="E147" i="3"/>
  <c r="H453" i="2"/>
  <c r="I453" i="2"/>
  <c r="C148" i="3"/>
  <c r="E148" i="3"/>
  <c r="H249" i="2"/>
  <c r="I249" i="2"/>
  <c r="C149" i="3"/>
  <c r="E149" i="3"/>
  <c r="H250" i="2"/>
  <c r="I250" i="2"/>
  <c r="C150" i="3"/>
  <c r="E150" i="3"/>
  <c r="H456" i="2"/>
  <c r="I456" i="2"/>
  <c r="C151" i="3"/>
  <c r="E151" i="3"/>
  <c r="H276" i="2"/>
  <c r="I276" i="2"/>
  <c r="C152" i="3"/>
  <c r="E152" i="3"/>
  <c r="H464" i="2"/>
  <c r="I464" i="2"/>
  <c r="C153" i="3"/>
  <c r="E153" i="3"/>
  <c r="H279" i="2"/>
  <c r="I279" i="2"/>
  <c r="C154" i="3"/>
  <c r="E154" i="3"/>
  <c r="H291" i="2"/>
  <c r="I291" i="2"/>
  <c r="C155" i="3"/>
  <c r="E155" i="3"/>
  <c r="H470" i="2"/>
  <c r="I470" i="2"/>
  <c r="C156" i="3"/>
  <c r="E156" i="3"/>
  <c r="H472" i="2"/>
  <c r="I472" i="2"/>
  <c r="C157" i="3"/>
  <c r="E157" i="3"/>
  <c r="H473" i="2"/>
  <c r="I473" i="2"/>
  <c r="C158" i="3"/>
  <c r="E158" i="3"/>
  <c r="H293" i="2"/>
  <c r="I293" i="2"/>
  <c r="C159" i="3"/>
  <c r="E159" i="3"/>
  <c r="H294" i="2"/>
  <c r="I294" i="2"/>
  <c r="C160" i="3"/>
  <c r="E160" i="3"/>
  <c r="H474" i="2"/>
  <c r="I474" i="2"/>
  <c r="C161" i="3"/>
  <c r="E161" i="3"/>
  <c r="H475" i="2"/>
  <c r="I475" i="2"/>
  <c r="C162" i="3"/>
  <c r="E162" i="3"/>
  <c r="H477" i="2"/>
  <c r="I477" i="2"/>
  <c r="C163" i="3"/>
  <c r="E163" i="3"/>
  <c r="H479" i="2"/>
  <c r="I479" i="2"/>
  <c r="C164" i="3"/>
  <c r="E164" i="3"/>
  <c r="H299" i="2"/>
  <c r="I299" i="2"/>
  <c r="C165" i="3"/>
  <c r="E165" i="3"/>
  <c r="H309" i="2"/>
  <c r="I309" i="2"/>
  <c r="C166" i="3"/>
  <c r="E166" i="3"/>
  <c r="H489" i="2"/>
  <c r="I489" i="2"/>
  <c r="C167" i="3"/>
  <c r="E167" i="3"/>
  <c r="H490" i="2"/>
  <c r="I490" i="2"/>
  <c r="C168" i="3"/>
  <c r="E168" i="3"/>
  <c r="H491" i="2"/>
  <c r="I491" i="2"/>
  <c r="C169" i="3"/>
  <c r="E169" i="3"/>
  <c r="H492" i="2"/>
  <c r="I492" i="2"/>
  <c r="C170" i="3"/>
  <c r="E170" i="3"/>
  <c r="H494" i="2"/>
  <c r="I494" i="2"/>
  <c r="C171" i="3"/>
  <c r="E171" i="3"/>
  <c r="H495" i="2"/>
  <c r="I495" i="2"/>
  <c r="C172" i="3"/>
  <c r="E172" i="3"/>
  <c r="H500" i="2"/>
  <c r="I500" i="2"/>
  <c r="C173" i="3"/>
  <c r="E173" i="3"/>
  <c r="H501" i="2"/>
  <c r="I501" i="2"/>
  <c r="C174" i="3"/>
  <c r="E174" i="3"/>
  <c r="H507" i="2"/>
  <c r="I507" i="2"/>
  <c r="C175" i="3"/>
  <c r="E175" i="3"/>
  <c r="H338" i="2"/>
  <c r="I338" i="2"/>
  <c r="C176" i="3"/>
  <c r="E176" i="3"/>
  <c r="H340" i="2"/>
  <c r="I340" i="2"/>
  <c r="C177" i="3"/>
  <c r="E177" i="3"/>
  <c r="H519" i="2"/>
  <c r="I519" i="2"/>
  <c r="C178" i="3"/>
  <c r="E178" i="3"/>
  <c r="H520" i="2"/>
  <c r="I520" i="2"/>
  <c r="C179" i="3"/>
  <c r="E179" i="3"/>
  <c r="H344" i="2"/>
  <c r="I344" i="2"/>
  <c r="C180" i="3"/>
  <c r="E180" i="3"/>
  <c r="H346" i="2"/>
  <c r="I346" i="2"/>
  <c r="C181" i="3"/>
  <c r="E181" i="3"/>
  <c r="H347" i="2"/>
  <c r="I347" i="2"/>
  <c r="C182" i="3"/>
  <c r="E182" i="3"/>
  <c r="H147" i="2"/>
  <c r="I147" i="2"/>
  <c r="C183" i="3"/>
  <c r="E183" i="3"/>
  <c r="H160" i="2"/>
  <c r="I160" i="2"/>
  <c r="C184" i="3"/>
  <c r="E184" i="3"/>
  <c r="H169" i="2"/>
  <c r="I169" i="2"/>
  <c r="C185" i="3"/>
  <c r="E185" i="3"/>
  <c r="H225" i="2"/>
  <c r="I225" i="2"/>
  <c r="C186" i="3"/>
  <c r="E186" i="3"/>
  <c r="H298" i="2"/>
  <c r="I298" i="2"/>
  <c r="C187" i="3"/>
  <c r="E187" i="3"/>
  <c r="H310" i="2"/>
  <c r="I310" i="2"/>
  <c r="C188" i="3"/>
  <c r="E188" i="3"/>
  <c r="H168" i="2"/>
  <c r="I168" i="2"/>
  <c r="C189" i="3"/>
  <c r="E189" i="3"/>
  <c r="H223" i="2"/>
  <c r="I223" i="2"/>
  <c r="C190" i="3"/>
  <c r="E190" i="3"/>
  <c r="H227" i="2"/>
  <c r="I227" i="2"/>
  <c r="C191" i="3"/>
  <c r="E191" i="3"/>
  <c r="H352" i="2"/>
  <c r="I352" i="2"/>
  <c r="C192" i="3"/>
  <c r="E192" i="3"/>
  <c r="H5" i="2"/>
  <c r="I5" i="2"/>
  <c r="C193" i="3"/>
  <c r="E193" i="3"/>
  <c r="H364" i="2"/>
  <c r="I364" i="2"/>
  <c r="C194" i="3"/>
  <c r="E194" i="3"/>
  <c r="H365" i="2"/>
  <c r="I365" i="2"/>
  <c r="C195" i="3"/>
  <c r="E195" i="3"/>
  <c r="H125" i="2"/>
  <c r="I125" i="2"/>
  <c r="C196" i="3"/>
  <c r="E196" i="3"/>
  <c r="H415" i="2"/>
  <c r="I415" i="2"/>
  <c r="C197" i="3"/>
  <c r="E197" i="3"/>
  <c r="H142" i="2"/>
  <c r="I142" i="2"/>
  <c r="C198" i="3"/>
  <c r="E198" i="3"/>
  <c r="H148" i="2"/>
  <c r="I148" i="2"/>
  <c r="C199" i="3"/>
  <c r="E199" i="3"/>
  <c r="H149" i="2"/>
  <c r="I149" i="2"/>
  <c r="C200" i="3"/>
  <c r="E200" i="3"/>
  <c r="H152" i="2"/>
  <c r="I152" i="2"/>
  <c r="C201" i="3"/>
  <c r="E201" i="3"/>
  <c r="H167" i="2"/>
  <c r="I167" i="2"/>
  <c r="C202" i="3"/>
  <c r="E202" i="3"/>
  <c r="H435" i="2"/>
  <c r="I435" i="2"/>
  <c r="C203" i="3"/>
  <c r="E203" i="3"/>
  <c r="H214" i="2"/>
  <c r="I214" i="2"/>
  <c r="C204" i="3"/>
  <c r="E204" i="3"/>
  <c r="H215" i="2"/>
  <c r="I215" i="2"/>
  <c r="C205" i="3"/>
  <c r="E205" i="3"/>
  <c r="H231" i="2"/>
  <c r="I231" i="2"/>
  <c r="C206" i="3"/>
  <c r="E206" i="3"/>
  <c r="H274" i="2"/>
  <c r="I274" i="2"/>
  <c r="C207" i="3"/>
  <c r="E207" i="3"/>
  <c r="H467" i="2"/>
  <c r="I467" i="2"/>
  <c r="C208" i="3"/>
  <c r="E208" i="3"/>
  <c r="H312" i="2"/>
  <c r="I312" i="2"/>
  <c r="C210" i="3"/>
  <c r="E210" i="3"/>
  <c r="H315" i="2"/>
  <c r="I315" i="2"/>
  <c r="C211" i="3"/>
  <c r="E211" i="3"/>
  <c r="H318" i="2"/>
  <c r="I318" i="2"/>
  <c r="C212" i="3"/>
  <c r="E212" i="3"/>
  <c r="H503" i="2"/>
  <c r="I503" i="2"/>
  <c r="C213" i="3"/>
  <c r="E213" i="3"/>
  <c r="H16" i="2"/>
  <c r="I16" i="2"/>
  <c r="C214" i="3"/>
  <c r="E214" i="3"/>
  <c r="H26" i="2"/>
  <c r="I26" i="2"/>
  <c r="C215" i="3"/>
  <c r="E215" i="3"/>
  <c r="H140" i="2"/>
  <c r="I140" i="2"/>
  <c r="C216" i="3"/>
  <c r="E216" i="3"/>
  <c r="H150" i="2"/>
  <c r="I150" i="2"/>
  <c r="C217" i="3"/>
  <c r="E217" i="3"/>
  <c r="H151" i="2"/>
  <c r="I151" i="2"/>
  <c r="C218" i="3"/>
  <c r="E218" i="3"/>
  <c r="H422" i="2"/>
  <c r="I422" i="2"/>
  <c r="C219" i="3"/>
  <c r="E219" i="3"/>
  <c r="H158" i="2"/>
  <c r="I158" i="2"/>
  <c r="C220" i="3"/>
  <c r="E220" i="3"/>
  <c r="H159" i="2"/>
  <c r="I159" i="2"/>
  <c r="C221" i="3"/>
  <c r="E221" i="3"/>
  <c r="H208" i="2"/>
  <c r="I208" i="2"/>
  <c r="C222" i="3"/>
  <c r="E222" i="3"/>
  <c r="H228" i="2"/>
  <c r="I228" i="2"/>
  <c r="C223" i="3"/>
  <c r="E223" i="3"/>
  <c r="H278" i="2"/>
  <c r="I278" i="2"/>
  <c r="C224" i="3"/>
  <c r="E224" i="3"/>
  <c r="H502" i="2"/>
  <c r="I502" i="2"/>
  <c r="C225" i="3"/>
  <c r="E225" i="3"/>
  <c r="H153" i="2"/>
  <c r="I153" i="2"/>
  <c r="C226" i="3"/>
  <c r="E226" i="3"/>
  <c r="H220" i="2"/>
  <c r="I220" i="2"/>
  <c r="C227" i="3"/>
  <c r="E227" i="3"/>
  <c r="H226" i="2"/>
  <c r="I226" i="2"/>
  <c r="C228" i="3"/>
  <c r="E228" i="3"/>
  <c r="H351" i="2"/>
  <c r="I351" i="2"/>
  <c r="C229" i="3"/>
  <c r="E229" i="3"/>
  <c r="H353" i="2"/>
  <c r="I353" i="2"/>
  <c r="C230" i="3"/>
  <c r="E230" i="3"/>
  <c r="H354" i="2"/>
  <c r="I354" i="2"/>
  <c r="C231" i="3"/>
  <c r="E231" i="3"/>
  <c r="H355" i="2"/>
  <c r="I355" i="2"/>
  <c r="C232" i="3"/>
  <c r="E232" i="3"/>
  <c r="H360" i="2"/>
  <c r="I360" i="2"/>
  <c r="C233" i="3"/>
  <c r="E233" i="3"/>
  <c r="H361" i="2"/>
  <c r="I361" i="2"/>
  <c r="C234" i="3"/>
  <c r="E234" i="3"/>
  <c r="H24" i="2"/>
  <c r="I24" i="2"/>
  <c r="C235" i="3"/>
  <c r="E235" i="3"/>
  <c r="H416" i="2"/>
  <c r="I416" i="2"/>
  <c r="C236" i="3"/>
  <c r="E236" i="3"/>
  <c r="H417" i="2"/>
  <c r="I417" i="2"/>
  <c r="C237" i="3"/>
  <c r="E237" i="3"/>
  <c r="H128" i="2"/>
  <c r="I128" i="2"/>
  <c r="C238" i="3"/>
  <c r="E238" i="3"/>
  <c r="H136" i="2"/>
  <c r="I136" i="2"/>
  <c r="C239" i="3"/>
  <c r="E239" i="3"/>
  <c r="H418" i="2"/>
  <c r="I418" i="2"/>
  <c r="C240" i="3"/>
  <c r="E240" i="3"/>
  <c r="H139" i="2"/>
  <c r="I139" i="2"/>
  <c r="C241" i="3"/>
  <c r="E241" i="3"/>
  <c r="H143" i="2"/>
  <c r="I143" i="2"/>
  <c r="C242" i="3"/>
  <c r="E242" i="3"/>
  <c r="H421" i="2"/>
  <c r="I421" i="2"/>
  <c r="C243" i="3"/>
  <c r="E243" i="3"/>
  <c r="H154" i="2"/>
  <c r="I154" i="2"/>
  <c r="C244" i="3"/>
  <c r="E244" i="3"/>
  <c r="H155" i="2"/>
  <c r="I155" i="2"/>
  <c r="C245" i="3"/>
  <c r="E245" i="3"/>
  <c r="H423" i="2"/>
  <c r="I423" i="2"/>
  <c r="C246" i="3"/>
  <c r="E246" i="3"/>
  <c r="H156" i="2"/>
  <c r="I156" i="2"/>
  <c r="C247" i="3"/>
  <c r="E247" i="3"/>
  <c r="H157" i="2"/>
  <c r="I157" i="2"/>
  <c r="C248" i="3"/>
  <c r="E248" i="3"/>
  <c r="H424" i="2"/>
  <c r="I424" i="2"/>
  <c r="C249" i="3"/>
  <c r="E249" i="3"/>
  <c r="H161" i="2"/>
  <c r="I161" i="2"/>
  <c r="C250" i="3"/>
  <c r="E250" i="3"/>
  <c r="H425" i="2"/>
  <c r="I425" i="2"/>
  <c r="C251" i="3"/>
  <c r="E251" i="3"/>
  <c r="H162" i="2"/>
  <c r="I162" i="2"/>
  <c r="C252" i="3"/>
  <c r="E252" i="3"/>
  <c r="H163" i="2"/>
  <c r="I163" i="2"/>
  <c r="C253" i="3"/>
  <c r="E253" i="3"/>
  <c r="H164" i="2"/>
  <c r="I164" i="2"/>
  <c r="C254" i="3"/>
  <c r="E254" i="3"/>
  <c r="H165" i="2"/>
  <c r="I165" i="2"/>
  <c r="C255" i="3"/>
  <c r="E255" i="3"/>
  <c r="H166" i="2"/>
  <c r="I166" i="2"/>
  <c r="C256" i="3"/>
  <c r="E256" i="3"/>
  <c r="H196" i="2"/>
  <c r="I196" i="2"/>
  <c r="C257" i="3"/>
  <c r="E257" i="3"/>
  <c r="H430" i="2"/>
  <c r="I430" i="2"/>
  <c r="C258" i="3"/>
  <c r="E258" i="3"/>
  <c r="H431" i="2"/>
  <c r="I431" i="2"/>
  <c r="C259" i="3"/>
  <c r="E259" i="3"/>
  <c r="H434" i="2"/>
  <c r="I434" i="2"/>
  <c r="C260" i="3"/>
  <c r="E260" i="3"/>
  <c r="H206" i="2"/>
  <c r="I206" i="2"/>
  <c r="C261" i="3"/>
  <c r="E261" i="3"/>
  <c r="H207" i="2"/>
  <c r="I207" i="2"/>
  <c r="C262" i="3"/>
  <c r="E262" i="3"/>
  <c r="H209" i="2"/>
  <c r="I209" i="2"/>
  <c r="C263" i="3"/>
  <c r="E263" i="3"/>
  <c r="H210" i="2"/>
  <c r="I210" i="2"/>
  <c r="C264" i="3"/>
  <c r="E264" i="3"/>
  <c r="H436" i="2"/>
  <c r="I436" i="2"/>
  <c r="C265" i="3"/>
  <c r="E265" i="3"/>
  <c r="H211" i="2"/>
  <c r="I211" i="2"/>
  <c r="C266" i="3"/>
  <c r="E266" i="3"/>
  <c r="H212" i="2"/>
  <c r="I212" i="2"/>
  <c r="C267" i="3"/>
  <c r="E267" i="3"/>
  <c r="H213" i="2"/>
  <c r="I213" i="2"/>
  <c r="C268" i="3"/>
  <c r="E268" i="3"/>
  <c r="H437" i="2"/>
  <c r="I437" i="2"/>
  <c r="C269" i="3"/>
  <c r="E269" i="3"/>
  <c r="H224" i="2"/>
  <c r="I224" i="2"/>
  <c r="C270" i="3"/>
  <c r="E270" i="3"/>
  <c r="H444" i="2"/>
  <c r="I444" i="2"/>
  <c r="C271" i="3"/>
  <c r="E271" i="3"/>
  <c r="H465" i="2"/>
  <c r="I465" i="2"/>
  <c r="C272" i="3"/>
  <c r="E272" i="3"/>
  <c r="H466" i="2"/>
  <c r="I466" i="2"/>
  <c r="C273" i="3"/>
  <c r="E273" i="3"/>
  <c r="H307" i="2"/>
  <c r="I307" i="2"/>
  <c r="C274" i="3"/>
  <c r="E274" i="3"/>
  <c r="H496" i="2"/>
  <c r="I496" i="2"/>
  <c r="C275" i="3"/>
  <c r="E275" i="3"/>
  <c r="H498" i="2"/>
  <c r="I498" i="2"/>
  <c r="C276" i="3"/>
  <c r="E276" i="3"/>
  <c r="H499" i="2"/>
  <c r="I499" i="2"/>
  <c r="C277" i="3"/>
  <c r="E277" i="3"/>
  <c r="H319" i="2"/>
  <c r="I319" i="2"/>
  <c r="C278" i="3"/>
  <c r="E278" i="3"/>
  <c r="H320" i="2"/>
  <c r="I320" i="2"/>
  <c r="C279" i="3"/>
  <c r="E279" i="3"/>
  <c r="H324" i="2"/>
  <c r="I324" i="2"/>
  <c r="C280" i="3"/>
  <c r="E280" i="3"/>
  <c r="H325" i="2"/>
  <c r="I325" i="2"/>
  <c r="C281" i="3"/>
  <c r="E281" i="3"/>
  <c r="H329" i="2"/>
  <c r="I329" i="2"/>
  <c r="C282" i="3"/>
  <c r="E282" i="3"/>
  <c r="H506" i="2"/>
  <c r="I506" i="2"/>
  <c r="C283" i="3"/>
  <c r="E283" i="3"/>
  <c r="H38" i="2"/>
  <c r="I38" i="2"/>
  <c r="C284" i="3"/>
  <c r="E284" i="3"/>
  <c r="H187" i="2"/>
  <c r="I187" i="2"/>
  <c r="C285" i="3"/>
  <c r="E285" i="3"/>
  <c r="H202" i="2"/>
  <c r="I202" i="2"/>
  <c r="C286" i="3"/>
  <c r="E286" i="3"/>
  <c r="H222" i="2"/>
  <c r="I222" i="2"/>
  <c r="C287" i="3"/>
  <c r="E287" i="3"/>
  <c r="H245" i="2"/>
  <c r="I245" i="2"/>
  <c r="C288" i="3"/>
  <c r="E288" i="3"/>
  <c r="H253" i="2"/>
  <c r="I253" i="2"/>
  <c r="C289" i="3"/>
  <c r="E289" i="3"/>
  <c r="H254" i="2"/>
  <c r="I254" i="2"/>
  <c r="C290" i="3"/>
  <c r="E290" i="3"/>
  <c r="H257" i="2"/>
  <c r="I257" i="2"/>
  <c r="C291" i="3"/>
  <c r="E291" i="3"/>
  <c r="H261" i="2"/>
  <c r="I261" i="2"/>
  <c r="C292" i="3"/>
  <c r="E292" i="3"/>
  <c r="H281" i="2"/>
  <c r="I281" i="2"/>
  <c r="C293" i="3"/>
  <c r="E293" i="3"/>
  <c r="H283" i="2"/>
  <c r="I283" i="2"/>
  <c r="C294" i="3"/>
  <c r="E294" i="3"/>
  <c r="H331" i="2"/>
  <c r="I331" i="2"/>
  <c r="C295" i="3"/>
  <c r="E295" i="3"/>
  <c r="H33" i="2"/>
  <c r="I33" i="2"/>
  <c r="C296" i="3"/>
  <c r="E296" i="3"/>
  <c r="H300" i="2"/>
  <c r="I300" i="2"/>
  <c r="C297" i="3"/>
  <c r="E297" i="3"/>
  <c r="H10" i="2"/>
  <c r="I10" i="2"/>
  <c r="C298" i="3"/>
  <c r="E298" i="3"/>
  <c r="H32" i="2"/>
  <c r="I32" i="2"/>
  <c r="C299" i="3"/>
  <c r="E299" i="3"/>
  <c r="H39" i="2"/>
  <c r="I39" i="2"/>
  <c r="C300" i="3"/>
  <c r="E300" i="3"/>
  <c r="H62" i="2"/>
  <c r="I62" i="2"/>
  <c r="C301" i="3"/>
  <c r="E301" i="3"/>
  <c r="H188" i="2"/>
  <c r="I188" i="2"/>
  <c r="C302" i="3"/>
  <c r="E302" i="3"/>
  <c r="H427" i="2"/>
  <c r="I427" i="2"/>
  <c r="C303" i="3"/>
  <c r="E303" i="3"/>
  <c r="H193" i="2"/>
  <c r="I193" i="2"/>
  <c r="C304" i="3"/>
  <c r="E304" i="3"/>
  <c r="H197" i="2"/>
  <c r="I197" i="2"/>
  <c r="C305" i="3"/>
  <c r="E305" i="3"/>
  <c r="H238" i="2"/>
  <c r="I238" i="2"/>
  <c r="C306" i="3"/>
  <c r="E306" i="3"/>
  <c r="H452" i="2"/>
  <c r="I452" i="2"/>
  <c r="C307" i="3"/>
  <c r="E307" i="3"/>
  <c r="H280" i="2"/>
  <c r="I280" i="2"/>
  <c r="C308" i="3"/>
  <c r="E308" i="3"/>
  <c r="H286" i="2"/>
  <c r="I286" i="2"/>
  <c r="C309" i="3"/>
  <c r="E309" i="3"/>
  <c r="H478" i="2"/>
  <c r="I478" i="2"/>
  <c r="C310" i="3"/>
  <c r="E310" i="3"/>
  <c r="H308" i="2"/>
  <c r="I308" i="2"/>
  <c r="C311" i="3"/>
  <c r="E311" i="3"/>
  <c r="H313" i="2"/>
  <c r="I313" i="2"/>
  <c r="C312" i="3"/>
  <c r="E312" i="3"/>
  <c r="H8" i="2"/>
  <c r="I8" i="2"/>
  <c r="C313" i="3"/>
  <c r="E313" i="3"/>
  <c r="H11" i="2"/>
  <c r="I11" i="2"/>
  <c r="C314" i="3"/>
  <c r="E314" i="3"/>
  <c r="H12" i="2"/>
  <c r="I12" i="2"/>
  <c r="C315" i="3"/>
  <c r="E315" i="3"/>
  <c r="H34" i="2"/>
  <c r="I34" i="2"/>
  <c r="C316" i="3"/>
  <c r="E316" i="3"/>
  <c r="H36" i="2"/>
  <c r="I36" i="2"/>
  <c r="C317" i="3"/>
  <c r="E317" i="3"/>
  <c r="H37" i="2"/>
  <c r="I37" i="2"/>
  <c r="C318" i="3"/>
  <c r="E318" i="3"/>
  <c r="H76" i="2"/>
  <c r="I76" i="2"/>
  <c r="C319" i="3"/>
  <c r="E319" i="3"/>
  <c r="H183" i="2"/>
  <c r="I183" i="2"/>
  <c r="C320" i="3"/>
  <c r="E320" i="3"/>
  <c r="H185" i="2"/>
  <c r="I185" i="2"/>
  <c r="C321" i="3"/>
  <c r="E321" i="3"/>
  <c r="H449" i="2"/>
  <c r="I449" i="2"/>
  <c r="C322" i="3"/>
  <c r="E322" i="3"/>
  <c r="H451" i="2"/>
  <c r="I451" i="2"/>
  <c r="C323" i="3"/>
  <c r="E323" i="3"/>
  <c r="H460" i="2"/>
  <c r="I460" i="2"/>
  <c r="C324" i="3"/>
  <c r="E324" i="3"/>
  <c r="H289" i="2"/>
  <c r="I289" i="2"/>
  <c r="C325" i="3"/>
  <c r="E325" i="3"/>
  <c r="H488" i="2"/>
  <c r="I488" i="2"/>
  <c r="C326" i="3"/>
  <c r="E326" i="3"/>
  <c r="H103" i="2"/>
  <c r="I103" i="2"/>
  <c r="C327" i="3"/>
  <c r="E327" i="3"/>
  <c r="H63" i="2"/>
  <c r="I63" i="2"/>
  <c r="C328" i="3"/>
  <c r="E328" i="3"/>
  <c r="H221" i="2"/>
  <c r="I221" i="2"/>
  <c r="C329" i="3"/>
  <c r="E329" i="3"/>
  <c r="H255" i="2"/>
  <c r="I255" i="2"/>
  <c r="C330" i="3"/>
  <c r="E330" i="3"/>
  <c r="H285" i="2"/>
  <c r="I285" i="2"/>
  <c r="C331" i="3"/>
  <c r="E331" i="3"/>
  <c r="H290" i="2"/>
  <c r="I290" i="2"/>
  <c r="C332" i="3"/>
  <c r="E332" i="3"/>
  <c r="H334" i="2"/>
  <c r="I334" i="2"/>
  <c r="C333" i="3"/>
  <c r="E333" i="3"/>
  <c r="H336" i="2"/>
  <c r="I336" i="2"/>
  <c r="C334" i="3"/>
  <c r="E334" i="3"/>
  <c r="H84" i="2"/>
  <c r="I84" i="2"/>
  <c r="C335" i="3"/>
  <c r="E335" i="3"/>
  <c r="H68" i="2"/>
  <c r="I68" i="2"/>
  <c r="C336" i="3"/>
  <c r="E336" i="3"/>
  <c r="H387" i="2"/>
  <c r="I387" i="2"/>
  <c r="C337" i="3"/>
  <c r="E337" i="3"/>
  <c r="H98" i="2"/>
  <c r="I98" i="2"/>
  <c r="C338" i="3"/>
  <c r="E338" i="3"/>
  <c r="H397" i="2"/>
  <c r="I397" i="2"/>
  <c r="C339" i="3"/>
  <c r="E339" i="3"/>
  <c r="H110" i="2"/>
  <c r="I110" i="2"/>
  <c r="C340" i="3"/>
  <c r="E340" i="3"/>
  <c r="H123" i="2"/>
  <c r="I123" i="2"/>
  <c r="C341" i="3"/>
  <c r="E341" i="3"/>
  <c r="H130" i="2"/>
  <c r="I130" i="2"/>
  <c r="C342" i="3"/>
  <c r="E342" i="3"/>
  <c r="H141" i="2"/>
  <c r="I141" i="2"/>
  <c r="C343" i="3"/>
  <c r="E343" i="3"/>
  <c r="H269" i="2"/>
  <c r="I269" i="2"/>
  <c r="C344" i="3"/>
  <c r="E344" i="3"/>
  <c r="H471" i="2"/>
  <c r="I471" i="2"/>
  <c r="C345" i="3"/>
  <c r="E345" i="3"/>
  <c r="H505" i="2"/>
  <c r="I505" i="2"/>
  <c r="C346" i="3"/>
  <c r="E346" i="3"/>
  <c r="H9" i="2"/>
  <c r="I9" i="2"/>
  <c r="C347" i="3"/>
  <c r="E347" i="3"/>
  <c r="H27" i="2"/>
  <c r="I27" i="2"/>
  <c r="C348" i="3"/>
  <c r="E348" i="3"/>
  <c r="H366" i="2"/>
  <c r="I366" i="2"/>
  <c r="C349" i="3"/>
  <c r="E349" i="3"/>
  <c r="H30" i="2"/>
  <c r="I30" i="2"/>
  <c r="C350" i="3"/>
  <c r="E350" i="3"/>
  <c r="H368" i="2"/>
  <c r="I368" i="2"/>
  <c r="C351" i="3"/>
  <c r="E351" i="3"/>
  <c r="H369" i="2"/>
  <c r="I369" i="2"/>
  <c r="C352" i="3"/>
  <c r="E352" i="3"/>
  <c r="H31" i="2"/>
  <c r="I31" i="2"/>
  <c r="C353" i="3"/>
  <c r="E353" i="3"/>
  <c r="H370" i="2"/>
  <c r="I370" i="2"/>
  <c r="C354" i="3"/>
  <c r="E354" i="3"/>
  <c r="H372" i="2"/>
  <c r="I372" i="2"/>
  <c r="C355" i="3"/>
  <c r="E355" i="3"/>
  <c r="H64" i="2"/>
  <c r="I64" i="2"/>
  <c r="C356" i="3"/>
  <c r="E356" i="3"/>
  <c r="H384" i="2"/>
  <c r="I384" i="2"/>
  <c r="C357" i="3"/>
  <c r="E357" i="3"/>
  <c r="H385" i="2"/>
  <c r="I385" i="2"/>
  <c r="C358" i="3"/>
  <c r="E358" i="3"/>
  <c r="H386" i="2"/>
  <c r="I386" i="2"/>
  <c r="C359" i="3"/>
  <c r="E359" i="3"/>
  <c r="H77" i="2"/>
  <c r="I77" i="2"/>
  <c r="C360" i="3"/>
  <c r="E360" i="3"/>
  <c r="H78" i="2"/>
  <c r="I78" i="2"/>
  <c r="C361" i="3"/>
  <c r="E361" i="3"/>
  <c r="H389" i="2"/>
  <c r="I389" i="2"/>
  <c r="C362" i="3"/>
  <c r="E362" i="3"/>
  <c r="H401" i="2"/>
  <c r="I401" i="2"/>
  <c r="C363" i="3"/>
  <c r="E363" i="3"/>
  <c r="H402" i="2"/>
  <c r="I402" i="2"/>
  <c r="C364" i="3"/>
  <c r="E364" i="3"/>
  <c r="H403" i="2"/>
  <c r="I403" i="2"/>
  <c r="C365" i="3"/>
  <c r="E365" i="3"/>
  <c r="H404" i="2"/>
  <c r="I404" i="2"/>
  <c r="C366" i="3"/>
  <c r="E366" i="3"/>
  <c r="H405" i="2"/>
  <c r="I405" i="2"/>
  <c r="C367" i="3"/>
  <c r="E367" i="3"/>
  <c r="H113" i="2"/>
  <c r="I113" i="2"/>
  <c r="C368" i="3"/>
  <c r="E368" i="3"/>
  <c r="H406" i="2"/>
  <c r="I406" i="2"/>
  <c r="C369" i="3"/>
  <c r="E369" i="3"/>
  <c r="H407" i="2"/>
  <c r="I407" i="2"/>
  <c r="C370" i="3"/>
  <c r="E370" i="3"/>
  <c r="H413" i="2"/>
  <c r="I413" i="2"/>
  <c r="C371" i="3"/>
  <c r="E371" i="3"/>
  <c r="H133" i="2"/>
  <c r="I133" i="2"/>
  <c r="C372" i="3"/>
  <c r="E372" i="3"/>
  <c r="H137" i="2"/>
  <c r="I137" i="2"/>
  <c r="C373" i="3"/>
  <c r="E373" i="3"/>
  <c r="H419" i="2"/>
  <c r="I419" i="2"/>
  <c r="C374" i="3"/>
  <c r="E374" i="3"/>
  <c r="H184" i="2"/>
  <c r="I184" i="2"/>
  <c r="C375" i="3"/>
  <c r="E375" i="3"/>
  <c r="H186" i="2"/>
  <c r="I186" i="2"/>
  <c r="C376" i="3"/>
  <c r="E376" i="3"/>
  <c r="H189" i="2"/>
  <c r="I189" i="2"/>
  <c r="C377" i="3"/>
  <c r="E377" i="3"/>
  <c r="H426" i="2"/>
  <c r="I426" i="2"/>
  <c r="C378" i="3"/>
  <c r="E378" i="3"/>
  <c r="H190" i="2"/>
  <c r="I190" i="2"/>
  <c r="C379" i="3"/>
  <c r="E379" i="3"/>
  <c r="H428" i="2"/>
  <c r="I428" i="2"/>
  <c r="C380" i="3"/>
  <c r="E380" i="3"/>
  <c r="H191" i="2"/>
  <c r="I191" i="2"/>
  <c r="C381" i="3"/>
  <c r="E381" i="3"/>
  <c r="H429" i="2"/>
  <c r="I429" i="2"/>
  <c r="C382" i="3"/>
  <c r="E382" i="3"/>
  <c r="H203" i="2"/>
  <c r="I203" i="2"/>
  <c r="C383" i="3"/>
  <c r="E383" i="3"/>
  <c r="H204" i="2"/>
  <c r="I204" i="2"/>
  <c r="C384" i="3"/>
  <c r="E384" i="3"/>
  <c r="H205" i="2"/>
  <c r="I205" i="2"/>
  <c r="C385" i="3"/>
  <c r="E385" i="3"/>
  <c r="H438" i="2"/>
  <c r="I438" i="2"/>
  <c r="C386" i="3"/>
  <c r="E386" i="3"/>
  <c r="H443" i="2"/>
  <c r="I443" i="2"/>
  <c r="C387" i="3"/>
  <c r="E387" i="3"/>
  <c r="H230" i="2"/>
  <c r="I230" i="2"/>
  <c r="C388" i="3"/>
  <c r="E388" i="3"/>
  <c r="H446" i="2"/>
  <c r="I446" i="2"/>
  <c r="C389" i="3"/>
  <c r="E389" i="3"/>
  <c r="H448" i="2"/>
  <c r="I448" i="2"/>
  <c r="C390" i="3"/>
  <c r="E390" i="3"/>
  <c r="H241" i="2"/>
  <c r="I241" i="2"/>
  <c r="C391" i="3"/>
  <c r="E391" i="3"/>
  <c r="H244" i="2"/>
  <c r="I244" i="2"/>
  <c r="C392" i="3"/>
  <c r="E392" i="3"/>
  <c r="H246" i="2"/>
  <c r="I246" i="2"/>
  <c r="C393" i="3"/>
  <c r="E393" i="3"/>
  <c r="H455" i="2"/>
  <c r="I455" i="2"/>
  <c r="C394" i="3"/>
  <c r="E394" i="3"/>
  <c r="H251" i="2"/>
  <c r="I251" i="2"/>
  <c r="C395" i="3"/>
  <c r="E395" i="3"/>
  <c r="H252" i="2"/>
  <c r="I252" i="2"/>
  <c r="C396" i="3"/>
  <c r="E396" i="3"/>
  <c r="H457" i="2"/>
  <c r="I457" i="2"/>
  <c r="C397" i="3"/>
  <c r="E397" i="3"/>
  <c r="H256" i="2"/>
  <c r="I256" i="2"/>
  <c r="C398" i="3"/>
  <c r="E398" i="3"/>
  <c r="H258" i="2"/>
  <c r="I258" i="2"/>
  <c r="C399" i="3"/>
  <c r="E399" i="3"/>
  <c r="H259" i="2"/>
  <c r="I259" i="2"/>
  <c r="C400" i="3"/>
  <c r="E400" i="3"/>
  <c r="H260" i="2"/>
  <c r="I260" i="2"/>
  <c r="C401" i="3"/>
  <c r="E401" i="3"/>
  <c r="H262" i="2"/>
  <c r="I262" i="2"/>
  <c r="C402" i="3"/>
  <c r="E402" i="3"/>
  <c r="H263" i="2"/>
  <c r="I263" i="2"/>
  <c r="C403" i="3"/>
  <c r="E403" i="3"/>
  <c r="H458" i="2"/>
  <c r="I458" i="2"/>
  <c r="C404" i="3"/>
  <c r="E404" i="3"/>
  <c r="H264" i="2"/>
  <c r="I264" i="2"/>
  <c r="C405" i="3"/>
  <c r="E405" i="3"/>
  <c r="H265" i="2"/>
  <c r="I265" i="2"/>
  <c r="C406" i="3"/>
  <c r="E406" i="3"/>
  <c r="H459" i="2"/>
  <c r="I459" i="2"/>
  <c r="C407" i="3"/>
  <c r="E407" i="3"/>
  <c r="H267" i="2"/>
  <c r="I267" i="2"/>
  <c r="C408" i="3"/>
  <c r="E408" i="3"/>
  <c r="H461" i="2"/>
  <c r="I461" i="2"/>
  <c r="C409" i="3"/>
  <c r="E409" i="3"/>
  <c r="H462" i="2"/>
  <c r="I462" i="2"/>
  <c r="C410" i="3"/>
  <c r="E410" i="3"/>
  <c r="H463" i="2"/>
  <c r="I463" i="2"/>
  <c r="C411" i="3"/>
  <c r="E411" i="3"/>
  <c r="H284" i="2"/>
  <c r="I284" i="2"/>
  <c r="C412" i="3"/>
  <c r="E412" i="3"/>
  <c r="H287" i="2"/>
  <c r="I287" i="2"/>
  <c r="C413" i="3"/>
  <c r="E413" i="3"/>
  <c r="H288" i="2"/>
  <c r="I288" i="2"/>
  <c r="C414" i="3"/>
  <c r="E414" i="3"/>
  <c r="H295" i="2"/>
  <c r="I295" i="2"/>
  <c r="C415" i="3"/>
  <c r="E415" i="3"/>
  <c r="H476" i="2"/>
  <c r="I476" i="2"/>
  <c r="C416" i="3"/>
  <c r="E416" i="3"/>
  <c r="H480" i="2"/>
  <c r="I480" i="2"/>
  <c r="C417" i="3"/>
  <c r="E417" i="3"/>
  <c r="H296" i="2"/>
  <c r="I296" i="2"/>
  <c r="C418" i="3"/>
  <c r="E418" i="3"/>
  <c r="H297" i="2"/>
  <c r="I297" i="2"/>
  <c r="C419" i="3"/>
  <c r="E419" i="3"/>
  <c r="H482" i="2"/>
  <c r="I482" i="2"/>
  <c r="C420" i="3"/>
  <c r="E420" i="3"/>
  <c r="H483" i="2"/>
  <c r="I483" i="2"/>
  <c r="C421" i="3"/>
  <c r="E421" i="3"/>
  <c r="H484" i="2"/>
  <c r="I484" i="2"/>
  <c r="C422" i="3"/>
  <c r="E422" i="3"/>
  <c r="H301" i="2"/>
  <c r="I301" i="2"/>
  <c r="C423" i="3"/>
  <c r="E423" i="3"/>
  <c r="H487" i="2"/>
  <c r="I487" i="2"/>
  <c r="C424" i="3"/>
  <c r="E424" i="3"/>
  <c r="H493" i="2"/>
  <c r="I493" i="2"/>
  <c r="C425" i="3"/>
  <c r="E425" i="3"/>
  <c r="H314" i="2"/>
  <c r="I314" i="2"/>
  <c r="C426" i="3"/>
  <c r="E426" i="3"/>
  <c r="H497" i="2"/>
  <c r="I497" i="2"/>
  <c r="C427" i="3"/>
  <c r="E427" i="3"/>
  <c r="H508" i="2"/>
  <c r="I508" i="2"/>
  <c r="C428" i="3"/>
  <c r="E428" i="3"/>
  <c r="H509" i="2"/>
  <c r="I509" i="2"/>
  <c r="C429" i="3"/>
  <c r="E429" i="3"/>
  <c r="H330" i="2"/>
  <c r="I330" i="2"/>
  <c r="C430" i="3"/>
  <c r="E430" i="3"/>
  <c r="H510" i="2"/>
  <c r="I510" i="2"/>
  <c r="C431" i="3"/>
  <c r="E431" i="3"/>
  <c r="H511" i="2"/>
  <c r="I511" i="2"/>
  <c r="C432" i="3"/>
  <c r="E432" i="3"/>
  <c r="H512" i="2"/>
  <c r="I512" i="2"/>
  <c r="C433" i="3"/>
  <c r="E433" i="3"/>
  <c r="H513" i="2"/>
  <c r="I513" i="2"/>
  <c r="C434" i="3"/>
  <c r="E434" i="3"/>
  <c r="H514" i="2"/>
  <c r="I514" i="2"/>
  <c r="C435" i="3"/>
  <c r="E435" i="3"/>
  <c r="H3" i="2"/>
  <c r="I3" i="2"/>
  <c r="C436" i="3"/>
  <c r="E436" i="3"/>
  <c r="H4" i="2"/>
  <c r="I4" i="2"/>
  <c r="C437" i="3"/>
  <c r="E437" i="3"/>
  <c r="H69" i="2"/>
  <c r="I69" i="2"/>
  <c r="C438" i="3"/>
  <c r="E438" i="3"/>
  <c r="H131" i="2"/>
  <c r="I131" i="2"/>
  <c r="C439" i="3"/>
  <c r="E439" i="3"/>
  <c r="H504" i="2"/>
  <c r="I504" i="2"/>
  <c r="C440" i="3"/>
  <c r="E440" i="3"/>
  <c r="H13" i="2"/>
  <c r="I13" i="2"/>
  <c r="C441" i="3"/>
  <c r="E441" i="3"/>
  <c r="H89" i="2"/>
  <c r="I89" i="2"/>
  <c r="C442" i="3"/>
  <c r="E442" i="3"/>
  <c r="H94" i="2"/>
  <c r="I94" i="2"/>
  <c r="C443" i="3"/>
  <c r="E443" i="3"/>
  <c r="H127" i="2"/>
  <c r="I127" i="2"/>
  <c r="C444" i="3"/>
  <c r="E444" i="3"/>
  <c r="H129" i="2"/>
  <c r="I129" i="2"/>
  <c r="C445" i="3"/>
  <c r="E445" i="3"/>
  <c r="H132" i="2"/>
  <c r="I132" i="2"/>
  <c r="C446" i="3"/>
  <c r="E446" i="3"/>
  <c r="H272" i="2"/>
  <c r="I272" i="2"/>
  <c r="C447" i="3"/>
  <c r="E447" i="3"/>
  <c r="H316" i="2"/>
  <c r="I316" i="2"/>
  <c r="C448" i="3"/>
  <c r="E448" i="3"/>
  <c r="H350" i="2"/>
  <c r="I350" i="2"/>
  <c r="C449" i="3"/>
  <c r="E449" i="3"/>
  <c r="H363" i="2"/>
  <c r="I363" i="2"/>
  <c r="C450" i="3"/>
  <c r="E450" i="3"/>
  <c r="H22" i="2"/>
  <c r="I22" i="2"/>
  <c r="C451" i="3"/>
  <c r="E451" i="3"/>
  <c r="H25" i="2"/>
  <c r="I25" i="2"/>
  <c r="C452" i="3"/>
  <c r="E452" i="3"/>
  <c r="H367" i="2"/>
  <c r="I367" i="2"/>
  <c r="C453" i="3"/>
  <c r="E453" i="3"/>
  <c r="H388" i="2"/>
  <c r="I388" i="2"/>
  <c r="C454" i="3"/>
  <c r="E454" i="3"/>
  <c r="H87" i="2"/>
  <c r="I87" i="2"/>
  <c r="C455" i="3"/>
  <c r="E455" i="3"/>
  <c r="H394" i="2"/>
  <c r="I394" i="2"/>
  <c r="C456" i="3"/>
  <c r="E456" i="3"/>
  <c r="H88" i="2"/>
  <c r="I88" i="2"/>
  <c r="C457" i="3"/>
  <c r="E457" i="3"/>
  <c r="H90" i="2"/>
  <c r="I90" i="2"/>
  <c r="C458" i="3"/>
  <c r="E458" i="3"/>
  <c r="H395" i="2"/>
  <c r="I395" i="2"/>
  <c r="C459" i="3"/>
  <c r="E459" i="3"/>
  <c r="H91" i="2"/>
  <c r="I91" i="2"/>
  <c r="C460" i="3"/>
  <c r="E460" i="3"/>
  <c r="H92" i="2"/>
  <c r="I92" i="2"/>
  <c r="C461" i="3"/>
  <c r="E461" i="3"/>
  <c r="H396" i="2"/>
  <c r="I396" i="2"/>
  <c r="C462" i="3"/>
  <c r="E462" i="3"/>
  <c r="H93" i="2"/>
  <c r="I93" i="2"/>
  <c r="C463" i="3"/>
  <c r="E463" i="3"/>
  <c r="H95" i="2"/>
  <c r="I95" i="2"/>
  <c r="C464" i="3"/>
  <c r="E464" i="3"/>
  <c r="H96" i="2"/>
  <c r="I96" i="2"/>
  <c r="C465" i="3"/>
  <c r="E465" i="3"/>
  <c r="H97" i="2"/>
  <c r="I97" i="2"/>
  <c r="C466" i="3"/>
  <c r="E466" i="3"/>
  <c r="H99" i="2"/>
  <c r="I99" i="2"/>
  <c r="C467" i="3"/>
  <c r="E467" i="3"/>
  <c r="H399" i="2"/>
  <c r="I399" i="2"/>
  <c r="C468" i="3"/>
  <c r="E468" i="3"/>
  <c r="H400" i="2"/>
  <c r="I400" i="2"/>
  <c r="C469" i="3"/>
  <c r="E469" i="3"/>
  <c r="H102" i="2"/>
  <c r="I102" i="2"/>
  <c r="C470" i="3"/>
  <c r="E470" i="3"/>
  <c r="H104" i="2"/>
  <c r="I104" i="2"/>
  <c r="C471" i="3"/>
  <c r="E471" i="3"/>
  <c r="H105" i="2"/>
  <c r="I105" i="2"/>
  <c r="C472" i="3"/>
  <c r="E472" i="3"/>
  <c r="H106" i="2"/>
  <c r="I106" i="2"/>
  <c r="C473" i="3"/>
  <c r="E473" i="3"/>
  <c r="H107" i="2"/>
  <c r="I107" i="2"/>
  <c r="C474" i="3"/>
  <c r="E474" i="3"/>
  <c r="H108" i="2"/>
  <c r="I108" i="2"/>
  <c r="C475" i="3"/>
  <c r="E475" i="3"/>
  <c r="H109" i="2"/>
  <c r="I109" i="2"/>
  <c r="C476" i="3"/>
  <c r="E476" i="3"/>
  <c r="H111" i="2"/>
  <c r="I111" i="2"/>
  <c r="C477" i="3"/>
  <c r="E477" i="3"/>
  <c r="H408" i="2"/>
  <c r="I408" i="2"/>
  <c r="C478" i="3"/>
  <c r="E478" i="3"/>
  <c r="H117" i="2"/>
  <c r="I117" i="2"/>
  <c r="C479" i="3"/>
  <c r="E479" i="3"/>
  <c r="H409" i="2"/>
  <c r="I409" i="2"/>
  <c r="C480" i="3"/>
  <c r="E480" i="3"/>
  <c r="H118" i="2"/>
  <c r="I118" i="2"/>
  <c r="C481" i="3"/>
  <c r="E481" i="3"/>
  <c r="H410" i="2"/>
  <c r="I410" i="2"/>
  <c r="C482" i="3"/>
  <c r="E482" i="3"/>
  <c r="H119" i="2"/>
  <c r="I119" i="2"/>
  <c r="C483" i="3"/>
  <c r="E483" i="3"/>
  <c r="H126" i="2"/>
  <c r="I126" i="2"/>
  <c r="C484" i="3"/>
  <c r="E484" i="3"/>
  <c r="H134" i="2"/>
  <c r="I134" i="2"/>
  <c r="C485" i="3"/>
  <c r="E485" i="3"/>
  <c r="H135" i="2"/>
  <c r="I135" i="2"/>
  <c r="C486" i="3"/>
  <c r="E486" i="3"/>
  <c r="H138" i="2"/>
  <c r="I138" i="2"/>
  <c r="C487" i="3"/>
  <c r="E487" i="3"/>
  <c r="H420" i="2"/>
  <c r="I420" i="2"/>
  <c r="C488" i="3"/>
  <c r="E488" i="3"/>
  <c r="H144" i="2"/>
  <c r="I144" i="2"/>
  <c r="C489" i="3"/>
  <c r="E489" i="3"/>
  <c r="H145" i="2"/>
  <c r="I145" i="2"/>
  <c r="C490" i="3"/>
  <c r="E490" i="3"/>
  <c r="H192" i="2"/>
  <c r="I192" i="2"/>
  <c r="C491" i="3"/>
  <c r="E491" i="3"/>
  <c r="H194" i="2"/>
  <c r="I194" i="2"/>
  <c r="C492" i="3"/>
  <c r="E492" i="3"/>
  <c r="H195" i="2"/>
  <c r="I195" i="2"/>
  <c r="C493" i="3"/>
  <c r="E493" i="3"/>
  <c r="H199" i="2"/>
  <c r="I199" i="2"/>
  <c r="C494" i="3"/>
  <c r="E494" i="3"/>
  <c r="H201" i="2"/>
  <c r="I201" i="2"/>
  <c r="C495" i="3"/>
  <c r="E495" i="3"/>
  <c r="H217" i="2"/>
  <c r="I217" i="2"/>
  <c r="C496" i="3"/>
  <c r="E496" i="3"/>
  <c r="H439" i="2"/>
  <c r="I439" i="2"/>
  <c r="C497" i="3"/>
  <c r="E497" i="3"/>
  <c r="H440" i="2"/>
  <c r="I440" i="2"/>
  <c r="C498" i="3"/>
  <c r="E498" i="3"/>
  <c r="H441" i="2"/>
  <c r="I441" i="2"/>
  <c r="C499" i="3"/>
  <c r="E499" i="3"/>
  <c r="H442" i="2"/>
  <c r="I442" i="2"/>
  <c r="C500" i="3"/>
  <c r="E500" i="3"/>
  <c r="H232" i="2"/>
  <c r="I232" i="2"/>
  <c r="C501" i="3"/>
  <c r="E501" i="3"/>
  <c r="H233" i="2"/>
  <c r="I233" i="2"/>
  <c r="C502" i="3"/>
  <c r="E502" i="3"/>
  <c r="H270" i="2"/>
  <c r="I270" i="2"/>
  <c r="C503" i="3"/>
  <c r="E503" i="3"/>
  <c r="H271" i="2"/>
  <c r="I271" i="2"/>
  <c r="C504" i="3"/>
  <c r="E504" i="3"/>
  <c r="H275" i="2"/>
  <c r="I275" i="2"/>
  <c r="C505" i="3"/>
  <c r="E505" i="3"/>
  <c r="H282" i="2"/>
  <c r="I282" i="2"/>
  <c r="C506" i="3"/>
  <c r="E506" i="3"/>
  <c r="H468" i="2"/>
  <c r="I468" i="2"/>
  <c r="C507" i="3"/>
  <c r="E507" i="3"/>
  <c r="H469" i="2"/>
  <c r="I469" i="2"/>
  <c r="C508" i="3"/>
  <c r="E508" i="3"/>
  <c r="H481" i="2"/>
  <c r="I481" i="2"/>
  <c r="C509" i="3"/>
  <c r="E509" i="3"/>
  <c r="H485" i="2"/>
  <c r="I485" i="2"/>
  <c r="C510" i="3"/>
  <c r="E510" i="3"/>
  <c r="H486" i="2"/>
  <c r="I486" i="2"/>
  <c r="C511" i="3"/>
  <c r="E511" i="3"/>
  <c r="H302" i="2"/>
  <c r="I302" i="2"/>
  <c r="C512" i="3"/>
  <c r="E512" i="3"/>
  <c r="H303" i="2"/>
  <c r="I303" i="2"/>
  <c r="C513" i="3"/>
  <c r="E513" i="3"/>
  <c r="H317" i="2"/>
  <c r="I317" i="2"/>
  <c r="C514" i="3"/>
  <c r="E514" i="3"/>
  <c r="H322" i="2"/>
  <c r="I322" i="2"/>
  <c r="C515" i="3"/>
  <c r="E515" i="3"/>
  <c r="H323" i="2"/>
  <c r="I323" i="2"/>
  <c r="C516" i="3"/>
  <c r="E516" i="3"/>
  <c r="H326" i="2"/>
  <c r="I326" i="2"/>
  <c r="C517" i="3"/>
  <c r="E517" i="3"/>
  <c r="H517" i="2"/>
  <c r="I517" i="2"/>
  <c r="C518" i="3"/>
  <c r="E518" i="3"/>
  <c r="H337" i="2"/>
  <c r="I337" i="2"/>
  <c r="C519" i="3"/>
  <c r="E519" i="3"/>
  <c r="H518" i="2"/>
  <c r="I518" i="2"/>
  <c r="C520" i="3"/>
  <c r="E520" i="3"/>
  <c r="H349" i="2"/>
  <c r="I349" i="2"/>
  <c r="C521" i="3"/>
  <c r="E521" i="3"/>
  <c r="H522" i="2"/>
  <c r="I522" i="2"/>
  <c r="C522" i="3"/>
  <c r="E522" i="3"/>
  <c r="F209" i="3"/>
  <c r="G209" i="3"/>
  <c r="C87" i="4"/>
  <c r="I87" i="4"/>
  <c r="F4" i="3"/>
  <c r="G4" i="3"/>
  <c r="C2" i="4"/>
  <c r="I2" i="4"/>
  <c r="F7" i="3"/>
  <c r="G7" i="3"/>
  <c r="C3" i="4"/>
  <c r="I3" i="4"/>
  <c r="F8" i="3"/>
  <c r="G8" i="3"/>
  <c r="C4" i="4"/>
  <c r="I4" i="4"/>
  <c r="F25" i="3"/>
  <c r="G25" i="3"/>
  <c r="C5" i="4"/>
  <c r="I5" i="4"/>
  <c r="F10" i="3"/>
  <c r="G10" i="3"/>
  <c r="C6" i="4"/>
  <c r="I6" i="4"/>
  <c r="F11" i="3"/>
  <c r="G11" i="3"/>
  <c r="C7" i="4"/>
  <c r="I7" i="4"/>
  <c r="F12" i="3"/>
  <c r="G12" i="3"/>
  <c r="C8" i="4"/>
  <c r="I8" i="4"/>
  <c r="F13" i="3"/>
  <c r="G13" i="3"/>
  <c r="C9" i="4"/>
  <c r="I9" i="4"/>
  <c r="F14" i="3"/>
  <c r="G14" i="3"/>
  <c r="C10" i="4"/>
  <c r="I10" i="4"/>
  <c r="F15" i="3"/>
  <c r="G15" i="3"/>
  <c r="C11" i="4"/>
  <c r="I11" i="4"/>
  <c r="F2" i="3"/>
  <c r="G2" i="3"/>
  <c r="C12" i="4"/>
  <c r="I12" i="4"/>
  <c r="F16" i="3"/>
  <c r="G16" i="3"/>
  <c r="C13" i="4"/>
  <c r="I13" i="4"/>
  <c r="F17" i="3"/>
  <c r="G17" i="3"/>
  <c r="C14" i="4"/>
  <c r="I14" i="4"/>
  <c r="F3" i="3"/>
  <c r="G3" i="3"/>
  <c r="C15" i="4"/>
  <c r="I15" i="4"/>
  <c r="F5" i="3"/>
  <c r="G5" i="3"/>
  <c r="C16" i="4"/>
  <c r="I16" i="4"/>
  <c r="F6" i="3"/>
  <c r="G6" i="3"/>
  <c r="C17" i="4"/>
  <c r="I17" i="4"/>
  <c r="F20" i="3"/>
  <c r="G20" i="3"/>
  <c r="C18" i="4"/>
  <c r="I18" i="4"/>
  <c r="F21" i="3"/>
  <c r="G21" i="3"/>
  <c r="C19" i="4"/>
  <c r="I19" i="4"/>
  <c r="F9" i="3"/>
  <c r="G9" i="3"/>
  <c r="C20" i="4"/>
  <c r="I20" i="4"/>
  <c r="F22" i="3"/>
  <c r="G22" i="3"/>
  <c r="C21" i="4"/>
  <c r="I21" i="4"/>
  <c r="F27" i="3"/>
  <c r="G27" i="3"/>
  <c r="C22" i="4"/>
  <c r="I22" i="4"/>
  <c r="F23" i="3"/>
  <c r="G23" i="3"/>
  <c r="C23" i="4"/>
  <c r="I23" i="4"/>
  <c r="F26" i="3"/>
  <c r="G26" i="3"/>
  <c r="C24" i="4"/>
  <c r="I24" i="4"/>
  <c r="F86" i="3"/>
  <c r="G86" i="3"/>
  <c r="C25" i="4"/>
  <c r="I25" i="4"/>
  <c r="F183" i="3"/>
  <c r="G183" i="3"/>
  <c r="C26" i="4"/>
  <c r="I26" i="4"/>
  <c r="F199" i="3"/>
  <c r="G199" i="3"/>
  <c r="C27" i="4"/>
  <c r="I27" i="4"/>
  <c r="F200" i="3"/>
  <c r="G200" i="3"/>
  <c r="C28" i="4"/>
  <c r="I28" i="4"/>
  <c r="F207" i="3"/>
  <c r="G207" i="3"/>
  <c r="C29" i="4"/>
  <c r="I29" i="4"/>
  <c r="F87" i="3"/>
  <c r="G87" i="3"/>
  <c r="C30" i="4"/>
  <c r="I30" i="4"/>
  <c r="F88" i="3"/>
  <c r="G88" i="3"/>
  <c r="C31" i="4"/>
  <c r="I31" i="4"/>
  <c r="F89" i="3"/>
  <c r="G89" i="3"/>
  <c r="C32" i="4"/>
  <c r="I32" i="4"/>
  <c r="F91" i="3"/>
  <c r="G91" i="3"/>
  <c r="C33" i="4"/>
  <c r="I33" i="4"/>
  <c r="F93" i="3"/>
  <c r="G93" i="3"/>
  <c r="C34" i="4"/>
  <c r="I34" i="4"/>
  <c r="F94" i="3"/>
  <c r="G94" i="3"/>
  <c r="C35" i="4"/>
  <c r="I35" i="4"/>
  <c r="F76" i="3"/>
  <c r="G76" i="3"/>
  <c r="C36" i="4"/>
  <c r="I36" i="4"/>
  <c r="F95" i="3"/>
  <c r="G95" i="3"/>
  <c r="C37" i="4"/>
  <c r="I37" i="4"/>
  <c r="F77" i="3"/>
  <c r="G77" i="3"/>
  <c r="C38" i="4"/>
  <c r="I38" i="4"/>
  <c r="F78" i="3"/>
  <c r="G78" i="3"/>
  <c r="C39" i="4"/>
  <c r="I39" i="4"/>
  <c r="F97" i="3"/>
  <c r="G97" i="3"/>
  <c r="C40" i="4"/>
  <c r="I40" i="4"/>
  <c r="F98" i="3"/>
  <c r="G98" i="3"/>
  <c r="C41" i="4"/>
  <c r="I41" i="4"/>
  <c r="F99" i="3"/>
  <c r="G99" i="3"/>
  <c r="C42" i="4"/>
  <c r="I42" i="4"/>
  <c r="F101" i="3"/>
  <c r="G101" i="3"/>
  <c r="C43" i="4"/>
  <c r="I43" i="4"/>
  <c r="F102" i="3"/>
  <c r="G102" i="3"/>
  <c r="C44" i="4"/>
  <c r="I44" i="4"/>
  <c r="F103" i="3"/>
  <c r="G103" i="3"/>
  <c r="C45" i="4"/>
  <c r="I45" i="4"/>
  <c r="F104" i="3"/>
  <c r="G104" i="3"/>
  <c r="C46" i="4"/>
  <c r="I46" i="4"/>
  <c r="F79" i="3"/>
  <c r="G79" i="3"/>
  <c r="C47" i="4"/>
  <c r="I47" i="4"/>
  <c r="F80" i="3"/>
  <c r="G80" i="3"/>
  <c r="C48" i="4"/>
  <c r="I48" i="4"/>
  <c r="F18" i="3"/>
  <c r="G18" i="3"/>
  <c r="C49" i="4"/>
  <c r="I49" i="4"/>
  <c r="F19" i="3"/>
  <c r="G19" i="3"/>
  <c r="C50" i="4"/>
  <c r="I50" i="4"/>
  <c r="F214" i="3"/>
  <c r="G214" i="3"/>
  <c r="C51" i="4"/>
  <c r="I51" i="4"/>
  <c r="F218" i="3"/>
  <c r="G218" i="3"/>
  <c r="C52" i="4"/>
  <c r="I52" i="4"/>
  <c r="F66" i="3"/>
  <c r="G66" i="3"/>
  <c r="C53" i="4"/>
  <c r="I53" i="4"/>
  <c r="F186" i="3"/>
  <c r="G186" i="3"/>
  <c r="C54" i="4"/>
  <c r="I54" i="4"/>
  <c r="F105" i="3"/>
  <c r="G105" i="3"/>
  <c r="C55" i="4"/>
  <c r="I55" i="4"/>
  <c r="F106" i="3"/>
  <c r="G106" i="3"/>
  <c r="C56" i="4"/>
  <c r="I56" i="4"/>
  <c r="F81" i="3"/>
  <c r="G81" i="3"/>
  <c r="C57" i="4"/>
  <c r="I57" i="4"/>
  <c r="F107" i="3"/>
  <c r="G107" i="3"/>
  <c r="C58" i="4"/>
  <c r="I58" i="4"/>
  <c r="F108" i="3"/>
  <c r="G108" i="3"/>
  <c r="C59" i="4"/>
  <c r="I59" i="4"/>
  <c r="F109" i="3"/>
  <c r="G109" i="3"/>
  <c r="C60" i="4"/>
  <c r="I60" i="4"/>
  <c r="F111" i="3"/>
  <c r="G111" i="3"/>
  <c r="C61" i="4"/>
  <c r="I61" i="4"/>
  <c r="F112" i="3"/>
  <c r="G112" i="3"/>
  <c r="C62" i="4"/>
  <c r="I62" i="4"/>
  <c r="F113" i="3"/>
  <c r="G113" i="3"/>
  <c r="C63" i="4"/>
  <c r="I63" i="4"/>
  <c r="F82" i="3"/>
  <c r="G82" i="3"/>
  <c r="C64" i="4"/>
  <c r="I64" i="4"/>
  <c r="F83" i="3"/>
  <c r="G83" i="3"/>
  <c r="C65" i="4"/>
  <c r="I65" i="4"/>
  <c r="F114" i="3"/>
  <c r="G114" i="3"/>
  <c r="C66" i="4"/>
  <c r="I66" i="4"/>
  <c r="F115" i="3"/>
  <c r="G115" i="3"/>
  <c r="C67" i="4"/>
  <c r="I67" i="4"/>
  <c r="F84" i="3"/>
  <c r="G84" i="3"/>
  <c r="C68" i="4"/>
  <c r="I68" i="4"/>
  <c r="F85" i="3"/>
  <c r="G85" i="3"/>
  <c r="C69" i="4"/>
  <c r="I69" i="4"/>
  <c r="F24" i="3"/>
  <c r="G24" i="3"/>
  <c r="C70" i="4"/>
  <c r="I70" i="4"/>
  <c r="F64" i="3"/>
  <c r="G64" i="3"/>
  <c r="C71" i="4"/>
  <c r="I71" i="4"/>
  <c r="F65" i="3"/>
  <c r="G65" i="3"/>
  <c r="C72" i="4"/>
  <c r="I72" i="4"/>
  <c r="F68" i="3"/>
  <c r="G68" i="3"/>
  <c r="C73" i="4"/>
  <c r="I73" i="4"/>
  <c r="F69" i="3"/>
  <c r="G69" i="3"/>
  <c r="C74" i="4"/>
  <c r="I74" i="4"/>
  <c r="F193" i="3"/>
  <c r="G193" i="3"/>
  <c r="C75" i="4"/>
  <c r="I75" i="4"/>
  <c r="F196" i="3"/>
  <c r="G196" i="3"/>
  <c r="C76" i="4"/>
  <c r="I76" i="4"/>
  <c r="F198" i="3"/>
  <c r="G198" i="3"/>
  <c r="C77" i="4"/>
  <c r="I77" i="4"/>
  <c r="F201" i="3"/>
  <c r="G201" i="3"/>
  <c r="C78" i="4"/>
  <c r="I78" i="4"/>
  <c r="F184" i="3"/>
  <c r="G184" i="3"/>
  <c r="C79" i="4"/>
  <c r="I79" i="4"/>
  <c r="F202" i="3"/>
  <c r="G202" i="3"/>
  <c r="C80" i="4"/>
  <c r="I80" i="4"/>
  <c r="F185" i="3"/>
  <c r="G185" i="3"/>
  <c r="C81" i="4"/>
  <c r="I81" i="4"/>
  <c r="F204" i="3"/>
  <c r="G204" i="3"/>
  <c r="C82" i="4"/>
  <c r="I82" i="4"/>
  <c r="F205" i="3"/>
  <c r="G205" i="3"/>
  <c r="C83" i="4"/>
  <c r="I83" i="4"/>
  <c r="F206" i="3"/>
  <c r="G206" i="3"/>
  <c r="C84" i="4"/>
  <c r="I84" i="4"/>
  <c r="F187" i="3"/>
  <c r="G187" i="3"/>
  <c r="C85" i="4"/>
  <c r="I85" i="4"/>
  <c r="F188" i="3"/>
  <c r="G188" i="3"/>
  <c r="C86" i="4"/>
  <c r="I86" i="4"/>
  <c r="F210" i="3"/>
  <c r="G210" i="3"/>
  <c r="C88" i="4"/>
  <c r="I88" i="4"/>
  <c r="F211" i="3"/>
  <c r="G211" i="3"/>
  <c r="C89" i="4"/>
  <c r="I89" i="4"/>
  <c r="F212" i="3"/>
  <c r="G212" i="3"/>
  <c r="C90" i="4"/>
  <c r="I90" i="4"/>
  <c r="F220" i="3"/>
  <c r="G220" i="3"/>
  <c r="C91" i="4"/>
  <c r="I91" i="4"/>
  <c r="F92" i="3"/>
  <c r="G92" i="3"/>
  <c r="C92" i="4"/>
  <c r="I92" i="4"/>
  <c r="F96" i="3"/>
  <c r="G96" i="3"/>
  <c r="C93" i="4"/>
  <c r="I93" i="4"/>
  <c r="F100" i="3"/>
  <c r="G100" i="3"/>
  <c r="C94" i="4"/>
  <c r="I94" i="4"/>
  <c r="F71" i="3"/>
  <c r="G71" i="3"/>
  <c r="C95" i="4"/>
  <c r="I95" i="4"/>
  <c r="F215" i="3"/>
  <c r="G215" i="3"/>
  <c r="C96" i="4"/>
  <c r="I96" i="4"/>
  <c r="F216" i="3"/>
  <c r="G216" i="3"/>
  <c r="C97" i="4"/>
  <c r="I97" i="4"/>
  <c r="F217" i="3"/>
  <c r="G217" i="3"/>
  <c r="C98" i="4"/>
  <c r="I98" i="4"/>
  <c r="F221" i="3"/>
  <c r="G221" i="3"/>
  <c r="C99" i="4"/>
  <c r="I99" i="4"/>
  <c r="F189" i="3"/>
  <c r="G189" i="3"/>
  <c r="C100" i="4"/>
  <c r="I100" i="4"/>
  <c r="F222" i="3"/>
  <c r="G222" i="3"/>
  <c r="C101" i="4"/>
  <c r="I101" i="4"/>
  <c r="F190" i="3"/>
  <c r="G190" i="3"/>
  <c r="C102" i="4"/>
  <c r="I102" i="4"/>
  <c r="F191" i="3"/>
  <c r="G191" i="3"/>
  <c r="C103" i="4"/>
  <c r="I103" i="4"/>
  <c r="F223" i="3"/>
  <c r="G223" i="3"/>
  <c r="C104" i="4"/>
  <c r="I104" i="4"/>
  <c r="F224" i="3"/>
  <c r="G224" i="3"/>
  <c r="C105" i="4"/>
  <c r="I105" i="4"/>
  <c r="F110" i="3"/>
  <c r="G110" i="3"/>
  <c r="C106" i="4"/>
  <c r="I106" i="4"/>
  <c r="F116" i="3"/>
  <c r="G116" i="3"/>
  <c r="C107" i="4"/>
  <c r="I107" i="4"/>
  <c r="F117" i="3"/>
  <c r="G117" i="3"/>
  <c r="C108" i="4"/>
  <c r="I108" i="4"/>
  <c r="F67" i="3"/>
  <c r="G67" i="3"/>
  <c r="C109" i="4"/>
  <c r="I109" i="4"/>
  <c r="F192" i="3"/>
  <c r="G192" i="3"/>
  <c r="C110" i="4"/>
  <c r="I110" i="4"/>
  <c r="F194" i="3"/>
  <c r="G194" i="3"/>
  <c r="C111" i="4"/>
  <c r="I111" i="4"/>
  <c r="F195" i="3"/>
  <c r="G195" i="3"/>
  <c r="C112" i="4"/>
  <c r="I112" i="4"/>
  <c r="F197" i="3"/>
  <c r="G197" i="3"/>
  <c r="C113" i="4"/>
  <c r="I113" i="4"/>
  <c r="F203" i="3"/>
  <c r="G203" i="3"/>
  <c r="C114" i="4"/>
  <c r="I114" i="4"/>
  <c r="F208" i="3"/>
  <c r="G208" i="3"/>
  <c r="C115" i="4"/>
  <c r="I115" i="4"/>
  <c r="F213" i="3"/>
  <c r="G213" i="3"/>
  <c r="C116" i="4"/>
  <c r="I116" i="4"/>
  <c r="F284" i="3"/>
  <c r="G284" i="3"/>
  <c r="C117" i="4"/>
  <c r="I117" i="4"/>
  <c r="F343" i="3"/>
  <c r="G343" i="3"/>
  <c r="C118" i="4"/>
  <c r="I118" i="4"/>
  <c r="F291" i="3"/>
  <c r="G291" i="3"/>
  <c r="C119" i="4"/>
  <c r="I119" i="4"/>
  <c r="F344" i="3"/>
  <c r="G344" i="3"/>
  <c r="C120" i="4"/>
  <c r="I120" i="4"/>
  <c r="F90" i="3"/>
  <c r="G90" i="3"/>
  <c r="C121" i="4"/>
  <c r="I121" i="4"/>
  <c r="F32" i="3"/>
  <c r="G32" i="3"/>
  <c r="C122" i="4"/>
  <c r="I122" i="4"/>
  <c r="F39" i="3"/>
  <c r="G39" i="3"/>
  <c r="C123" i="4"/>
  <c r="I123" i="4"/>
  <c r="F60" i="3"/>
  <c r="G60" i="3"/>
  <c r="C124" i="4"/>
  <c r="I124" i="4"/>
  <c r="F70" i="3"/>
  <c r="G70" i="3"/>
  <c r="C125" i="4"/>
  <c r="I125" i="4"/>
  <c r="F219" i="3"/>
  <c r="G219" i="3"/>
  <c r="C126" i="4"/>
  <c r="I126" i="4"/>
  <c r="F225" i="3"/>
  <c r="G225" i="3"/>
  <c r="C127" i="4"/>
  <c r="I127" i="4"/>
  <c r="F300" i="3"/>
  <c r="G300" i="3"/>
  <c r="C128" i="4"/>
  <c r="I128" i="4"/>
  <c r="F301" i="3"/>
  <c r="G301" i="3"/>
  <c r="C129" i="4"/>
  <c r="I129" i="4"/>
  <c r="F336" i="3"/>
  <c r="G336" i="3"/>
  <c r="C130" i="4"/>
  <c r="I130" i="4"/>
  <c r="F338" i="3"/>
  <c r="G338" i="3"/>
  <c r="C131" i="4"/>
  <c r="I131" i="4"/>
  <c r="F327" i="3"/>
  <c r="G327" i="3"/>
  <c r="C132" i="4"/>
  <c r="I132" i="4"/>
  <c r="F340" i="3"/>
  <c r="G340" i="3"/>
  <c r="C133" i="4"/>
  <c r="I133" i="4"/>
  <c r="F341" i="3"/>
  <c r="G341" i="3"/>
  <c r="C134" i="4"/>
  <c r="I134" i="4"/>
  <c r="F342" i="3"/>
  <c r="G342" i="3"/>
  <c r="C135" i="4"/>
  <c r="I135" i="4"/>
  <c r="F285" i="3"/>
  <c r="G285" i="3"/>
  <c r="C136" i="4"/>
  <c r="I136" i="4"/>
  <c r="F302" i="3"/>
  <c r="G302" i="3"/>
  <c r="C137" i="4"/>
  <c r="I137" i="4"/>
  <c r="F304" i="3"/>
  <c r="G304" i="3"/>
  <c r="C138" i="4"/>
  <c r="I138" i="4"/>
  <c r="F305" i="3"/>
  <c r="G305" i="3"/>
  <c r="C139" i="4"/>
  <c r="I139" i="4"/>
  <c r="F287" i="3"/>
  <c r="G287" i="3"/>
  <c r="C140" i="4"/>
  <c r="I140" i="4"/>
  <c r="F306" i="3"/>
  <c r="G306" i="3"/>
  <c r="C141" i="4"/>
  <c r="I141" i="4"/>
  <c r="F288" i="3"/>
  <c r="G288" i="3"/>
  <c r="C142" i="4"/>
  <c r="I142" i="4"/>
  <c r="F292" i="3"/>
  <c r="G292" i="3"/>
  <c r="C143" i="4"/>
  <c r="I143" i="4"/>
  <c r="F308" i="3"/>
  <c r="G308" i="3"/>
  <c r="C144" i="4"/>
  <c r="I144" i="4"/>
  <c r="F293" i="3"/>
  <c r="G293" i="3"/>
  <c r="C145" i="4"/>
  <c r="I145" i="4"/>
  <c r="F294" i="3"/>
  <c r="G294" i="3"/>
  <c r="C146" i="4"/>
  <c r="I146" i="4"/>
  <c r="F309" i="3"/>
  <c r="G309" i="3"/>
  <c r="C147" i="4"/>
  <c r="I147" i="4"/>
  <c r="F311" i="3"/>
  <c r="G311" i="3"/>
  <c r="C148" i="4"/>
  <c r="I148" i="4"/>
  <c r="F312" i="3"/>
  <c r="G312" i="3"/>
  <c r="C149" i="4"/>
  <c r="I149" i="4"/>
  <c r="F295" i="3"/>
  <c r="G295" i="3"/>
  <c r="C150" i="4"/>
  <c r="I150" i="4"/>
  <c r="F29" i="3"/>
  <c r="G29" i="3"/>
  <c r="C151" i="4"/>
  <c r="I151" i="4"/>
  <c r="F30" i="3"/>
  <c r="G30" i="3"/>
  <c r="C152" i="4"/>
  <c r="I152" i="4"/>
  <c r="F33" i="3"/>
  <c r="G33" i="3"/>
  <c r="C153" i="4"/>
  <c r="I153" i="4"/>
  <c r="F34" i="3"/>
  <c r="G34" i="3"/>
  <c r="C154" i="4"/>
  <c r="I154" i="4"/>
  <c r="F35" i="3"/>
  <c r="G35" i="3"/>
  <c r="C155" i="4"/>
  <c r="I155" i="4"/>
  <c r="F36" i="3"/>
  <c r="G36" i="3"/>
  <c r="C156" i="4"/>
  <c r="I156" i="4"/>
  <c r="F37" i="3"/>
  <c r="G37" i="3"/>
  <c r="C157" i="4"/>
  <c r="I157" i="4"/>
  <c r="F38" i="3"/>
  <c r="G38" i="3"/>
  <c r="C158" i="4"/>
  <c r="I158" i="4"/>
  <c r="F41" i="3"/>
  <c r="G41" i="3"/>
  <c r="C159" i="4"/>
  <c r="I159" i="4"/>
  <c r="F43" i="3"/>
  <c r="G43" i="3"/>
  <c r="C160" i="4"/>
  <c r="I160" i="4"/>
  <c r="F45" i="3"/>
  <c r="G45" i="3"/>
  <c r="C161" i="4"/>
  <c r="I161" i="4"/>
  <c r="F47" i="3"/>
  <c r="G47" i="3"/>
  <c r="C162" i="4"/>
  <c r="I162" i="4"/>
  <c r="F48" i="3"/>
  <c r="G48" i="3"/>
  <c r="C163" i="4"/>
  <c r="I163" i="4"/>
  <c r="F49" i="3"/>
  <c r="G49" i="3"/>
  <c r="C164" i="4"/>
  <c r="I164" i="4"/>
  <c r="F50" i="3"/>
  <c r="G50" i="3"/>
  <c r="C165" i="4"/>
  <c r="I165" i="4"/>
  <c r="F28" i="3"/>
  <c r="G28" i="3"/>
  <c r="C166" i="4"/>
  <c r="I166" i="4"/>
  <c r="F52" i="3"/>
  <c r="G52" i="3"/>
  <c r="C167" i="4"/>
  <c r="I167" i="4"/>
  <c r="F53" i="3"/>
  <c r="G53" i="3"/>
  <c r="C168" i="4"/>
  <c r="I168" i="4"/>
  <c r="F54" i="3"/>
  <c r="G54" i="3"/>
  <c r="C169" i="4"/>
  <c r="I169" i="4"/>
  <c r="F55" i="3"/>
  <c r="G55" i="3"/>
  <c r="C170" i="4"/>
  <c r="I170" i="4"/>
  <c r="F56" i="3"/>
  <c r="G56" i="3"/>
  <c r="C171" i="4"/>
  <c r="I171" i="4"/>
  <c r="F57" i="3"/>
  <c r="G57" i="3"/>
  <c r="C172" i="4"/>
  <c r="I172" i="4"/>
  <c r="F58" i="3"/>
  <c r="G58" i="3"/>
  <c r="C173" i="4"/>
  <c r="I173" i="4"/>
  <c r="F59" i="3"/>
  <c r="G59" i="3"/>
  <c r="C174" i="4"/>
  <c r="I174" i="4"/>
  <c r="F62" i="3"/>
  <c r="G62" i="3"/>
  <c r="C175" i="4"/>
  <c r="I175" i="4"/>
  <c r="F63" i="3"/>
  <c r="G63" i="3"/>
  <c r="C176" i="4"/>
  <c r="I176" i="4"/>
  <c r="F436" i="3"/>
  <c r="G436" i="3"/>
  <c r="C177" i="4"/>
  <c r="I177" i="4"/>
  <c r="F437" i="3"/>
  <c r="G437" i="3"/>
  <c r="C178" i="4"/>
  <c r="I178" i="4"/>
  <c r="F313" i="3"/>
  <c r="G313" i="3"/>
  <c r="C179" i="4"/>
  <c r="I179" i="4"/>
  <c r="F314" i="3"/>
  <c r="G314" i="3"/>
  <c r="C180" i="4"/>
  <c r="I180" i="4"/>
  <c r="F315" i="3"/>
  <c r="G315" i="3"/>
  <c r="C181" i="4"/>
  <c r="I181" i="4"/>
  <c r="F317" i="3"/>
  <c r="G317" i="3"/>
  <c r="C182" i="4"/>
  <c r="I182" i="4"/>
  <c r="F318" i="3"/>
  <c r="G318" i="3"/>
  <c r="C183" i="4"/>
  <c r="I183" i="4"/>
  <c r="F438" i="3"/>
  <c r="G438" i="3"/>
  <c r="C184" i="4"/>
  <c r="I184" i="4"/>
  <c r="F319" i="3"/>
  <c r="G319" i="3"/>
  <c r="C185" i="4"/>
  <c r="I185" i="4"/>
  <c r="F335" i="3"/>
  <c r="G335" i="3"/>
  <c r="C186" i="4"/>
  <c r="I186" i="4"/>
  <c r="F439" i="3"/>
  <c r="G439" i="3"/>
  <c r="C187" i="4"/>
  <c r="I187" i="4"/>
  <c r="F320" i="3"/>
  <c r="G320" i="3"/>
  <c r="C188" i="4"/>
  <c r="I188" i="4"/>
  <c r="F321" i="3"/>
  <c r="G321" i="3"/>
  <c r="C189" i="4"/>
  <c r="I189" i="4"/>
  <c r="F325" i="3"/>
  <c r="G325" i="3"/>
  <c r="C190" i="4"/>
  <c r="I190" i="4"/>
  <c r="F297" i="3"/>
  <c r="G297" i="3"/>
  <c r="C191" i="4"/>
  <c r="I191" i="4"/>
  <c r="F121" i="3"/>
  <c r="G121" i="3"/>
  <c r="C192" i="4"/>
  <c r="I192" i="4"/>
  <c r="F126" i="3"/>
  <c r="G126" i="3"/>
  <c r="C193" i="4"/>
  <c r="I193" i="4"/>
  <c r="F118" i="3"/>
  <c r="G118" i="3"/>
  <c r="C194" i="4"/>
  <c r="I194" i="4"/>
  <c r="F133" i="3"/>
  <c r="G133" i="3"/>
  <c r="C195" i="4"/>
  <c r="I195" i="4"/>
  <c r="F134" i="3"/>
  <c r="G134" i="3"/>
  <c r="C196" i="4"/>
  <c r="I196" i="4"/>
  <c r="F135" i="3"/>
  <c r="G135" i="3"/>
  <c r="C197" i="4"/>
  <c r="I197" i="4"/>
  <c r="F137" i="3"/>
  <c r="G137" i="3"/>
  <c r="C198" i="4"/>
  <c r="I198" i="4"/>
  <c r="F138" i="3"/>
  <c r="G138" i="3"/>
  <c r="C199" i="4"/>
  <c r="I199" i="4"/>
  <c r="F140" i="3"/>
  <c r="G140" i="3"/>
  <c r="C200" i="4"/>
  <c r="I200" i="4"/>
  <c r="F142" i="3"/>
  <c r="G142" i="3"/>
  <c r="C201" i="4"/>
  <c r="I201" i="4"/>
  <c r="F143" i="3"/>
  <c r="G143" i="3"/>
  <c r="C202" i="4"/>
  <c r="I202" i="4"/>
  <c r="F144" i="3"/>
  <c r="G144" i="3"/>
  <c r="C203" i="4"/>
  <c r="I203" i="4"/>
  <c r="F147" i="3"/>
  <c r="G147" i="3"/>
  <c r="C204" i="4"/>
  <c r="I204" i="4"/>
  <c r="F119" i="3"/>
  <c r="G119" i="3"/>
  <c r="C205" i="4"/>
  <c r="I205" i="4"/>
  <c r="F149" i="3"/>
  <c r="G149" i="3"/>
  <c r="C206" i="4"/>
  <c r="I206" i="4"/>
  <c r="F150" i="3"/>
  <c r="G150" i="3"/>
  <c r="C207" i="4"/>
  <c r="I207" i="4"/>
  <c r="F152" i="3"/>
  <c r="G152" i="3"/>
  <c r="C208" i="4"/>
  <c r="I208" i="4"/>
  <c r="F154" i="3"/>
  <c r="G154" i="3"/>
  <c r="C209" i="4"/>
  <c r="I209" i="4"/>
  <c r="F155" i="3"/>
  <c r="G155" i="3"/>
  <c r="C210" i="4"/>
  <c r="I210" i="4"/>
  <c r="F159" i="3"/>
  <c r="G159" i="3"/>
  <c r="C211" i="4"/>
  <c r="I211" i="4"/>
  <c r="F160" i="3"/>
  <c r="G160" i="3"/>
  <c r="C212" i="4"/>
  <c r="I212" i="4"/>
  <c r="F165" i="3"/>
  <c r="G165" i="3"/>
  <c r="C213" i="4"/>
  <c r="I213" i="4"/>
  <c r="F166" i="3"/>
  <c r="G166" i="3"/>
  <c r="C214" i="4"/>
  <c r="I214" i="4"/>
  <c r="F120" i="3"/>
  <c r="G120" i="3"/>
  <c r="C215" i="4"/>
  <c r="I215" i="4"/>
  <c r="F176" i="3"/>
  <c r="G176" i="3"/>
  <c r="C216" i="4"/>
  <c r="I216" i="4"/>
  <c r="F177" i="3"/>
  <c r="G177" i="3"/>
  <c r="C217" i="4"/>
  <c r="I217" i="4"/>
  <c r="F180" i="3"/>
  <c r="G180" i="3"/>
  <c r="C218" i="4"/>
  <c r="I218" i="4"/>
  <c r="F181" i="3"/>
  <c r="G181" i="3"/>
  <c r="C219" i="4"/>
  <c r="I219" i="4"/>
  <c r="F182" i="3"/>
  <c r="G182" i="3"/>
  <c r="C220" i="4"/>
  <c r="I220" i="4"/>
  <c r="F337" i="3"/>
  <c r="G337" i="3"/>
  <c r="C221" i="4"/>
  <c r="I221" i="4"/>
  <c r="F339" i="3"/>
  <c r="G339" i="3"/>
  <c r="C222" i="4"/>
  <c r="I222" i="4"/>
  <c r="F303" i="3"/>
  <c r="G303" i="3"/>
  <c r="C223" i="4"/>
  <c r="I223" i="4"/>
  <c r="F307" i="3"/>
  <c r="G307" i="3"/>
  <c r="C224" i="4"/>
  <c r="I224" i="4"/>
  <c r="F345" i="3"/>
  <c r="G345" i="3"/>
  <c r="C225" i="4"/>
  <c r="I225" i="4"/>
  <c r="F310" i="3"/>
  <c r="G310" i="3"/>
  <c r="C226" i="4"/>
  <c r="I226" i="4"/>
  <c r="F346" i="3"/>
  <c r="G346" i="3"/>
  <c r="C227" i="4"/>
  <c r="I227" i="4"/>
  <c r="F31" i="3"/>
  <c r="G31" i="3"/>
  <c r="C228" i="4"/>
  <c r="I228" i="4"/>
  <c r="F40" i="3"/>
  <c r="G40" i="3"/>
  <c r="C229" i="4"/>
  <c r="I229" i="4"/>
  <c r="F42" i="3"/>
  <c r="G42" i="3"/>
  <c r="C230" i="4"/>
  <c r="I230" i="4"/>
  <c r="F44" i="3"/>
  <c r="G44" i="3"/>
  <c r="C231" i="4"/>
  <c r="I231" i="4"/>
  <c r="F46" i="3"/>
  <c r="G46" i="3"/>
  <c r="C232" i="4"/>
  <c r="I232" i="4"/>
  <c r="F51" i="3"/>
  <c r="G51" i="3"/>
  <c r="C233" i="4"/>
  <c r="I233" i="4"/>
  <c r="F61" i="3"/>
  <c r="G61" i="3"/>
  <c r="C234" i="4"/>
  <c r="I234" i="4"/>
  <c r="F252" i="3"/>
  <c r="G252" i="3"/>
  <c r="C235" i="4"/>
  <c r="I235" i="4"/>
  <c r="F257" i="3"/>
  <c r="G257" i="3"/>
  <c r="C236" i="4"/>
  <c r="I236" i="4"/>
  <c r="F282" i="3"/>
  <c r="G282" i="3"/>
  <c r="C237" i="4"/>
  <c r="I237" i="4"/>
  <c r="F298" i="3"/>
  <c r="G298" i="3"/>
  <c r="C238" i="4"/>
  <c r="I238" i="4"/>
  <c r="F323" i="3"/>
  <c r="G323" i="3"/>
  <c r="C239" i="4"/>
  <c r="I239" i="4"/>
  <c r="F324" i="3"/>
  <c r="G324" i="3"/>
  <c r="C240" i="4"/>
  <c r="I240" i="4"/>
  <c r="F326" i="3"/>
  <c r="G326" i="3"/>
  <c r="C241" i="4"/>
  <c r="I241" i="4"/>
  <c r="F440" i="3"/>
  <c r="G440" i="3"/>
  <c r="C242" i="4"/>
  <c r="I242" i="4"/>
  <c r="F178" i="3"/>
  <c r="G178" i="3"/>
  <c r="C243" i="4"/>
  <c r="I243" i="4"/>
  <c r="F74" i="3"/>
  <c r="G74" i="3"/>
  <c r="C244" i="4"/>
  <c r="I244" i="4"/>
  <c r="F75" i="3"/>
  <c r="G75" i="3"/>
  <c r="C245" i="4"/>
  <c r="I245" i="4"/>
  <c r="F235" i="3"/>
  <c r="G235" i="3"/>
  <c r="C246" i="4"/>
  <c r="I246" i="4"/>
  <c r="F238" i="3"/>
  <c r="G238" i="3"/>
  <c r="C247" i="4"/>
  <c r="I247" i="4"/>
  <c r="F239" i="3"/>
  <c r="G239" i="3"/>
  <c r="C248" i="4"/>
  <c r="I248" i="4"/>
  <c r="F241" i="3"/>
  <c r="G241" i="3"/>
  <c r="C249" i="4"/>
  <c r="I249" i="4"/>
  <c r="F242" i="3"/>
  <c r="G242" i="3"/>
  <c r="C250" i="4"/>
  <c r="I250" i="4"/>
  <c r="F226" i="3"/>
  <c r="G226" i="3"/>
  <c r="C251" i="4"/>
  <c r="I251" i="4"/>
  <c r="F244" i="3"/>
  <c r="G244" i="3"/>
  <c r="C252" i="4"/>
  <c r="I252" i="4"/>
  <c r="F245" i="3"/>
  <c r="G245" i="3"/>
  <c r="C253" i="4"/>
  <c r="I253" i="4"/>
  <c r="F247" i="3"/>
  <c r="G247" i="3"/>
  <c r="C254" i="4"/>
  <c r="I254" i="4"/>
  <c r="F248" i="3"/>
  <c r="G248" i="3"/>
  <c r="C255" i="4"/>
  <c r="I255" i="4"/>
  <c r="F250" i="3"/>
  <c r="G250" i="3"/>
  <c r="C256" i="4"/>
  <c r="I256" i="4"/>
  <c r="F253" i="3"/>
  <c r="G253" i="3"/>
  <c r="C257" i="4"/>
  <c r="I257" i="4"/>
  <c r="F254" i="3"/>
  <c r="G254" i="3"/>
  <c r="C258" i="4"/>
  <c r="I258" i="4"/>
  <c r="F255" i="3"/>
  <c r="G255" i="3"/>
  <c r="C259" i="4"/>
  <c r="I259" i="4"/>
  <c r="F256" i="3"/>
  <c r="G256" i="3"/>
  <c r="C260" i="4"/>
  <c r="I260" i="4"/>
  <c r="F261" i="3"/>
  <c r="G261" i="3"/>
  <c r="C261" i="4"/>
  <c r="I261" i="4"/>
  <c r="F262" i="3"/>
  <c r="G262" i="3"/>
  <c r="C262" i="4"/>
  <c r="I262" i="4"/>
  <c r="F263" i="3"/>
  <c r="G263" i="3"/>
  <c r="C263" i="4"/>
  <c r="I263" i="4"/>
  <c r="F264" i="3"/>
  <c r="G264" i="3"/>
  <c r="C264" i="4"/>
  <c r="I264" i="4"/>
  <c r="F266" i="3"/>
  <c r="G266" i="3"/>
  <c r="C265" i="4"/>
  <c r="I265" i="4"/>
  <c r="F267" i="3"/>
  <c r="G267" i="3"/>
  <c r="C266" i="4"/>
  <c r="I266" i="4"/>
  <c r="F268" i="3"/>
  <c r="G268" i="3"/>
  <c r="C267" i="4"/>
  <c r="I267" i="4"/>
  <c r="F227" i="3"/>
  <c r="G227" i="3"/>
  <c r="C268" i="4"/>
  <c r="I268" i="4"/>
  <c r="F270" i="3"/>
  <c r="G270" i="3"/>
  <c r="C269" i="4"/>
  <c r="I269" i="4"/>
  <c r="F274" i="3"/>
  <c r="G274" i="3"/>
  <c r="C270" i="4"/>
  <c r="I270" i="4"/>
  <c r="F278" i="3"/>
  <c r="G278" i="3"/>
  <c r="C271" i="4"/>
  <c r="I271" i="4"/>
  <c r="F279" i="3"/>
  <c r="G279" i="3"/>
  <c r="C272" i="4"/>
  <c r="I272" i="4"/>
  <c r="F280" i="3"/>
  <c r="G280" i="3"/>
  <c r="C273" i="4"/>
  <c r="I273" i="4"/>
  <c r="F281" i="3"/>
  <c r="G281" i="3"/>
  <c r="C274" i="4"/>
  <c r="I274" i="4"/>
  <c r="F243" i="3"/>
  <c r="G243" i="3"/>
  <c r="C275" i="4"/>
  <c r="I275" i="4"/>
  <c r="F122" i="3"/>
  <c r="G122" i="3"/>
  <c r="C276" i="4"/>
  <c r="I276" i="4"/>
  <c r="F123" i="3"/>
  <c r="G123" i="3"/>
  <c r="C277" i="4"/>
  <c r="I277" i="4"/>
  <c r="F124" i="3"/>
  <c r="G124" i="3"/>
  <c r="C278" i="4"/>
  <c r="I278" i="4"/>
  <c r="F125" i="3"/>
  <c r="G125" i="3"/>
  <c r="C279" i="4"/>
  <c r="I279" i="4"/>
  <c r="F127" i="3"/>
  <c r="G127" i="3"/>
  <c r="C280" i="4"/>
  <c r="I280" i="4"/>
  <c r="F129" i="3"/>
  <c r="G129" i="3"/>
  <c r="C281" i="4"/>
  <c r="I281" i="4"/>
  <c r="F130" i="3"/>
  <c r="G130" i="3"/>
  <c r="C282" i="4"/>
  <c r="I282" i="4"/>
  <c r="F132" i="3"/>
  <c r="G132" i="3"/>
  <c r="C283" i="4"/>
  <c r="I283" i="4"/>
  <c r="F136" i="3"/>
  <c r="G136" i="3"/>
  <c r="C284" i="4"/>
  <c r="I284" i="4"/>
  <c r="F139" i="3"/>
  <c r="G139" i="3"/>
  <c r="C285" i="4"/>
  <c r="I285" i="4"/>
  <c r="F141" i="3"/>
  <c r="G141" i="3"/>
  <c r="C286" i="4"/>
  <c r="I286" i="4"/>
  <c r="F145" i="3"/>
  <c r="G145" i="3"/>
  <c r="C287" i="4"/>
  <c r="I287" i="4"/>
  <c r="F146" i="3"/>
  <c r="G146" i="3"/>
  <c r="C288" i="4"/>
  <c r="I288" i="4"/>
  <c r="F148" i="3"/>
  <c r="G148" i="3"/>
  <c r="C289" i="4"/>
  <c r="I289" i="4"/>
  <c r="F151" i="3"/>
  <c r="G151" i="3"/>
  <c r="C290" i="4"/>
  <c r="I290" i="4"/>
  <c r="F153" i="3"/>
  <c r="G153" i="3"/>
  <c r="C291" i="4"/>
  <c r="I291" i="4"/>
  <c r="F156" i="3"/>
  <c r="G156" i="3"/>
  <c r="C292" i="4"/>
  <c r="I292" i="4"/>
  <c r="F157" i="3"/>
  <c r="G157" i="3"/>
  <c r="C293" i="4"/>
  <c r="I293" i="4"/>
  <c r="F158" i="3"/>
  <c r="G158" i="3"/>
  <c r="C294" i="4"/>
  <c r="I294" i="4"/>
  <c r="F161" i="3"/>
  <c r="G161" i="3"/>
  <c r="C295" i="4"/>
  <c r="I295" i="4"/>
  <c r="F162" i="3"/>
  <c r="G162" i="3"/>
  <c r="C296" i="4"/>
  <c r="I296" i="4"/>
  <c r="F163" i="3"/>
  <c r="G163" i="3"/>
  <c r="C297" i="4"/>
  <c r="I297" i="4"/>
  <c r="F164" i="3"/>
  <c r="G164" i="3"/>
  <c r="C298" i="4"/>
  <c r="I298" i="4"/>
  <c r="F167" i="3"/>
  <c r="G167" i="3"/>
  <c r="C299" i="4"/>
  <c r="I299" i="4"/>
  <c r="F168" i="3"/>
  <c r="G168" i="3"/>
  <c r="C300" i="4"/>
  <c r="I300" i="4"/>
  <c r="F169" i="3"/>
  <c r="G169" i="3"/>
  <c r="C301" i="4"/>
  <c r="I301" i="4"/>
  <c r="F170" i="3"/>
  <c r="G170" i="3"/>
  <c r="C302" i="4"/>
  <c r="I302" i="4"/>
  <c r="F171" i="3"/>
  <c r="G171" i="3"/>
  <c r="C303" i="4"/>
  <c r="I303" i="4"/>
  <c r="F172" i="3"/>
  <c r="G172" i="3"/>
  <c r="C304" i="4"/>
  <c r="I304" i="4"/>
  <c r="F173" i="3"/>
  <c r="G173" i="3"/>
  <c r="C305" i="4"/>
  <c r="I305" i="4"/>
  <c r="F174" i="3"/>
  <c r="G174" i="3"/>
  <c r="C306" i="4"/>
  <c r="I306" i="4"/>
  <c r="F175" i="3"/>
  <c r="G175" i="3"/>
  <c r="C307" i="4"/>
  <c r="I307" i="4"/>
  <c r="F179" i="3"/>
  <c r="G179" i="3"/>
  <c r="C308" i="4"/>
  <c r="I308" i="4"/>
  <c r="F286" i="3"/>
  <c r="G286" i="3"/>
  <c r="C309" i="4"/>
  <c r="I309" i="4"/>
  <c r="F289" i="3"/>
  <c r="G289" i="3"/>
  <c r="C310" i="4"/>
  <c r="I310" i="4"/>
  <c r="F290" i="3"/>
  <c r="G290" i="3"/>
  <c r="C311" i="4"/>
  <c r="I311" i="4"/>
  <c r="F483" i="3"/>
  <c r="G483" i="3"/>
  <c r="C312" i="4"/>
  <c r="I312" i="4"/>
  <c r="F72" i="3"/>
  <c r="G72" i="3"/>
  <c r="C313" i="4"/>
  <c r="I313" i="4"/>
  <c r="F73" i="3"/>
  <c r="G73" i="3"/>
  <c r="C314" i="4"/>
  <c r="I314" i="4"/>
  <c r="F229" i="3"/>
  <c r="G229" i="3"/>
  <c r="C315" i="4"/>
  <c r="I315" i="4"/>
  <c r="F230" i="3"/>
  <c r="G230" i="3"/>
  <c r="C316" i="4"/>
  <c r="I316" i="4"/>
  <c r="F231" i="3"/>
  <c r="G231" i="3"/>
  <c r="C317" i="4"/>
  <c r="I317" i="4"/>
  <c r="F232" i="3"/>
  <c r="G232" i="3"/>
  <c r="C318" i="4"/>
  <c r="I318" i="4"/>
  <c r="F233" i="3"/>
  <c r="G233" i="3"/>
  <c r="C319" i="4"/>
  <c r="I319" i="4"/>
  <c r="F234" i="3"/>
  <c r="G234" i="3"/>
  <c r="C320" i="4"/>
  <c r="I320" i="4"/>
  <c r="F236" i="3"/>
  <c r="G236" i="3"/>
  <c r="C321" i="4"/>
  <c r="I321" i="4"/>
  <c r="F237" i="3"/>
  <c r="G237" i="3"/>
  <c r="C322" i="4"/>
  <c r="I322" i="4"/>
  <c r="F240" i="3"/>
  <c r="G240" i="3"/>
  <c r="C323" i="4"/>
  <c r="I323" i="4"/>
  <c r="F246" i="3"/>
  <c r="G246" i="3"/>
  <c r="C324" i="4"/>
  <c r="I324" i="4"/>
  <c r="F249" i="3"/>
  <c r="G249" i="3"/>
  <c r="C325" i="4"/>
  <c r="I325" i="4"/>
  <c r="F251" i="3"/>
  <c r="G251" i="3"/>
  <c r="C326" i="4"/>
  <c r="I326" i="4"/>
  <c r="F258" i="3"/>
  <c r="G258" i="3"/>
  <c r="C327" i="4"/>
  <c r="I327" i="4"/>
  <c r="F259" i="3"/>
  <c r="G259" i="3"/>
  <c r="C328" i="4"/>
  <c r="I328" i="4"/>
  <c r="F260" i="3"/>
  <c r="G260" i="3"/>
  <c r="C329" i="4"/>
  <c r="I329" i="4"/>
  <c r="F265" i="3"/>
  <c r="G265" i="3"/>
  <c r="C330" i="4"/>
  <c r="I330" i="4"/>
  <c r="F269" i="3"/>
  <c r="G269" i="3"/>
  <c r="C331" i="4"/>
  <c r="I331" i="4"/>
  <c r="F271" i="3"/>
  <c r="G271" i="3"/>
  <c r="C332" i="4"/>
  <c r="I332" i="4"/>
  <c r="F272" i="3"/>
  <c r="G272" i="3"/>
  <c r="C333" i="4"/>
  <c r="I333" i="4"/>
  <c r="F273" i="3"/>
  <c r="G273" i="3"/>
  <c r="C334" i="4"/>
  <c r="I334" i="4"/>
  <c r="F275" i="3"/>
  <c r="G275" i="3"/>
  <c r="C335" i="4"/>
  <c r="I335" i="4"/>
  <c r="F276" i="3"/>
  <c r="G276" i="3"/>
  <c r="C336" i="4"/>
  <c r="I336" i="4"/>
  <c r="F277" i="3"/>
  <c r="G277" i="3"/>
  <c r="C337" i="4"/>
  <c r="I337" i="4"/>
  <c r="F283" i="3"/>
  <c r="G283" i="3"/>
  <c r="C338" i="4"/>
  <c r="I338" i="4"/>
  <c r="F316" i="3"/>
  <c r="G316" i="3"/>
  <c r="C339" i="4"/>
  <c r="I339" i="4"/>
  <c r="F228" i="3"/>
  <c r="G228" i="3"/>
  <c r="C340" i="4"/>
  <c r="I340" i="4"/>
  <c r="F347" i="3"/>
  <c r="G347" i="3"/>
  <c r="C341" i="4"/>
  <c r="I341" i="4"/>
  <c r="F441" i="3"/>
  <c r="G441" i="3"/>
  <c r="C342" i="4"/>
  <c r="I342" i="4"/>
  <c r="F451" i="3"/>
  <c r="G451" i="3"/>
  <c r="C343" i="4"/>
  <c r="I343" i="4"/>
  <c r="F452" i="3"/>
  <c r="G452" i="3"/>
  <c r="C344" i="4"/>
  <c r="I344" i="4"/>
  <c r="F348" i="3"/>
  <c r="G348" i="3"/>
  <c r="C345" i="4"/>
  <c r="I345" i="4"/>
  <c r="F328" i="3"/>
  <c r="G328" i="3"/>
  <c r="C346" i="4"/>
  <c r="I346" i="4"/>
  <c r="F356" i="3"/>
  <c r="G356" i="3"/>
  <c r="C347" i="4"/>
  <c r="I347" i="4"/>
  <c r="F360" i="3"/>
  <c r="G360" i="3"/>
  <c r="C348" i="4"/>
  <c r="I348" i="4"/>
  <c r="F361" i="3"/>
  <c r="G361" i="3"/>
  <c r="C349" i="4"/>
  <c r="I349" i="4"/>
  <c r="F455" i="3"/>
  <c r="G455" i="3"/>
  <c r="C350" i="4"/>
  <c r="I350" i="4"/>
  <c r="F457" i="3"/>
  <c r="G457" i="3"/>
  <c r="C351" i="4"/>
  <c r="I351" i="4"/>
  <c r="F442" i="3"/>
  <c r="G442" i="3"/>
  <c r="C352" i="4"/>
  <c r="I352" i="4"/>
  <c r="F458" i="3"/>
  <c r="G458" i="3"/>
  <c r="C353" i="4"/>
  <c r="I353" i="4"/>
  <c r="F460" i="3"/>
  <c r="G460" i="3"/>
  <c r="C354" i="4"/>
  <c r="I354" i="4"/>
  <c r="F461" i="3"/>
  <c r="G461" i="3"/>
  <c r="C355" i="4"/>
  <c r="I355" i="4"/>
  <c r="F463" i="3"/>
  <c r="G463" i="3"/>
  <c r="C356" i="4"/>
  <c r="I356" i="4"/>
  <c r="F443" i="3"/>
  <c r="G443" i="3"/>
  <c r="C357" i="4"/>
  <c r="I357" i="4"/>
  <c r="F464" i="3"/>
  <c r="G464" i="3"/>
  <c r="C358" i="4"/>
  <c r="I358" i="4"/>
  <c r="F465" i="3"/>
  <c r="G465" i="3"/>
  <c r="C359" i="4"/>
  <c r="I359" i="4"/>
  <c r="F466" i="3"/>
  <c r="G466" i="3"/>
  <c r="C360" i="4"/>
  <c r="I360" i="4"/>
  <c r="F467" i="3"/>
  <c r="G467" i="3"/>
  <c r="C361" i="4"/>
  <c r="I361" i="4"/>
  <c r="F470" i="3"/>
  <c r="G470" i="3"/>
  <c r="C362" i="4"/>
  <c r="I362" i="4"/>
  <c r="F471" i="3"/>
  <c r="G471" i="3"/>
  <c r="C363" i="4"/>
  <c r="I363" i="4"/>
  <c r="F472" i="3"/>
  <c r="G472" i="3"/>
  <c r="C364" i="4"/>
  <c r="I364" i="4"/>
  <c r="F473" i="3"/>
  <c r="G473" i="3"/>
  <c r="C365" i="4"/>
  <c r="I365" i="4"/>
  <c r="F474" i="3"/>
  <c r="G474" i="3"/>
  <c r="C366" i="4"/>
  <c r="I366" i="4"/>
  <c r="F475" i="3"/>
  <c r="G475" i="3"/>
  <c r="C367" i="4"/>
  <c r="I367" i="4"/>
  <c r="F476" i="3"/>
  <c r="G476" i="3"/>
  <c r="C368" i="4"/>
  <c r="I368" i="4"/>
  <c r="F477" i="3"/>
  <c r="G477" i="3"/>
  <c r="C369" i="4"/>
  <c r="I369" i="4"/>
  <c r="F368" i="3"/>
  <c r="G368" i="3"/>
  <c r="C370" i="4"/>
  <c r="I370" i="4"/>
  <c r="F479" i="3"/>
  <c r="G479" i="3"/>
  <c r="C371" i="4"/>
  <c r="I371" i="4"/>
  <c r="F481" i="3"/>
  <c r="G481" i="3"/>
  <c r="C372" i="4"/>
  <c r="I372" i="4"/>
  <c r="F484" i="3"/>
  <c r="G484" i="3"/>
  <c r="C373" i="4"/>
  <c r="I373" i="4"/>
  <c r="F444" i="3"/>
  <c r="G444" i="3"/>
  <c r="C374" i="4"/>
  <c r="I374" i="4"/>
  <c r="F445" i="3"/>
  <c r="G445" i="3"/>
  <c r="C375" i="4"/>
  <c r="I375" i="4"/>
  <c r="F446" i="3"/>
  <c r="G446" i="3"/>
  <c r="C376" i="4"/>
  <c r="I376" i="4"/>
  <c r="F372" i="3"/>
  <c r="G372" i="3"/>
  <c r="C377" i="4"/>
  <c r="I377" i="4"/>
  <c r="F485" i="3"/>
  <c r="G485" i="3"/>
  <c r="C378" i="4"/>
  <c r="I378" i="4"/>
  <c r="F486" i="3"/>
  <c r="G486" i="3"/>
  <c r="C379" i="4"/>
  <c r="I379" i="4"/>
  <c r="F373" i="3"/>
  <c r="G373" i="3"/>
  <c r="C380" i="4"/>
  <c r="I380" i="4"/>
  <c r="F487" i="3"/>
  <c r="G487" i="3"/>
  <c r="C381" i="4"/>
  <c r="I381" i="4"/>
  <c r="F489" i="3"/>
  <c r="G489" i="3"/>
  <c r="C382" i="4"/>
  <c r="I382" i="4"/>
  <c r="F490" i="3"/>
  <c r="G490" i="3"/>
  <c r="C383" i="4"/>
  <c r="I383" i="4"/>
  <c r="F375" i="3"/>
  <c r="G375" i="3"/>
  <c r="C384" i="4"/>
  <c r="I384" i="4"/>
  <c r="F376" i="3"/>
  <c r="G376" i="3"/>
  <c r="C385" i="4"/>
  <c r="I385" i="4"/>
  <c r="F377" i="3"/>
  <c r="G377" i="3"/>
  <c r="C386" i="4"/>
  <c r="I386" i="4"/>
  <c r="F379" i="3"/>
  <c r="G379" i="3"/>
  <c r="C387" i="4"/>
  <c r="I387" i="4"/>
  <c r="F381" i="3"/>
  <c r="G381" i="3"/>
  <c r="C388" i="4"/>
  <c r="I388" i="4"/>
  <c r="F491" i="3"/>
  <c r="G491" i="3"/>
  <c r="C389" i="4"/>
  <c r="I389" i="4"/>
  <c r="F492" i="3"/>
  <c r="G492" i="3"/>
  <c r="C390" i="4"/>
  <c r="I390" i="4"/>
  <c r="F493" i="3"/>
  <c r="G493" i="3"/>
  <c r="C391" i="4"/>
  <c r="I391" i="4"/>
  <c r="F494" i="3"/>
  <c r="G494" i="3"/>
  <c r="C392" i="4"/>
  <c r="I392" i="4"/>
  <c r="F495" i="3"/>
  <c r="G495" i="3"/>
  <c r="C393" i="4"/>
  <c r="I393" i="4"/>
  <c r="F496" i="3"/>
  <c r="G496" i="3"/>
  <c r="C394" i="4"/>
  <c r="I394" i="4"/>
  <c r="F329" i="3"/>
  <c r="G329" i="3"/>
  <c r="C395" i="4"/>
  <c r="I395" i="4"/>
  <c r="F388" i="3"/>
  <c r="G388" i="3"/>
  <c r="C396" i="4"/>
  <c r="I396" i="4"/>
  <c r="F501" i="3"/>
  <c r="G501" i="3"/>
  <c r="C397" i="4"/>
  <c r="I397" i="4"/>
  <c r="F502" i="3"/>
  <c r="G502" i="3"/>
  <c r="C398" i="4"/>
  <c r="I398" i="4"/>
  <c r="F391" i="3"/>
  <c r="G391" i="3"/>
  <c r="C399" i="4"/>
  <c r="I399" i="4"/>
  <c r="F392" i="3"/>
  <c r="G392" i="3"/>
  <c r="C400" i="4"/>
  <c r="I400" i="4"/>
  <c r="F393" i="3"/>
  <c r="G393" i="3"/>
  <c r="C401" i="4"/>
  <c r="I401" i="4"/>
  <c r="F395" i="3"/>
  <c r="G395" i="3"/>
  <c r="C402" i="4"/>
  <c r="I402" i="4"/>
  <c r="F396" i="3"/>
  <c r="G396" i="3"/>
  <c r="C403" i="4"/>
  <c r="I403" i="4"/>
  <c r="F399" i="3"/>
  <c r="G399" i="3"/>
  <c r="C404" i="4"/>
  <c r="I404" i="4"/>
  <c r="F401" i="3"/>
  <c r="G401" i="3"/>
  <c r="C405" i="4"/>
  <c r="I405" i="4"/>
  <c r="F402" i="3"/>
  <c r="G402" i="3"/>
  <c r="C406" i="4"/>
  <c r="I406" i="4"/>
  <c r="F403" i="3"/>
  <c r="G403" i="3"/>
  <c r="C407" i="4"/>
  <c r="I407" i="4"/>
  <c r="F405" i="3"/>
  <c r="G405" i="3"/>
  <c r="C408" i="4"/>
  <c r="I408" i="4"/>
  <c r="F406" i="3"/>
  <c r="G406" i="3"/>
  <c r="C409" i="4"/>
  <c r="I409" i="4"/>
  <c r="F408" i="3"/>
  <c r="G408" i="3"/>
  <c r="C410" i="4"/>
  <c r="I410" i="4"/>
  <c r="F503" i="3"/>
  <c r="G503" i="3"/>
  <c r="C411" i="4"/>
  <c r="I411" i="4"/>
  <c r="F504" i="3"/>
  <c r="G504" i="3"/>
  <c r="C412" i="4"/>
  <c r="I412" i="4"/>
  <c r="F447" i="3"/>
  <c r="G447" i="3"/>
  <c r="C413" i="4"/>
  <c r="I413" i="4"/>
  <c r="F505" i="3"/>
  <c r="G505" i="3"/>
  <c r="C414" i="4"/>
  <c r="I414" i="4"/>
  <c r="F506" i="3"/>
  <c r="G506" i="3"/>
  <c r="C415" i="4"/>
  <c r="I415" i="4"/>
  <c r="F412" i="3"/>
  <c r="G412" i="3"/>
  <c r="C416" i="4"/>
  <c r="I416" i="4"/>
  <c r="F331" i="3"/>
  <c r="G331" i="3"/>
  <c r="C417" i="4"/>
  <c r="I417" i="4"/>
  <c r="F413" i="3"/>
  <c r="G413" i="3"/>
  <c r="C418" i="4"/>
  <c r="I418" i="4"/>
  <c r="F414" i="3"/>
  <c r="G414" i="3"/>
  <c r="C419" i="4"/>
  <c r="I419" i="4"/>
  <c r="F332" i="3"/>
  <c r="G332" i="3"/>
  <c r="C420" i="4"/>
  <c r="I420" i="4"/>
  <c r="F415" i="3"/>
  <c r="G415" i="3"/>
  <c r="C421" i="4"/>
  <c r="I421" i="4"/>
  <c r="F418" i="3"/>
  <c r="G418" i="3"/>
  <c r="C422" i="4"/>
  <c r="I422" i="4"/>
  <c r="F419" i="3"/>
  <c r="G419" i="3"/>
  <c r="C423" i="4"/>
  <c r="I423" i="4"/>
  <c r="F423" i="3"/>
  <c r="G423" i="3"/>
  <c r="C424" i="4"/>
  <c r="I424" i="4"/>
  <c r="F512" i="3"/>
  <c r="G512" i="3"/>
  <c r="C425" i="4"/>
  <c r="I425" i="4"/>
  <c r="F513" i="3"/>
  <c r="G513" i="3"/>
  <c r="C426" i="4"/>
  <c r="I426" i="4"/>
  <c r="F426" i="3"/>
  <c r="G426" i="3"/>
  <c r="C427" i="4"/>
  <c r="I427" i="4"/>
  <c r="F448" i="3"/>
  <c r="G448" i="3"/>
  <c r="C428" i="4"/>
  <c r="I428" i="4"/>
  <c r="F514" i="3"/>
  <c r="G514" i="3"/>
  <c r="C429" i="4"/>
  <c r="I429" i="4"/>
  <c r="F515" i="3"/>
  <c r="G515" i="3"/>
  <c r="C430" i="4"/>
  <c r="I430" i="4"/>
  <c r="F516" i="3"/>
  <c r="G516" i="3"/>
  <c r="C431" i="4"/>
  <c r="I431" i="4"/>
  <c r="F517" i="3"/>
  <c r="G517" i="3"/>
  <c r="C432" i="4"/>
  <c r="I432" i="4"/>
  <c r="F430" i="3"/>
  <c r="G430" i="3"/>
  <c r="C433" i="4"/>
  <c r="I433" i="4"/>
  <c r="F333" i="3"/>
  <c r="G333" i="3"/>
  <c r="C434" i="4"/>
  <c r="I434" i="4"/>
  <c r="F334" i="3"/>
  <c r="G334" i="3"/>
  <c r="C435" i="4"/>
  <c r="I435" i="4"/>
  <c r="F519" i="3"/>
  <c r="G519" i="3"/>
  <c r="C436" i="4"/>
  <c r="I436" i="4"/>
  <c r="F521" i="3"/>
  <c r="G521" i="3"/>
  <c r="C437" i="4"/>
  <c r="I437" i="4"/>
  <c r="F131" i="3"/>
  <c r="G131" i="3"/>
  <c r="C438" i="4"/>
  <c r="I438" i="4"/>
  <c r="F299" i="3"/>
  <c r="G299" i="3"/>
  <c r="C439" i="4"/>
  <c r="I439" i="4"/>
  <c r="F322" i="3"/>
  <c r="G322" i="3"/>
  <c r="C440" i="4"/>
  <c r="I440" i="4"/>
  <c r="F296" i="3"/>
  <c r="G296" i="3"/>
  <c r="C441" i="4"/>
  <c r="I441" i="4"/>
  <c r="F449" i="3"/>
  <c r="G449" i="3"/>
  <c r="C442" i="4"/>
  <c r="I442" i="4"/>
  <c r="F450" i="3"/>
  <c r="G450" i="3"/>
  <c r="C443" i="4"/>
  <c r="I443" i="4"/>
  <c r="F349" i="3"/>
  <c r="G349" i="3"/>
  <c r="C444" i="4"/>
  <c r="I444" i="4"/>
  <c r="F453" i="3"/>
  <c r="G453" i="3"/>
  <c r="C445" i="4"/>
  <c r="I445" i="4"/>
  <c r="F357" i="3"/>
  <c r="G357" i="3"/>
  <c r="C446" i="4"/>
  <c r="I446" i="4"/>
  <c r="F358" i="3"/>
  <c r="G358" i="3"/>
  <c r="C447" i="4"/>
  <c r="I447" i="4"/>
  <c r="F359" i="3"/>
  <c r="G359" i="3"/>
  <c r="C448" i="4"/>
  <c r="I448" i="4"/>
  <c r="F454" i="3"/>
  <c r="G454" i="3"/>
  <c r="C449" i="4"/>
  <c r="I449" i="4"/>
  <c r="F362" i="3"/>
  <c r="G362" i="3"/>
  <c r="C450" i="4"/>
  <c r="I450" i="4"/>
  <c r="F456" i="3"/>
  <c r="G456" i="3"/>
  <c r="C451" i="4"/>
  <c r="I451" i="4"/>
  <c r="F459" i="3"/>
  <c r="G459" i="3"/>
  <c r="C452" i="4"/>
  <c r="I452" i="4"/>
  <c r="F462" i="3"/>
  <c r="G462" i="3"/>
  <c r="C453" i="4"/>
  <c r="I453" i="4"/>
  <c r="F468" i="3"/>
  <c r="G468" i="3"/>
  <c r="C454" i="4"/>
  <c r="I454" i="4"/>
  <c r="F469" i="3"/>
  <c r="G469" i="3"/>
  <c r="C455" i="4"/>
  <c r="I455" i="4"/>
  <c r="F363" i="3"/>
  <c r="G363" i="3"/>
  <c r="C456" i="4"/>
  <c r="I456" i="4"/>
  <c r="F364" i="3"/>
  <c r="G364" i="3"/>
  <c r="C457" i="4"/>
  <c r="I457" i="4"/>
  <c r="F365" i="3"/>
  <c r="G365" i="3"/>
  <c r="C458" i="4"/>
  <c r="I458" i="4"/>
  <c r="F366" i="3"/>
  <c r="G366" i="3"/>
  <c r="C459" i="4"/>
  <c r="I459" i="4"/>
  <c r="F369" i="3"/>
  <c r="G369" i="3"/>
  <c r="C460" i="4"/>
  <c r="I460" i="4"/>
  <c r="F370" i="3"/>
  <c r="G370" i="3"/>
  <c r="C461" i="4"/>
  <c r="I461" i="4"/>
  <c r="F478" i="3"/>
  <c r="G478" i="3"/>
  <c r="C462" i="4"/>
  <c r="I462" i="4"/>
  <c r="F480" i="3"/>
  <c r="G480" i="3"/>
  <c r="C463" i="4"/>
  <c r="I463" i="4"/>
  <c r="F482" i="3"/>
  <c r="G482" i="3"/>
  <c r="C464" i="4"/>
  <c r="I464" i="4"/>
  <c r="F371" i="3"/>
  <c r="G371" i="3"/>
  <c r="C465" i="4"/>
  <c r="I465" i="4"/>
  <c r="F374" i="3"/>
  <c r="G374" i="3"/>
  <c r="C466" i="4"/>
  <c r="I466" i="4"/>
  <c r="F488" i="3"/>
  <c r="G488" i="3"/>
  <c r="C467" i="4"/>
  <c r="I467" i="4"/>
  <c r="F378" i="3"/>
  <c r="G378" i="3"/>
  <c r="C468" i="4"/>
  <c r="I468" i="4"/>
  <c r="F380" i="3"/>
  <c r="G380" i="3"/>
  <c r="C469" i="4"/>
  <c r="I469" i="4"/>
  <c r="F382" i="3"/>
  <c r="G382" i="3"/>
  <c r="C470" i="4"/>
  <c r="I470" i="4"/>
  <c r="F386" i="3"/>
  <c r="G386" i="3"/>
  <c r="C471" i="4"/>
  <c r="I471" i="4"/>
  <c r="F497" i="3"/>
  <c r="G497" i="3"/>
  <c r="C472" i="4"/>
  <c r="I472" i="4"/>
  <c r="F498" i="3"/>
  <c r="G498" i="3"/>
  <c r="C473" i="4"/>
  <c r="I473" i="4"/>
  <c r="F499" i="3"/>
  <c r="G499" i="3"/>
  <c r="C474" i="4"/>
  <c r="I474" i="4"/>
  <c r="F500" i="3"/>
  <c r="G500" i="3"/>
  <c r="C475" i="4"/>
  <c r="I475" i="4"/>
  <c r="F389" i="3"/>
  <c r="G389" i="3"/>
  <c r="C476" i="4"/>
  <c r="I476" i="4"/>
  <c r="F394" i="3"/>
  <c r="G394" i="3"/>
  <c r="C477" i="4"/>
  <c r="I477" i="4"/>
  <c r="F404" i="3"/>
  <c r="G404" i="3"/>
  <c r="C478" i="4"/>
  <c r="I478" i="4"/>
  <c r="F407" i="3"/>
  <c r="G407" i="3"/>
  <c r="C479" i="4"/>
  <c r="I479" i="4"/>
  <c r="F409" i="3"/>
  <c r="G409" i="3"/>
  <c r="C480" i="4"/>
  <c r="I480" i="4"/>
  <c r="F410" i="3"/>
  <c r="G410" i="3"/>
  <c r="C481" i="4"/>
  <c r="I481" i="4"/>
  <c r="F411" i="3"/>
  <c r="G411" i="3"/>
  <c r="C482" i="4"/>
  <c r="I482" i="4"/>
  <c r="F507" i="3"/>
  <c r="G507" i="3"/>
  <c r="C483" i="4"/>
  <c r="I483" i="4"/>
  <c r="F508" i="3"/>
  <c r="G508" i="3"/>
  <c r="C484" i="4"/>
  <c r="I484" i="4"/>
  <c r="F416" i="3"/>
  <c r="G416" i="3"/>
  <c r="C485" i="4"/>
  <c r="I485" i="4"/>
  <c r="F417" i="3"/>
  <c r="G417" i="3"/>
  <c r="C486" i="4"/>
  <c r="I486" i="4"/>
  <c r="F509" i="3"/>
  <c r="G509" i="3"/>
  <c r="C487" i="4"/>
  <c r="I487" i="4"/>
  <c r="F420" i="3"/>
  <c r="G420" i="3"/>
  <c r="C488" i="4"/>
  <c r="I488" i="4"/>
  <c r="F421" i="3"/>
  <c r="G421" i="3"/>
  <c r="C489" i="4"/>
  <c r="I489" i="4"/>
  <c r="F422" i="3"/>
  <c r="G422" i="3"/>
  <c r="C490" i="4"/>
  <c r="I490" i="4"/>
  <c r="F510" i="3"/>
  <c r="G510" i="3"/>
  <c r="C491" i="4"/>
  <c r="I491" i="4"/>
  <c r="F511" i="3"/>
  <c r="G511" i="3"/>
  <c r="C492" i="4"/>
  <c r="I492" i="4"/>
  <c r="F424" i="3"/>
  <c r="G424" i="3"/>
  <c r="C493" i="4"/>
  <c r="I493" i="4"/>
  <c r="F425" i="3"/>
  <c r="G425" i="3"/>
  <c r="C494" i="4"/>
  <c r="I494" i="4"/>
  <c r="F427" i="3"/>
  <c r="G427" i="3"/>
  <c r="C495" i="4"/>
  <c r="I495" i="4"/>
  <c r="F428" i="3"/>
  <c r="G428" i="3"/>
  <c r="C496" i="4"/>
  <c r="I496" i="4"/>
  <c r="F429" i="3"/>
  <c r="G429" i="3"/>
  <c r="C497" i="4"/>
  <c r="I497" i="4"/>
  <c r="F431" i="3"/>
  <c r="G431" i="3"/>
  <c r="C498" i="4"/>
  <c r="I498" i="4"/>
  <c r="F432" i="3"/>
  <c r="G432" i="3"/>
  <c r="C499" i="4"/>
  <c r="I499" i="4"/>
  <c r="F433" i="3"/>
  <c r="G433" i="3"/>
  <c r="C500" i="4"/>
  <c r="I500" i="4"/>
  <c r="F434" i="3"/>
  <c r="G434" i="3"/>
  <c r="C501" i="4"/>
  <c r="I501" i="4"/>
  <c r="F435" i="3"/>
  <c r="G435" i="3"/>
  <c r="C502" i="4"/>
  <c r="I502" i="4"/>
  <c r="F518" i="3"/>
  <c r="G518" i="3"/>
  <c r="C503" i="4"/>
  <c r="I503" i="4"/>
  <c r="F520" i="3"/>
  <c r="G520" i="3"/>
  <c r="C504" i="4"/>
  <c r="I504" i="4"/>
  <c r="F522" i="3"/>
  <c r="G522" i="3"/>
  <c r="C505" i="4"/>
  <c r="I505" i="4"/>
  <c r="F128" i="3"/>
  <c r="G128" i="3"/>
  <c r="C506" i="4"/>
  <c r="I506" i="4"/>
  <c r="F367" i="3"/>
  <c r="G367" i="3"/>
  <c r="C507" i="4"/>
  <c r="I507" i="4"/>
  <c r="F350" i="3"/>
  <c r="G350" i="3"/>
  <c r="C508" i="4"/>
  <c r="I508" i="4"/>
  <c r="F353" i="3"/>
  <c r="G353" i="3"/>
  <c r="C509" i="4"/>
  <c r="I509" i="4"/>
  <c r="F383" i="3"/>
  <c r="G383" i="3"/>
  <c r="C510" i="4"/>
  <c r="I510" i="4"/>
  <c r="F384" i="3"/>
  <c r="G384" i="3"/>
  <c r="C511" i="4"/>
  <c r="I511" i="4"/>
  <c r="F385" i="3"/>
  <c r="G385" i="3"/>
  <c r="C512" i="4"/>
  <c r="I512" i="4"/>
  <c r="F330" i="3"/>
  <c r="G330" i="3"/>
  <c r="C513" i="4"/>
  <c r="I513" i="4"/>
  <c r="F398" i="3"/>
  <c r="G398" i="3"/>
  <c r="C514" i="4"/>
  <c r="I514" i="4"/>
  <c r="F400" i="3"/>
  <c r="G400" i="3"/>
  <c r="C515" i="4"/>
  <c r="I515" i="4"/>
  <c r="F351" i="3"/>
  <c r="G351" i="3"/>
  <c r="C516" i="4"/>
  <c r="I516" i="4"/>
  <c r="F352" i="3"/>
  <c r="G352" i="3"/>
  <c r="C517" i="4"/>
  <c r="I517" i="4"/>
  <c r="F354" i="3"/>
  <c r="G354" i="3"/>
  <c r="C518" i="4"/>
  <c r="I518" i="4"/>
  <c r="F355" i="3"/>
  <c r="G355" i="3"/>
  <c r="C519" i="4"/>
  <c r="I519" i="4"/>
  <c r="F387" i="3"/>
  <c r="G387" i="3"/>
  <c r="C520" i="4"/>
  <c r="I520" i="4"/>
  <c r="F390" i="3"/>
  <c r="G390" i="3"/>
  <c r="C521" i="4"/>
  <c r="I521" i="4"/>
  <c r="F397" i="3"/>
  <c r="G397" i="3"/>
  <c r="C522" i="4"/>
  <c r="I522" i="4"/>
  <c r="J87" i="4"/>
  <c r="K87" i="4"/>
  <c r="C33" i="5"/>
  <c r="D33" i="5"/>
  <c r="J2" i="4"/>
  <c r="K2" i="4"/>
  <c r="C2" i="5"/>
  <c r="D2" i="5"/>
  <c r="J4" i="4"/>
  <c r="K4" i="4"/>
  <c r="C3" i="5"/>
  <c r="D3" i="5"/>
  <c r="J3" i="4"/>
  <c r="K3" i="4"/>
  <c r="C4" i="5"/>
  <c r="D4" i="5"/>
  <c r="J5" i="4"/>
  <c r="K5" i="4"/>
  <c r="C16" i="5"/>
  <c r="D16" i="5"/>
  <c r="J21" i="4"/>
  <c r="K21" i="4"/>
  <c r="C8" i="5"/>
  <c r="D8" i="5"/>
  <c r="J18" i="4"/>
  <c r="K18" i="4"/>
  <c r="C22" i="5"/>
  <c r="D22" i="5"/>
  <c r="J6" i="4"/>
  <c r="K6" i="4"/>
  <c r="C5" i="5"/>
  <c r="D5" i="5"/>
  <c r="J7" i="4"/>
  <c r="K7" i="4"/>
  <c r="C6" i="5"/>
  <c r="D6" i="5"/>
  <c r="J19" i="4"/>
  <c r="K19" i="4"/>
  <c r="C9" i="5"/>
  <c r="D9" i="5"/>
  <c r="J15" i="4"/>
  <c r="K15" i="4"/>
  <c r="C10" i="5"/>
  <c r="D10" i="5"/>
  <c r="J10" i="4"/>
  <c r="K10" i="4"/>
  <c r="C11" i="5"/>
  <c r="D11" i="5"/>
  <c r="J8" i="4"/>
  <c r="K8" i="4"/>
  <c r="C12" i="5"/>
  <c r="D12" i="5"/>
  <c r="J16" i="4"/>
  <c r="K16" i="4"/>
  <c r="C13" i="5"/>
  <c r="D13" i="5"/>
  <c r="J17" i="4"/>
  <c r="K17" i="4"/>
  <c r="C7" i="5"/>
  <c r="D7" i="5"/>
  <c r="J22" i="4"/>
  <c r="K22" i="4"/>
  <c r="C14" i="5"/>
  <c r="D14" i="5"/>
  <c r="J11" i="4"/>
  <c r="K11" i="4"/>
  <c r="C23" i="5"/>
  <c r="D23" i="5"/>
  <c r="J20" i="4"/>
  <c r="K20" i="4"/>
  <c r="C24" i="5"/>
  <c r="D24" i="5"/>
  <c r="J14" i="4"/>
  <c r="K14" i="4"/>
  <c r="C25" i="5"/>
  <c r="D25" i="5"/>
  <c r="J23" i="4"/>
  <c r="K23" i="4"/>
  <c r="C15" i="5"/>
  <c r="D15" i="5"/>
  <c r="J26" i="4"/>
  <c r="K26" i="4"/>
  <c r="C20" i="5"/>
  <c r="D20" i="5"/>
  <c r="J27" i="4"/>
  <c r="K27" i="4"/>
  <c r="C21" i="5"/>
  <c r="D21" i="5"/>
  <c r="J36" i="4"/>
  <c r="K36" i="4"/>
  <c r="C43" i="5"/>
  <c r="D43" i="5"/>
  <c r="J42" i="4"/>
  <c r="K42" i="4"/>
  <c r="C44" i="5"/>
  <c r="D44" i="5"/>
  <c r="J32" i="4"/>
  <c r="K32" i="4"/>
  <c r="C31" i="5"/>
  <c r="D31" i="5"/>
  <c r="J34" i="4"/>
  <c r="K34" i="4"/>
  <c r="C17" i="5"/>
  <c r="D17" i="5"/>
  <c r="J35" i="4"/>
  <c r="K35" i="4"/>
  <c r="C18" i="5"/>
  <c r="D18" i="5"/>
  <c r="J25" i="4"/>
  <c r="K25" i="4"/>
  <c r="C36" i="5"/>
  <c r="D36" i="5"/>
  <c r="J28" i="4"/>
  <c r="K28" i="4"/>
  <c r="C39" i="5"/>
  <c r="D39" i="5"/>
  <c r="J29" i="4"/>
  <c r="K29" i="4"/>
  <c r="C40" i="5"/>
  <c r="D40" i="5"/>
  <c r="J51" i="4"/>
  <c r="K51" i="4"/>
  <c r="C30" i="5"/>
  <c r="D30" i="5"/>
  <c r="J53" i="4"/>
  <c r="K53" i="4"/>
  <c r="C38" i="5"/>
  <c r="D38" i="5"/>
  <c r="J54" i="4"/>
  <c r="K54" i="4"/>
  <c r="C29" i="5"/>
  <c r="D29" i="5"/>
  <c r="J38" i="4"/>
  <c r="K38" i="4"/>
  <c r="C19" i="5"/>
  <c r="D19" i="5"/>
  <c r="J37" i="4"/>
  <c r="K37" i="4"/>
  <c r="C45" i="5"/>
  <c r="D45" i="5"/>
  <c r="J41" i="4"/>
  <c r="K41" i="4"/>
  <c r="C46" i="5"/>
  <c r="D46" i="5"/>
  <c r="J44" i="4"/>
  <c r="K44" i="4"/>
  <c r="C47" i="5"/>
  <c r="D47" i="5"/>
  <c r="J61" i="4"/>
  <c r="K61" i="4"/>
  <c r="C65" i="5"/>
  <c r="D65" i="5"/>
  <c r="J67" i="4"/>
  <c r="K67" i="4"/>
  <c r="C66" i="5"/>
  <c r="D66" i="5"/>
  <c r="J48" i="4"/>
  <c r="K48" i="4"/>
  <c r="C48" i="5"/>
  <c r="D48" i="5"/>
  <c r="J72" i="4"/>
  <c r="K72" i="4"/>
  <c r="C41" i="5"/>
  <c r="D41" i="5"/>
  <c r="J90" i="4"/>
  <c r="K90" i="4"/>
  <c r="C78" i="5"/>
  <c r="D78" i="5"/>
  <c r="J86" i="4"/>
  <c r="K86" i="4"/>
  <c r="C34" i="5"/>
  <c r="D34" i="5"/>
  <c r="J76" i="4"/>
  <c r="K76" i="4"/>
  <c r="C60" i="5"/>
  <c r="D60" i="5"/>
  <c r="J71" i="4"/>
  <c r="K71" i="4"/>
  <c r="C37" i="5"/>
  <c r="D37" i="5"/>
  <c r="J81" i="4"/>
  <c r="K81" i="4"/>
  <c r="C79" i="5"/>
  <c r="D79" i="5"/>
  <c r="J82" i="4"/>
  <c r="K82" i="4"/>
  <c r="C42" i="5"/>
  <c r="D42" i="5"/>
  <c r="J73" i="4"/>
  <c r="K73" i="4"/>
  <c r="C61" i="5"/>
  <c r="D61" i="5"/>
  <c r="J83" i="4"/>
  <c r="K83" i="4"/>
  <c r="C80" i="5"/>
  <c r="D80" i="5"/>
  <c r="J88" i="4"/>
  <c r="K88" i="4"/>
  <c r="C81" i="5"/>
  <c r="D81" i="5"/>
  <c r="J85" i="4"/>
  <c r="K85" i="4"/>
  <c r="C62" i="5"/>
  <c r="D62" i="5"/>
  <c r="J89" i="4"/>
  <c r="K89" i="4"/>
  <c r="C82" i="5"/>
  <c r="D82" i="5"/>
  <c r="J65" i="4"/>
  <c r="K65" i="4"/>
  <c r="C67" i="5"/>
  <c r="D67" i="5"/>
  <c r="J66" i="4"/>
  <c r="K66" i="4"/>
  <c r="C68" i="5"/>
  <c r="D68" i="5"/>
  <c r="J56" i="4"/>
  <c r="K56" i="4"/>
  <c r="C69" i="5"/>
  <c r="D69" i="5"/>
  <c r="J63" i="4"/>
  <c r="K63" i="4"/>
  <c r="C70" i="5"/>
  <c r="D70" i="5"/>
  <c r="J55" i="4"/>
  <c r="K55" i="4"/>
  <c r="C71" i="5"/>
  <c r="D71" i="5"/>
  <c r="J77" i="4"/>
  <c r="K77" i="4"/>
  <c r="C83" i="5"/>
  <c r="D83" i="5"/>
  <c r="J84" i="4"/>
  <c r="K84" i="4"/>
  <c r="C84" i="5"/>
  <c r="D84" i="5"/>
  <c r="J102" i="4"/>
  <c r="K102" i="4"/>
  <c r="C64" i="5"/>
  <c r="D64" i="5"/>
  <c r="J99" i="4"/>
  <c r="K99" i="4"/>
  <c r="C97" i="5"/>
  <c r="D97" i="5"/>
  <c r="J103" i="4"/>
  <c r="K103" i="4"/>
  <c r="C98" i="5"/>
  <c r="D98" i="5"/>
  <c r="J69" i="4"/>
  <c r="K69" i="4"/>
  <c r="C72" i="5"/>
  <c r="D72" i="5"/>
  <c r="J57" i="4"/>
  <c r="K57" i="4"/>
  <c r="C113" i="5"/>
  <c r="D113" i="5"/>
  <c r="J12" i="4"/>
  <c r="K12" i="4"/>
  <c r="C26" i="5"/>
  <c r="D26" i="5"/>
  <c r="J9" i="4"/>
  <c r="K9" i="4"/>
  <c r="C27" i="5"/>
  <c r="D27" i="5"/>
  <c r="J13" i="4"/>
  <c r="K13" i="4"/>
  <c r="C28" i="5"/>
  <c r="D28" i="5"/>
  <c r="J79" i="4"/>
  <c r="K79" i="4"/>
  <c r="C133" i="5"/>
  <c r="D133" i="5"/>
  <c r="J80" i="4"/>
  <c r="K80" i="4"/>
  <c r="C134" i="5"/>
  <c r="D134" i="5"/>
  <c r="J101" i="4"/>
  <c r="K101" i="4"/>
  <c r="C99" i="5"/>
  <c r="D99" i="5"/>
  <c r="J96" i="4"/>
  <c r="K96" i="4"/>
  <c r="C100" i="5"/>
  <c r="D100" i="5"/>
  <c r="J100" i="4"/>
  <c r="K100" i="4"/>
  <c r="C101" i="5"/>
  <c r="D101" i="5"/>
  <c r="J97" i="4"/>
  <c r="K97" i="4"/>
  <c r="C102" i="5"/>
  <c r="D102" i="5"/>
  <c r="J98" i="4"/>
  <c r="K98" i="4"/>
  <c r="C103" i="5"/>
  <c r="D103" i="5"/>
  <c r="J78" i="4"/>
  <c r="K78" i="4"/>
  <c r="C85" i="5"/>
  <c r="D85" i="5"/>
  <c r="J24" i="4"/>
  <c r="K24" i="4"/>
  <c r="C35" i="5"/>
  <c r="D35" i="5"/>
  <c r="J119" i="4"/>
  <c r="K119" i="4"/>
  <c r="C94" i="5"/>
  <c r="D94" i="5"/>
  <c r="J117" i="4"/>
  <c r="K117" i="4"/>
  <c r="C88" i="5"/>
  <c r="D88" i="5"/>
  <c r="J122" i="4"/>
  <c r="K122" i="4"/>
  <c r="C144" i="5"/>
  <c r="D144" i="5"/>
  <c r="J123" i="4"/>
  <c r="K123" i="4"/>
  <c r="C92" i="5"/>
  <c r="D92" i="5"/>
  <c r="J124" i="4"/>
  <c r="K124" i="4"/>
  <c r="C93" i="5"/>
  <c r="D93" i="5"/>
  <c r="J39" i="4"/>
  <c r="K39" i="4"/>
  <c r="C49" i="5"/>
  <c r="D49" i="5"/>
  <c r="J47" i="4"/>
  <c r="K47" i="4"/>
  <c r="C50" i="5"/>
  <c r="D50" i="5"/>
  <c r="J46" i="4"/>
  <c r="K46" i="4"/>
  <c r="C51" i="5"/>
  <c r="D51" i="5"/>
  <c r="J40" i="4"/>
  <c r="K40" i="4"/>
  <c r="C52" i="5"/>
  <c r="D52" i="5"/>
  <c r="J43" i="4"/>
  <c r="K43" i="4"/>
  <c r="C53" i="5"/>
  <c r="D53" i="5"/>
  <c r="J45" i="4"/>
  <c r="K45" i="4"/>
  <c r="C54" i="5"/>
  <c r="D54" i="5"/>
  <c r="J30" i="4"/>
  <c r="K30" i="4"/>
  <c r="C55" i="5"/>
  <c r="D55" i="5"/>
  <c r="J31" i="4"/>
  <c r="K31" i="4"/>
  <c r="C56" i="5"/>
  <c r="D56" i="5"/>
  <c r="J33" i="4"/>
  <c r="K33" i="4"/>
  <c r="C57" i="5"/>
  <c r="D57" i="5"/>
  <c r="J133" i="4"/>
  <c r="K133" i="4"/>
  <c r="C95" i="5"/>
  <c r="D95" i="5"/>
  <c r="J136" i="4"/>
  <c r="K136" i="4"/>
  <c r="C96" i="5"/>
  <c r="D96" i="5"/>
  <c r="J131" i="4"/>
  <c r="K131" i="4"/>
  <c r="C115" i="5"/>
  <c r="D115" i="5"/>
  <c r="J137" i="4"/>
  <c r="K137" i="4"/>
  <c r="C116" i="5"/>
  <c r="D116" i="5"/>
  <c r="J134" i="4"/>
  <c r="K134" i="4"/>
  <c r="C151" i="5"/>
  <c r="D151" i="5"/>
  <c r="J135" i="4"/>
  <c r="K135" i="4"/>
  <c r="C152" i="5"/>
  <c r="D152" i="5"/>
  <c r="J142" i="4"/>
  <c r="K142" i="4"/>
  <c r="C135" i="5"/>
  <c r="D135" i="5"/>
  <c r="J147" i="4"/>
  <c r="K147" i="4"/>
  <c r="C153" i="5"/>
  <c r="D153" i="5"/>
  <c r="J143" i="4"/>
  <c r="K143" i="4"/>
  <c r="C107" i="5"/>
  <c r="D107" i="5"/>
  <c r="J132" i="4"/>
  <c r="K132" i="4"/>
  <c r="C136" i="5"/>
  <c r="D136" i="5"/>
  <c r="J146" i="4"/>
  <c r="K146" i="4"/>
  <c r="C154" i="5"/>
  <c r="D154" i="5"/>
  <c r="J149" i="4"/>
  <c r="K149" i="4"/>
  <c r="C155" i="5"/>
  <c r="D155" i="5"/>
  <c r="J145" i="4"/>
  <c r="K145" i="4"/>
  <c r="C156" i="5"/>
  <c r="D156" i="5"/>
  <c r="J144" i="4"/>
  <c r="K144" i="4"/>
  <c r="C157" i="5"/>
  <c r="D157" i="5"/>
  <c r="J50" i="4"/>
  <c r="K50" i="4"/>
  <c r="C58" i="5"/>
  <c r="D58" i="5"/>
  <c r="J49" i="4"/>
  <c r="K49" i="4"/>
  <c r="C59" i="5"/>
  <c r="D59" i="5"/>
  <c r="J118" i="4"/>
  <c r="K118" i="4"/>
  <c r="C141" i="5"/>
  <c r="D141" i="5"/>
  <c r="J120" i="4"/>
  <c r="K120" i="4"/>
  <c r="C142" i="5"/>
  <c r="D142" i="5"/>
  <c r="J175" i="4"/>
  <c r="K175" i="4"/>
  <c r="C117" i="5"/>
  <c r="D117" i="5"/>
  <c r="J176" i="4"/>
  <c r="K176" i="4"/>
  <c r="C139" i="5"/>
  <c r="D139" i="5"/>
  <c r="J173" i="4"/>
  <c r="K173" i="4"/>
  <c r="C166" i="5"/>
  <c r="D166" i="5"/>
  <c r="J151" i="4"/>
  <c r="K151" i="4"/>
  <c r="C106" i="5"/>
  <c r="D106" i="5"/>
  <c r="J172" i="4"/>
  <c r="K172" i="4"/>
  <c r="C118" i="5"/>
  <c r="D118" i="5"/>
  <c r="J168" i="4"/>
  <c r="K168" i="4"/>
  <c r="C140" i="5"/>
  <c r="D140" i="5"/>
  <c r="J153" i="4"/>
  <c r="K153" i="4"/>
  <c r="C167" i="5"/>
  <c r="D167" i="5"/>
  <c r="J154" i="4"/>
  <c r="K154" i="4"/>
  <c r="C168" i="5"/>
  <c r="D168" i="5"/>
  <c r="J155" i="4"/>
  <c r="K155" i="4"/>
  <c r="C119" i="5"/>
  <c r="D119" i="5"/>
  <c r="J156" i="4"/>
  <c r="K156" i="4"/>
  <c r="C120" i="5"/>
  <c r="D120" i="5"/>
  <c r="J157" i="4"/>
  <c r="K157" i="4"/>
  <c r="C121" i="5"/>
  <c r="D121" i="5"/>
  <c r="J158" i="4"/>
  <c r="K158" i="4"/>
  <c r="C122" i="5"/>
  <c r="D122" i="5"/>
  <c r="J159" i="4"/>
  <c r="K159" i="4"/>
  <c r="C111" i="5"/>
  <c r="D111" i="5"/>
  <c r="J169" i="4"/>
  <c r="K169" i="4"/>
  <c r="C123" i="5"/>
  <c r="D123" i="5"/>
  <c r="J170" i="4"/>
  <c r="K170" i="4"/>
  <c r="C124" i="5"/>
  <c r="D124" i="5"/>
  <c r="J171" i="4"/>
  <c r="K171" i="4"/>
  <c r="C112" i="5"/>
  <c r="D112" i="5"/>
  <c r="J52" i="4"/>
  <c r="K52" i="4"/>
  <c r="C63" i="5"/>
  <c r="D63" i="5"/>
  <c r="J64" i="4"/>
  <c r="K64" i="4"/>
  <c r="C32" i="5"/>
  <c r="D32" i="5"/>
  <c r="J68" i="4"/>
  <c r="K68" i="4"/>
  <c r="C73" i="5"/>
  <c r="D73" i="5"/>
  <c r="J59" i="4"/>
  <c r="K59" i="4"/>
  <c r="C74" i="5"/>
  <c r="D74" i="5"/>
  <c r="J58" i="4"/>
  <c r="K58" i="4"/>
  <c r="C75" i="5"/>
  <c r="D75" i="5"/>
  <c r="J60" i="4"/>
  <c r="K60" i="4"/>
  <c r="C76" i="5"/>
  <c r="D76" i="5"/>
  <c r="J62" i="4"/>
  <c r="K62" i="4"/>
  <c r="C114" i="5"/>
  <c r="D114" i="5"/>
  <c r="J139" i="4"/>
  <c r="K139" i="4"/>
  <c r="C158" i="5"/>
  <c r="D158" i="5"/>
  <c r="J128" i="4"/>
  <c r="K128" i="4"/>
  <c r="C159" i="5"/>
  <c r="D159" i="5"/>
  <c r="J129" i="4"/>
  <c r="K129" i="4"/>
  <c r="C160" i="5"/>
  <c r="D160" i="5"/>
  <c r="J148" i="4"/>
  <c r="K148" i="4"/>
  <c r="C161" i="5"/>
  <c r="D161" i="5"/>
  <c r="J182" i="4"/>
  <c r="K182" i="4"/>
  <c r="C143" i="5"/>
  <c r="D143" i="5"/>
  <c r="J186" i="4"/>
  <c r="K186" i="4"/>
  <c r="C137" i="5"/>
  <c r="D137" i="5"/>
  <c r="J183" i="4"/>
  <c r="K183" i="4"/>
  <c r="C180" i="5"/>
  <c r="D180" i="5"/>
  <c r="J184" i="4"/>
  <c r="K184" i="4"/>
  <c r="C148" i="5"/>
  <c r="D148" i="5"/>
  <c r="J179" i="4"/>
  <c r="K179" i="4"/>
  <c r="C181" i="5"/>
  <c r="D181" i="5"/>
  <c r="J70" i="4"/>
  <c r="K70" i="4"/>
  <c r="C77" i="5"/>
  <c r="D77" i="5"/>
  <c r="J160" i="4"/>
  <c r="K160" i="4"/>
  <c r="C169" i="5"/>
  <c r="D169" i="5"/>
  <c r="J164" i="4"/>
  <c r="K164" i="4"/>
  <c r="C170" i="5"/>
  <c r="D170" i="5"/>
  <c r="J74" i="4"/>
  <c r="K74" i="4"/>
  <c r="C86" i="5"/>
  <c r="D86" i="5"/>
  <c r="J75" i="4"/>
  <c r="K75" i="4"/>
  <c r="C87" i="5"/>
  <c r="D87" i="5"/>
  <c r="J91" i="4"/>
  <c r="K91" i="4"/>
  <c r="C138" i="5"/>
  <c r="D138" i="5"/>
  <c r="J92" i="4"/>
  <c r="K92" i="4"/>
  <c r="C89" i="5"/>
  <c r="D89" i="5"/>
  <c r="J93" i="4"/>
  <c r="K93" i="4"/>
  <c r="C90" i="5"/>
  <c r="D90" i="5"/>
  <c r="J94" i="4"/>
  <c r="K94" i="4"/>
  <c r="C91" i="5"/>
  <c r="D91" i="5"/>
  <c r="J180" i="4"/>
  <c r="K180" i="4"/>
  <c r="C182" i="5"/>
  <c r="D182" i="5"/>
  <c r="J181" i="4"/>
  <c r="K181" i="4"/>
  <c r="C183" i="5"/>
  <c r="D183" i="5"/>
  <c r="J185" i="4"/>
  <c r="K185" i="4"/>
  <c r="C184" i="5"/>
  <c r="D184" i="5"/>
  <c r="J150" i="4"/>
  <c r="K150" i="4"/>
  <c r="C162" i="5"/>
  <c r="D162" i="5"/>
  <c r="J195" i="4"/>
  <c r="K195" i="4"/>
  <c r="C150" i="5"/>
  <c r="D150" i="5"/>
  <c r="J201" i="4"/>
  <c r="K201" i="4"/>
  <c r="C188" i="5"/>
  <c r="D188" i="5"/>
  <c r="J204" i="4"/>
  <c r="K204" i="4"/>
  <c r="C189" i="5"/>
  <c r="D189" i="5"/>
  <c r="J192" i="4"/>
  <c r="K192" i="4"/>
  <c r="C190" i="5"/>
  <c r="D190" i="5"/>
  <c r="J211" i="4"/>
  <c r="K211" i="4"/>
  <c r="C179" i="5"/>
  <c r="D179" i="5"/>
  <c r="J174" i="4"/>
  <c r="K174" i="4"/>
  <c r="C171" i="5"/>
  <c r="D171" i="5"/>
  <c r="J95" i="4"/>
  <c r="K95" i="4"/>
  <c r="C104" i="5"/>
  <c r="D104" i="5"/>
  <c r="J104" i="4"/>
  <c r="K104" i="4"/>
  <c r="C105" i="5"/>
  <c r="D105" i="5"/>
  <c r="J105" i="4"/>
  <c r="K105" i="4"/>
  <c r="C149" i="5"/>
  <c r="D149" i="5"/>
  <c r="J106" i="4"/>
  <c r="K106" i="4"/>
  <c r="C108" i="5"/>
  <c r="D108" i="5"/>
  <c r="J108" i="4"/>
  <c r="K108" i="4"/>
  <c r="C109" i="5"/>
  <c r="D109" i="5"/>
  <c r="J107" i="4"/>
  <c r="K107" i="4"/>
  <c r="C110" i="5"/>
  <c r="D110" i="5"/>
  <c r="J238" i="4"/>
  <c r="K238" i="4"/>
  <c r="C234" i="5"/>
  <c r="D234" i="5"/>
  <c r="J208" i="4"/>
  <c r="K208" i="4"/>
  <c r="C191" i="5"/>
  <c r="D191" i="5"/>
  <c r="J213" i="4"/>
  <c r="K213" i="4"/>
  <c r="C192" i="5"/>
  <c r="D192" i="5"/>
  <c r="J200" i="4"/>
  <c r="K200" i="4"/>
  <c r="C193" i="5"/>
  <c r="D193" i="5"/>
  <c r="J214" i="4"/>
  <c r="K214" i="4"/>
  <c r="C194" i="5"/>
  <c r="D194" i="5"/>
  <c r="J196" i="4"/>
  <c r="K196" i="4"/>
  <c r="C195" i="5"/>
  <c r="D195" i="5"/>
  <c r="J212" i="4"/>
  <c r="K212" i="4"/>
  <c r="C196" i="5"/>
  <c r="D196" i="5"/>
  <c r="J202" i="4"/>
  <c r="K202" i="4"/>
  <c r="C197" i="5"/>
  <c r="D197" i="5"/>
  <c r="J177" i="4"/>
  <c r="K177" i="4"/>
  <c r="C241" i="5"/>
  <c r="D241" i="5"/>
  <c r="J109" i="4"/>
  <c r="K109" i="4"/>
  <c r="C125" i="5"/>
  <c r="D125" i="5"/>
  <c r="J111" i="4"/>
  <c r="K111" i="4"/>
  <c r="C126" i="5"/>
  <c r="D126" i="5"/>
  <c r="J112" i="4"/>
  <c r="K112" i="4"/>
  <c r="C127" i="5"/>
  <c r="D127" i="5"/>
  <c r="J115" i="4"/>
  <c r="K115" i="4"/>
  <c r="C128" i="5"/>
  <c r="D128" i="5"/>
  <c r="J116" i="4"/>
  <c r="K116" i="4"/>
  <c r="C129" i="5"/>
  <c r="D129" i="5"/>
  <c r="J110" i="4"/>
  <c r="K110" i="4"/>
  <c r="C130" i="5"/>
  <c r="D130" i="5"/>
  <c r="J113" i="4"/>
  <c r="K113" i="4"/>
  <c r="C131" i="5"/>
  <c r="D131" i="5"/>
  <c r="J114" i="4"/>
  <c r="K114" i="4"/>
  <c r="C132" i="5"/>
  <c r="D132" i="5"/>
  <c r="J272" i="4"/>
  <c r="K272" i="4"/>
  <c r="C249" i="5"/>
  <c r="D249" i="5"/>
  <c r="J252" i="4"/>
  <c r="K252" i="4"/>
  <c r="C250" i="5"/>
  <c r="D250" i="5"/>
  <c r="J253" i="4"/>
  <c r="K253" i="4"/>
  <c r="C251" i="5"/>
  <c r="D251" i="5"/>
  <c r="J258" i="4"/>
  <c r="K258" i="4"/>
  <c r="C252" i="5"/>
  <c r="D252" i="5"/>
  <c r="J247" i="4"/>
  <c r="K247" i="4"/>
  <c r="C253" i="5"/>
  <c r="D253" i="5"/>
  <c r="J256" i="4"/>
  <c r="K256" i="4"/>
  <c r="C254" i="5"/>
  <c r="D254" i="5"/>
  <c r="J269" i="4"/>
  <c r="K269" i="4"/>
  <c r="C229" i="5"/>
  <c r="D229" i="5"/>
  <c r="J237" i="4"/>
  <c r="K237" i="4"/>
  <c r="C231" i="5"/>
  <c r="D231" i="5"/>
  <c r="J236" i="4"/>
  <c r="K236" i="4"/>
  <c r="C232" i="5"/>
  <c r="D232" i="5"/>
  <c r="J121" i="4"/>
  <c r="K121" i="4"/>
  <c r="C187" i="5"/>
  <c r="D187" i="5"/>
  <c r="J309" i="4"/>
  <c r="K309" i="4"/>
  <c r="C236" i="5"/>
  <c r="D236" i="5"/>
  <c r="J125" i="4"/>
  <c r="K125" i="4"/>
  <c r="C145" i="5"/>
  <c r="D145" i="5"/>
  <c r="J126" i="4"/>
  <c r="K126" i="4"/>
  <c r="C146" i="5"/>
  <c r="D146" i="5"/>
  <c r="J127" i="4"/>
  <c r="K127" i="4"/>
  <c r="C147" i="5"/>
  <c r="D147" i="5"/>
  <c r="J267" i="4"/>
  <c r="K267" i="4"/>
  <c r="C255" i="5"/>
  <c r="D255" i="5"/>
  <c r="J262" i="4"/>
  <c r="K262" i="4"/>
  <c r="C256" i="5"/>
  <c r="D256" i="5"/>
  <c r="J260" i="4"/>
  <c r="K260" i="4"/>
  <c r="C257" i="5"/>
  <c r="D257" i="5"/>
  <c r="J255" i="4"/>
  <c r="K255" i="4"/>
  <c r="C258" i="5"/>
  <c r="D258" i="5"/>
  <c r="J270" i="4"/>
  <c r="K270" i="4"/>
  <c r="C259" i="5"/>
  <c r="D259" i="5"/>
  <c r="J140" i="4"/>
  <c r="K140" i="4"/>
  <c r="C163" i="5"/>
  <c r="D163" i="5"/>
  <c r="J138" i="4"/>
  <c r="K138" i="4"/>
  <c r="C164" i="5"/>
  <c r="D164" i="5"/>
  <c r="J130" i="4"/>
  <c r="K130" i="4"/>
  <c r="C165" i="5"/>
  <c r="D165" i="5"/>
  <c r="J141" i="4"/>
  <c r="K141" i="4"/>
  <c r="C221" i="5"/>
  <c r="D221" i="5"/>
  <c r="J310" i="4"/>
  <c r="K310" i="4"/>
  <c r="C235" i="5"/>
  <c r="D235" i="5"/>
  <c r="J311" i="4"/>
  <c r="K311" i="4"/>
  <c r="C247" i="5"/>
  <c r="D247" i="5"/>
  <c r="J166" i="4"/>
  <c r="K166" i="4"/>
  <c r="C172" i="5"/>
  <c r="D172" i="5"/>
  <c r="J152" i="4"/>
  <c r="K152" i="4"/>
  <c r="C173" i="5"/>
  <c r="D173" i="5"/>
  <c r="J163" i="4"/>
  <c r="K163" i="4"/>
  <c r="C174" i="5"/>
  <c r="D174" i="5"/>
  <c r="J161" i="4"/>
  <c r="K161" i="4"/>
  <c r="C175" i="5"/>
  <c r="D175" i="5"/>
  <c r="J162" i="4"/>
  <c r="K162" i="4"/>
  <c r="C176" i="5"/>
  <c r="D176" i="5"/>
  <c r="J165" i="4"/>
  <c r="K165" i="4"/>
  <c r="C177" i="5"/>
  <c r="D177" i="5"/>
  <c r="J167" i="4"/>
  <c r="K167" i="4"/>
  <c r="C178" i="5"/>
  <c r="D178" i="5"/>
  <c r="J312" i="4"/>
  <c r="K312" i="4"/>
  <c r="C230" i="5"/>
  <c r="D230" i="5"/>
  <c r="J244" i="4"/>
  <c r="K244" i="4"/>
  <c r="C260" i="5"/>
  <c r="D260" i="5"/>
  <c r="J254" i="4"/>
  <c r="K254" i="4"/>
  <c r="C261" i="5"/>
  <c r="D261" i="5"/>
  <c r="J191" i="4"/>
  <c r="K191" i="4"/>
  <c r="C185" i="5"/>
  <c r="D185" i="5"/>
  <c r="J178" i="4"/>
  <c r="K178" i="4"/>
  <c r="C186" i="5"/>
  <c r="D186" i="5"/>
  <c r="J188" i="4"/>
  <c r="K188" i="4"/>
  <c r="C242" i="5"/>
  <c r="D242" i="5"/>
  <c r="J189" i="4"/>
  <c r="K189" i="4"/>
  <c r="C243" i="5"/>
  <c r="D243" i="5"/>
  <c r="J190" i="4"/>
  <c r="K190" i="4"/>
  <c r="C244" i="5"/>
  <c r="D244" i="5"/>
  <c r="J187" i="4"/>
  <c r="K187" i="4"/>
  <c r="C245" i="5"/>
  <c r="D245" i="5"/>
  <c r="J339" i="4"/>
  <c r="K339" i="4"/>
  <c r="C248" i="5"/>
  <c r="D248" i="5"/>
  <c r="J340" i="4"/>
  <c r="K340" i="4"/>
  <c r="C321" i="5"/>
  <c r="D321" i="5"/>
  <c r="J194" i="4"/>
  <c r="K194" i="4"/>
  <c r="C198" i="5"/>
  <c r="D198" i="5"/>
  <c r="J205" i="4"/>
  <c r="K205" i="4"/>
  <c r="C199" i="5"/>
  <c r="D199" i="5"/>
  <c r="J215" i="4"/>
  <c r="K215" i="4"/>
  <c r="C200" i="5"/>
  <c r="D200" i="5"/>
  <c r="J209" i="4"/>
  <c r="K209" i="4"/>
  <c r="C201" i="5"/>
  <c r="D201" i="5"/>
  <c r="J216" i="4"/>
  <c r="K216" i="4"/>
  <c r="C202" i="5"/>
  <c r="D202" i="5"/>
  <c r="J198" i="4"/>
  <c r="K198" i="4"/>
  <c r="C203" i="5"/>
  <c r="D203" i="5"/>
  <c r="J203" i="4"/>
  <c r="K203" i="4"/>
  <c r="C204" i="5"/>
  <c r="D204" i="5"/>
  <c r="J206" i="4"/>
  <c r="K206" i="4"/>
  <c r="C205" i="5"/>
  <c r="D205" i="5"/>
  <c r="J193" i="4"/>
  <c r="K193" i="4"/>
  <c r="C206" i="5"/>
  <c r="D206" i="5"/>
  <c r="J197" i="4"/>
  <c r="K197" i="4"/>
  <c r="C207" i="5"/>
  <c r="D207" i="5"/>
  <c r="J199" i="4"/>
  <c r="K199" i="4"/>
  <c r="C208" i="5"/>
  <c r="D208" i="5"/>
  <c r="J207" i="4"/>
  <c r="K207" i="4"/>
  <c r="C209" i="5"/>
  <c r="D209" i="5"/>
  <c r="J217" i="4"/>
  <c r="K217" i="4"/>
  <c r="C210" i="5"/>
  <c r="D210" i="5"/>
  <c r="J218" i="4"/>
  <c r="K218" i="4"/>
  <c r="C211" i="5"/>
  <c r="D211" i="5"/>
  <c r="J210" i="4"/>
  <c r="K210" i="4"/>
  <c r="C212" i="5"/>
  <c r="D212" i="5"/>
  <c r="J220" i="4"/>
  <c r="K220" i="4"/>
  <c r="C213" i="5"/>
  <c r="D213" i="5"/>
  <c r="J219" i="4"/>
  <c r="K219" i="4"/>
  <c r="C313" i="5"/>
  <c r="D313" i="5"/>
  <c r="J224" i="4"/>
  <c r="K224" i="4"/>
  <c r="C214" i="5"/>
  <c r="D214" i="5"/>
  <c r="J223" i="4"/>
  <c r="K223" i="4"/>
  <c r="C215" i="5"/>
  <c r="D215" i="5"/>
  <c r="J226" i="4"/>
  <c r="K226" i="4"/>
  <c r="C216" i="5"/>
  <c r="D216" i="5"/>
  <c r="J221" i="4"/>
  <c r="K221" i="4"/>
  <c r="C217" i="5"/>
  <c r="D217" i="5"/>
  <c r="J225" i="4"/>
  <c r="K225" i="4"/>
  <c r="C218" i="5"/>
  <c r="D218" i="5"/>
  <c r="J222" i="4"/>
  <c r="K222" i="4"/>
  <c r="C219" i="5"/>
  <c r="D219" i="5"/>
  <c r="J227" i="4"/>
  <c r="K227" i="4"/>
  <c r="C220" i="5"/>
  <c r="D220" i="5"/>
  <c r="J425" i="4"/>
  <c r="K425" i="4"/>
  <c r="C314" i="5"/>
  <c r="D314" i="5"/>
  <c r="J392" i="4"/>
  <c r="K392" i="4"/>
  <c r="C352" i="5"/>
  <c r="D352" i="5"/>
  <c r="J426" i="4"/>
  <c r="K426" i="4"/>
  <c r="C318" i="5"/>
  <c r="D318" i="5"/>
  <c r="J385" i="4"/>
  <c r="K385" i="4"/>
  <c r="C353" i="5"/>
  <c r="D353" i="5"/>
  <c r="J386" i="4"/>
  <c r="K386" i="4"/>
  <c r="C369" i="5"/>
  <c r="D369" i="5"/>
  <c r="J413" i="4"/>
  <c r="K413" i="4"/>
  <c r="C322" i="5"/>
  <c r="D322" i="5"/>
  <c r="J391" i="4"/>
  <c r="K391" i="4"/>
  <c r="C354" i="5"/>
  <c r="D354" i="5"/>
  <c r="J361" i="4"/>
  <c r="K361" i="4"/>
  <c r="C355" i="5"/>
  <c r="D355" i="5"/>
  <c r="J404" i="4"/>
  <c r="K404" i="4"/>
  <c r="C370" i="5"/>
  <c r="D370" i="5"/>
  <c r="J407" i="4"/>
  <c r="K407" i="4"/>
  <c r="C371" i="5"/>
  <c r="D371" i="5"/>
  <c r="J357" i="4"/>
  <c r="K357" i="4"/>
  <c r="C372" i="5"/>
  <c r="D372" i="5"/>
  <c r="J373" i="4"/>
  <c r="K373" i="4"/>
  <c r="C373" i="5"/>
  <c r="D373" i="5"/>
  <c r="J359" i="4"/>
  <c r="K359" i="4"/>
  <c r="C374" i="5"/>
  <c r="D374" i="5"/>
  <c r="J436" i="4"/>
  <c r="K436" i="4"/>
  <c r="C375" i="5"/>
  <c r="D375" i="5"/>
  <c r="J369" i="4"/>
  <c r="K369" i="4"/>
  <c r="C315" i="5"/>
  <c r="D315" i="5"/>
  <c r="J437" i="4"/>
  <c r="K437" i="4"/>
  <c r="C316" i="5"/>
  <c r="D316" i="5"/>
  <c r="J381" i="4"/>
  <c r="K381" i="4"/>
  <c r="C319" i="5"/>
  <c r="D319" i="5"/>
  <c r="J403" i="4"/>
  <c r="K403" i="4"/>
  <c r="C376" i="5"/>
  <c r="D376" i="5"/>
  <c r="J372" i="4"/>
  <c r="K372" i="4"/>
  <c r="C356" i="5"/>
  <c r="D356" i="5"/>
  <c r="J402" i="4"/>
  <c r="K402" i="4"/>
  <c r="C317" i="5"/>
  <c r="D317" i="5"/>
  <c r="J417" i="4"/>
  <c r="K417" i="4"/>
  <c r="C357" i="5"/>
  <c r="D357" i="5"/>
  <c r="J383" i="4"/>
  <c r="K383" i="4"/>
  <c r="C320" i="5"/>
  <c r="D320" i="5"/>
  <c r="J362" i="4"/>
  <c r="K362" i="4"/>
  <c r="C358" i="5"/>
  <c r="D358" i="5"/>
  <c r="J363" i="4"/>
  <c r="K363" i="4"/>
  <c r="C359" i="5"/>
  <c r="D359" i="5"/>
  <c r="J365" i="4"/>
  <c r="K365" i="4"/>
  <c r="C323" i="5"/>
  <c r="D323" i="5"/>
  <c r="J343" i="4"/>
  <c r="K343" i="4"/>
  <c r="C324" i="5"/>
  <c r="D324" i="5"/>
  <c r="J364" i="4"/>
  <c r="K364" i="4"/>
  <c r="C360" i="5"/>
  <c r="D360" i="5"/>
  <c r="J378" i="4"/>
  <c r="K378" i="4"/>
  <c r="C361" i="5"/>
  <c r="D361" i="5"/>
  <c r="J367" i="4"/>
  <c r="K367" i="4"/>
  <c r="C362" i="5"/>
  <c r="D362" i="5"/>
  <c r="J366" i="4"/>
  <c r="K366" i="4"/>
  <c r="C363" i="5"/>
  <c r="D363" i="5"/>
  <c r="J368" i="4"/>
  <c r="K368" i="4"/>
  <c r="C364" i="5"/>
  <c r="D364" i="5"/>
  <c r="J379" i="4"/>
  <c r="K379" i="4"/>
  <c r="C365" i="5"/>
  <c r="D365" i="5"/>
  <c r="J397" i="4"/>
  <c r="K397" i="4"/>
  <c r="C366" i="5"/>
  <c r="D366" i="5"/>
  <c r="J398" i="4"/>
  <c r="K398" i="4"/>
  <c r="C367" i="5"/>
  <c r="D367" i="5"/>
  <c r="J435" i="4"/>
  <c r="K435" i="4"/>
  <c r="C377" i="5"/>
  <c r="D377" i="5"/>
  <c r="J400" i="4"/>
  <c r="K400" i="4"/>
  <c r="C378" i="5"/>
  <c r="D378" i="5"/>
  <c r="J418" i="4"/>
  <c r="K418" i="4"/>
  <c r="C379" i="5"/>
  <c r="D379" i="5"/>
  <c r="J416" i="4"/>
  <c r="K416" i="4"/>
  <c r="C380" i="5"/>
  <c r="D380" i="5"/>
  <c r="J401" i="4"/>
  <c r="K401" i="4"/>
  <c r="C381" i="5"/>
  <c r="D381" i="5"/>
  <c r="J351" i="4"/>
  <c r="K351" i="4"/>
  <c r="C382" i="5"/>
  <c r="D382" i="5"/>
  <c r="J355" i="4"/>
  <c r="K355" i="4"/>
  <c r="C383" i="5"/>
  <c r="D383" i="5"/>
  <c r="J353" i="4"/>
  <c r="K353" i="4"/>
  <c r="C384" i="5"/>
  <c r="D384" i="5"/>
  <c r="J354" i="4"/>
  <c r="K354" i="4"/>
  <c r="C385" i="5"/>
  <c r="D385" i="5"/>
  <c r="J356" i="4"/>
  <c r="K356" i="4"/>
  <c r="C386" i="5"/>
  <c r="D386" i="5"/>
  <c r="J358" i="4"/>
  <c r="K358" i="4"/>
  <c r="C387" i="5"/>
  <c r="D387" i="5"/>
  <c r="J228" i="4"/>
  <c r="K228" i="4"/>
  <c r="C222" i="5"/>
  <c r="D222" i="5"/>
  <c r="J229" i="4"/>
  <c r="K229" i="4"/>
  <c r="C223" i="5"/>
  <c r="D223" i="5"/>
  <c r="J230" i="4"/>
  <c r="K230" i="4"/>
  <c r="C224" i="5"/>
  <c r="D224" i="5"/>
  <c r="J231" i="4"/>
  <c r="K231" i="4"/>
  <c r="C225" i="5"/>
  <c r="D225" i="5"/>
  <c r="J232" i="4"/>
  <c r="K232" i="4"/>
  <c r="C226" i="5"/>
  <c r="D226" i="5"/>
  <c r="J233" i="4"/>
  <c r="K233" i="4"/>
  <c r="C227" i="5"/>
  <c r="D227" i="5"/>
  <c r="J234" i="4"/>
  <c r="K234" i="4"/>
  <c r="C228" i="5"/>
  <c r="D228" i="5"/>
  <c r="J235" i="4"/>
  <c r="K235" i="4"/>
  <c r="C233" i="5"/>
  <c r="D233" i="5"/>
  <c r="J240" i="4"/>
  <c r="K240" i="4"/>
  <c r="C237" i="5"/>
  <c r="D237" i="5"/>
  <c r="J241" i="4"/>
  <c r="K241" i="4"/>
  <c r="C238" i="5"/>
  <c r="D238" i="5"/>
  <c r="J239" i="4"/>
  <c r="K239" i="4"/>
  <c r="C239" i="5"/>
  <c r="D239" i="5"/>
  <c r="J242" i="4"/>
  <c r="K242" i="4"/>
  <c r="C240" i="5"/>
  <c r="D240" i="5"/>
  <c r="J439" i="4"/>
  <c r="K439" i="4"/>
  <c r="C325" i="5"/>
  <c r="D325" i="5"/>
  <c r="J408" i="4"/>
  <c r="K408" i="4"/>
  <c r="C388" i="5"/>
  <c r="D388" i="5"/>
  <c r="J420" i="4"/>
  <c r="K420" i="4"/>
  <c r="C389" i="5"/>
  <c r="D389" i="5"/>
  <c r="J405" i="4"/>
  <c r="K405" i="4"/>
  <c r="C390" i="5"/>
  <c r="D390" i="5"/>
  <c r="J406" i="4"/>
  <c r="K406" i="4"/>
  <c r="C391" i="5"/>
  <c r="D391" i="5"/>
  <c r="J374" i="4"/>
  <c r="K374" i="4"/>
  <c r="C392" i="5"/>
  <c r="D392" i="5"/>
  <c r="J389" i="4"/>
  <c r="K389" i="4"/>
  <c r="C393" i="5"/>
  <c r="D393" i="5"/>
  <c r="J341" i="4"/>
  <c r="K341" i="4"/>
  <c r="C394" i="5"/>
  <c r="D394" i="5"/>
  <c r="J427" i="4"/>
  <c r="K427" i="4"/>
  <c r="C395" i="5"/>
  <c r="D395" i="5"/>
  <c r="J371" i="4"/>
  <c r="K371" i="4"/>
  <c r="C396" i="5"/>
  <c r="D396" i="5"/>
  <c r="J243" i="4"/>
  <c r="K243" i="4"/>
  <c r="C246" i="5"/>
  <c r="D246" i="5"/>
  <c r="J250" i="4"/>
  <c r="K250" i="4"/>
  <c r="C262" i="5"/>
  <c r="D262" i="5"/>
  <c r="J271" i="4"/>
  <c r="K271" i="4"/>
  <c r="C263" i="5"/>
  <c r="D263" i="5"/>
  <c r="J245" i="4"/>
  <c r="K245" i="4"/>
  <c r="C264" i="5"/>
  <c r="D264" i="5"/>
  <c r="J251" i="4"/>
  <c r="K251" i="4"/>
  <c r="C265" i="5"/>
  <c r="D265" i="5"/>
  <c r="J268" i="4"/>
  <c r="K268" i="4"/>
  <c r="C266" i="5"/>
  <c r="D266" i="5"/>
  <c r="J257" i="4"/>
  <c r="K257" i="4"/>
  <c r="C267" i="5"/>
  <c r="D267" i="5"/>
  <c r="J274" i="4"/>
  <c r="K274" i="4"/>
  <c r="C268" i="5"/>
  <c r="D268" i="5"/>
  <c r="J246" i="4"/>
  <c r="K246" i="4"/>
  <c r="C269" i="5"/>
  <c r="D269" i="5"/>
  <c r="J248" i="4"/>
  <c r="K248" i="4"/>
  <c r="C270" i="5"/>
  <c r="D270" i="5"/>
  <c r="J249" i="4"/>
  <c r="K249" i="4"/>
  <c r="C271" i="5"/>
  <c r="D271" i="5"/>
  <c r="J259" i="4"/>
  <c r="K259" i="4"/>
  <c r="C272" i="5"/>
  <c r="D272" i="5"/>
  <c r="J261" i="4"/>
  <c r="K261" i="4"/>
  <c r="C273" i="5"/>
  <c r="D273" i="5"/>
  <c r="J263" i="4"/>
  <c r="K263" i="4"/>
  <c r="C274" i="5"/>
  <c r="D274" i="5"/>
  <c r="J265" i="4"/>
  <c r="K265" i="4"/>
  <c r="C275" i="5"/>
  <c r="D275" i="5"/>
  <c r="J266" i="4"/>
  <c r="K266" i="4"/>
  <c r="C276" i="5"/>
  <c r="D276" i="5"/>
  <c r="J273" i="4"/>
  <c r="K273" i="4"/>
  <c r="C277" i="5"/>
  <c r="D277" i="5"/>
  <c r="J264" i="4"/>
  <c r="K264" i="4"/>
  <c r="C278" i="5"/>
  <c r="D278" i="5"/>
  <c r="J275" i="4"/>
  <c r="K275" i="4"/>
  <c r="C279" i="5"/>
  <c r="D279" i="5"/>
  <c r="J441" i="4"/>
  <c r="K441" i="4"/>
  <c r="C368" i="5"/>
  <c r="D368" i="5"/>
  <c r="J283" i="4"/>
  <c r="K283" i="4"/>
  <c r="C280" i="5"/>
  <c r="D280" i="5"/>
  <c r="J293" i="4"/>
  <c r="K293" i="4"/>
  <c r="C281" i="5"/>
  <c r="D281" i="5"/>
  <c r="J278" i="4"/>
  <c r="K278" i="4"/>
  <c r="C282" i="5"/>
  <c r="D282" i="5"/>
  <c r="J279" i="4"/>
  <c r="K279" i="4"/>
  <c r="C283" i="5"/>
  <c r="D283" i="5"/>
  <c r="J284" i="4"/>
  <c r="K284" i="4"/>
  <c r="C284" i="5"/>
  <c r="D284" i="5"/>
  <c r="J276" i="4"/>
  <c r="K276" i="4"/>
  <c r="C285" i="5"/>
  <c r="D285" i="5"/>
  <c r="J277" i="4"/>
  <c r="K277" i="4"/>
  <c r="C286" i="5"/>
  <c r="D286" i="5"/>
  <c r="J280" i="4"/>
  <c r="K280" i="4"/>
  <c r="C287" i="5"/>
  <c r="D287" i="5"/>
  <c r="J281" i="4"/>
  <c r="K281" i="4"/>
  <c r="C288" i="5"/>
  <c r="D288" i="5"/>
  <c r="J282" i="4"/>
  <c r="K282" i="4"/>
  <c r="C289" i="5"/>
  <c r="D289" i="5"/>
  <c r="J285" i="4"/>
  <c r="K285" i="4"/>
  <c r="C290" i="5"/>
  <c r="D290" i="5"/>
  <c r="J286" i="4"/>
  <c r="K286" i="4"/>
  <c r="C291" i="5"/>
  <c r="D291" i="5"/>
  <c r="J287" i="4"/>
  <c r="K287" i="4"/>
  <c r="C292" i="5"/>
  <c r="D292" i="5"/>
  <c r="J288" i="4"/>
  <c r="K288" i="4"/>
  <c r="C293" i="5"/>
  <c r="D293" i="5"/>
  <c r="J289" i="4"/>
  <c r="K289" i="4"/>
  <c r="C294" i="5"/>
  <c r="D294" i="5"/>
  <c r="J290" i="4"/>
  <c r="K290" i="4"/>
  <c r="C295" i="5"/>
  <c r="D295" i="5"/>
  <c r="J291" i="4"/>
  <c r="K291" i="4"/>
  <c r="C296" i="5"/>
  <c r="D296" i="5"/>
  <c r="J292" i="4"/>
  <c r="K292" i="4"/>
  <c r="C297" i="5"/>
  <c r="D297" i="5"/>
  <c r="J294" i="4"/>
  <c r="K294" i="4"/>
  <c r="C298" i="5"/>
  <c r="D298" i="5"/>
  <c r="J295" i="4"/>
  <c r="K295" i="4"/>
  <c r="C299" i="5"/>
  <c r="D299" i="5"/>
  <c r="J296" i="4"/>
  <c r="K296" i="4"/>
  <c r="C300" i="5"/>
  <c r="D300" i="5"/>
  <c r="J297" i="4"/>
  <c r="K297" i="4"/>
  <c r="C301" i="5"/>
  <c r="D301" i="5"/>
  <c r="J298" i="4"/>
  <c r="K298" i="4"/>
  <c r="C302" i="5"/>
  <c r="D302" i="5"/>
  <c r="J299" i="4"/>
  <c r="K299" i="4"/>
  <c r="C303" i="5"/>
  <c r="D303" i="5"/>
  <c r="J300" i="4"/>
  <c r="K300" i="4"/>
  <c r="C304" i="5"/>
  <c r="D304" i="5"/>
  <c r="J301" i="4"/>
  <c r="K301" i="4"/>
  <c r="C305" i="5"/>
  <c r="D305" i="5"/>
  <c r="J302" i="4"/>
  <c r="K302" i="4"/>
  <c r="C306" i="5"/>
  <c r="D306" i="5"/>
  <c r="J303" i="4"/>
  <c r="K303" i="4"/>
  <c r="C307" i="5"/>
  <c r="D307" i="5"/>
  <c r="J304" i="4"/>
  <c r="K304" i="4"/>
  <c r="C308" i="5"/>
  <c r="D308" i="5"/>
  <c r="J305" i="4"/>
  <c r="K305" i="4"/>
  <c r="C309" i="5"/>
  <c r="D309" i="5"/>
  <c r="J306" i="4"/>
  <c r="K306" i="4"/>
  <c r="C310" i="5"/>
  <c r="D310" i="5"/>
  <c r="J307" i="4"/>
  <c r="K307" i="4"/>
  <c r="C311" i="5"/>
  <c r="D311" i="5"/>
  <c r="J308" i="4"/>
  <c r="K308" i="4"/>
  <c r="C312" i="5"/>
  <c r="D312" i="5"/>
  <c r="J313" i="4"/>
  <c r="K313" i="4"/>
  <c r="C326" i="5"/>
  <c r="D326" i="5"/>
  <c r="J314" i="4"/>
  <c r="K314" i="4"/>
  <c r="C327" i="5"/>
  <c r="D327" i="5"/>
  <c r="J335" i="4"/>
  <c r="K335" i="4"/>
  <c r="C328" i="5"/>
  <c r="D328" i="5"/>
  <c r="J321" i="4"/>
  <c r="K321" i="4"/>
  <c r="C329" i="5"/>
  <c r="D329" i="5"/>
  <c r="J333" i="4"/>
  <c r="K333" i="4"/>
  <c r="C330" i="5"/>
  <c r="D330" i="5"/>
  <c r="J334" i="4"/>
  <c r="K334" i="4"/>
  <c r="C331" i="5"/>
  <c r="D331" i="5"/>
  <c r="J324" i="4"/>
  <c r="K324" i="4"/>
  <c r="C332" i="5"/>
  <c r="D332" i="5"/>
  <c r="J329" i="4"/>
  <c r="K329" i="4"/>
  <c r="C333" i="5"/>
  <c r="D333" i="5"/>
  <c r="J330" i="4"/>
  <c r="K330" i="4"/>
  <c r="C334" i="5"/>
  <c r="D334" i="5"/>
  <c r="J331" i="4"/>
  <c r="K331" i="4"/>
  <c r="C335" i="5"/>
  <c r="D335" i="5"/>
  <c r="J315" i="4"/>
  <c r="K315" i="4"/>
  <c r="C336" i="5"/>
  <c r="D336" i="5"/>
  <c r="J316" i="4"/>
  <c r="K316" i="4"/>
  <c r="C337" i="5"/>
  <c r="D337" i="5"/>
  <c r="J317" i="4"/>
  <c r="K317" i="4"/>
  <c r="C338" i="5"/>
  <c r="D338" i="5"/>
  <c r="J318" i="4"/>
  <c r="K318" i="4"/>
  <c r="C339" i="5"/>
  <c r="D339" i="5"/>
  <c r="J319" i="4"/>
  <c r="K319" i="4"/>
  <c r="C340" i="5"/>
  <c r="D340" i="5"/>
  <c r="J320" i="4"/>
  <c r="K320" i="4"/>
  <c r="C341" i="5"/>
  <c r="D341" i="5"/>
  <c r="J322" i="4"/>
  <c r="K322" i="4"/>
  <c r="C342" i="5"/>
  <c r="D342" i="5"/>
  <c r="J323" i="4"/>
  <c r="K323" i="4"/>
  <c r="C343" i="5"/>
  <c r="D343" i="5"/>
  <c r="J325" i="4"/>
  <c r="K325" i="4"/>
  <c r="C344" i="5"/>
  <c r="D344" i="5"/>
  <c r="J326" i="4"/>
  <c r="K326" i="4"/>
  <c r="C345" i="5"/>
  <c r="D345" i="5"/>
  <c r="J327" i="4"/>
  <c r="K327" i="4"/>
  <c r="C346" i="5"/>
  <c r="D346" i="5"/>
  <c r="J328" i="4"/>
  <c r="K328" i="4"/>
  <c r="C347" i="5"/>
  <c r="D347" i="5"/>
  <c r="J332" i="4"/>
  <c r="K332" i="4"/>
  <c r="C348" i="5"/>
  <c r="D348" i="5"/>
  <c r="J336" i="4"/>
  <c r="K336" i="4"/>
  <c r="C349" i="5"/>
  <c r="D349" i="5"/>
  <c r="J337" i="4"/>
  <c r="K337" i="4"/>
  <c r="C350" i="5"/>
  <c r="D350" i="5"/>
  <c r="J338" i="4"/>
  <c r="K338" i="4"/>
  <c r="C351" i="5"/>
  <c r="D351" i="5"/>
  <c r="J419" i="4"/>
  <c r="K419" i="4"/>
  <c r="C499" i="5"/>
  <c r="D499" i="5"/>
  <c r="J346" i="4"/>
  <c r="K346" i="4"/>
  <c r="C397" i="5"/>
  <c r="D397" i="5"/>
  <c r="J395" i="4"/>
  <c r="K395" i="4"/>
  <c r="C398" i="5"/>
  <c r="D398" i="5"/>
  <c r="J434" i="4"/>
  <c r="K434" i="4"/>
  <c r="C399" i="5"/>
  <c r="D399" i="5"/>
  <c r="J421" i="4"/>
  <c r="K421" i="4"/>
  <c r="C400" i="5"/>
  <c r="D400" i="5"/>
  <c r="J424" i="4"/>
  <c r="K424" i="4"/>
  <c r="C401" i="5"/>
  <c r="D401" i="5"/>
  <c r="J349" i="4"/>
  <c r="K349" i="4"/>
  <c r="C402" i="5"/>
  <c r="D402" i="5"/>
  <c r="J370" i="4"/>
  <c r="K370" i="4"/>
  <c r="C403" i="5"/>
  <c r="D403" i="5"/>
  <c r="J388" i="4"/>
  <c r="K388" i="4"/>
  <c r="C404" i="5"/>
  <c r="D404" i="5"/>
  <c r="J399" i="4"/>
  <c r="K399" i="4"/>
  <c r="C405" i="5"/>
  <c r="D405" i="5"/>
  <c r="J409" i="4"/>
  <c r="K409" i="4"/>
  <c r="C406" i="5"/>
  <c r="D406" i="5"/>
  <c r="J410" i="4"/>
  <c r="K410" i="4"/>
  <c r="C407" i="5"/>
  <c r="D407" i="5"/>
  <c r="J422" i="4"/>
  <c r="K422" i="4"/>
  <c r="C408" i="5"/>
  <c r="D408" i="5"/>
  <c r="J423" i="4"/>
  <c r="K423" i="4"/>
  <c r="C409" i="5"/>
  <c r="D409" i="5"/>
  <c r="J347" i="4"/>
  <c r="K347" i="4"/>
  <c r="C410" i="5"/>
  <c r="D410" i="5"/>
  <c r="J345" i="4"/>
  <c r="K345" i="4"/>
  <c r="C411" i="5"/>
  <c r="D411" i="5"/>
  <c r="J348" i="4"/>
  <c r="K348" i="4"/>
  <c r="C412" i="5"/>
  <c r="D412" i="5"/>
  <c r="J380" i="4"/>
  <c r="K380" i="4"/>
  <c r="C413" i="5"/>
  <c r="D413" i="5"/>
  <c r="J387" i="4"/>
  <c r="K387" i="4"/>
  <c r="C414" i="5"/>
  <c r="D414" i="5"/>
  <c r="J433" i="4"/>
  <c r="K433" i="4"/>
  <c r="C415" i="5"/>
  <c r="D415" i="5"/>
  <c r="J376" i="4"/>
  <c r="K376" i="4"/>
  <c r="C416" i="5"/>
  <c r="D416" i="5"/>
  <c r="J352" i="4"/>
  <c r="K352" i="4"/>
  <c r="C417" i="5"/>
  <c r="D417" i="5"/>
  <c r="J342" i="4"/>
  <c r="K342" i="4"/>
  <c r="C418" i="5"/>
  <c r="D418" i="5"/>
  <c r="J375" i="4"/>
  <c r="K375" i="4"/>
  <c r="C419" i="5"/>
  <c r="D419" i="5"/>
  <c r="J428" i="4"/>
  <c r="K428" i="4"/>
  <c r="C420" i="5"/>
  <c r="D420" i="5"/>
  <c r="J431" i="4"/>
  <c r="K431" i="4"/>
  <c r="C421" i="5"/>
  <c r="D421" i="5"/>
  <c r="J430" i="4"/>
  <c r="K430" i="4"/>
  <c r="C422" i="5"/>
  <c r="D422" i="5"/>
  <c r="J350" i="4"/>
  <c r="K350" i="4"/>
  <c r="C423" i="5"/>
  <c r="D423" i="5"/>
  <c r="J382" i="4"/>
  <c r="K382" i="4"/>
  <c r="C424" i="5"/>
  <c r="D424" i="5"/>
  <c r="J390" i="4"/>
  <c r="K390" i="4"/>
  <c r="C425" i="5"/>
  <c r="D425" i="5"/>
  <c r="J412" i="4"/>
  <c r="K412" i="4"/>
  <c r="C426" i="5"/>
  <c r="D426" i="5"/>
  <c r="J414" i="4"/>
  <c r="K414" i="4"/>
  <c r="C427" i="5"/>
  <c r="D427" i="5"/>
  <c r="J415" i="4"/>
  <c r="K415" i="4"/>
  <c r="C428" i="5"/>
  <c r="D428" i="5"/>
  <c r="J432" i="4"/>
  <c r="K432" i="4"/>
  <c r="C429" i="5"/>
  <c r="D429" i="5"/>
  <c r="J393" i="4"/>
  <c r="K393" i="4"/>
  <c r="C430" i="5"/>
  <c r="D430" i="5"/>
  <c r="J394" i="4"/>
  <c r="K394" i="4"/>
  <c r="C431" i="5"/>
  <c r="D431" i="5"/>
  <c r="J344" i="4"/>
  <c r="K344" i="4"/>
  <c r="C432" i="5"/>
  <c r="D432" i="5"/>
  <c r="J377" i="4"/>
  <c r="K377" i="4"/>
  <c r="C500" i="5"/>
  <c r="D500" i="5"/>
  <c r="J384" i="4"/>
  <c r="K384" i="4"/>
  <c r="C501" i="5"/>
  <c r="D501" i="5"/>
  <c r="J396" i="4"/>
  <c r="K396" i="4"/>
  <c r="C502" i="5"/>
  <c r="D502" i="5"/>
  <c r="J360" i="4"/>
  <c r="K360" i="4"/>
  <c r="C503" i="5"/>
  <c r="D503" i="5"/>
  <c r="J411" i="4"/>
  <c r="K411" i="4"/>
  <c r="C504" i="5"/>
  <c r="D504" i="5"/>
  <c r="J429" i="4"/>
  <c r="K429" i="4"/>
  <c r="C505" i="5"/>
  <c r="D505" i="5"/>
  <c r="J438" i="4"/>
  <c r="K438" i="4"/>
  <c r="C506" i="5"/>
  <c r="D506" i="5"/>
  <c r="J509" i="4"/>
  <c r="K509" i="4"/>
  <c r="C507" i="5"/>
  <c r="D507" i="5"/>
  <c r="J512" i="4"/>
  <c r="K512" i="4"/>
  <c r="C508" i="5"/>
  <c r="D508" i="5"/>
  <c r="J510" i="4"/>
  <c r="K510" i="4"/>
  <c r="C509" i="5"/>
  <c r="D509" i="5"/>
  <c r="J511" i="4"/>
  <c r="K511" i="4"/>
  <c r="C510" i="5"/>
  <c r="D510" i="5"/>
  <c r="J513" i="4"/>
  <c r="K513" i="4"/>
  <c r="C512" i="5"/>
  <c r="D512" i="5"/>
  <c r="J440" i="4"/>
  <c r="K440" i="4"/>
  <c r="C433" i="5"/>
  <c r="D433" i="5"/>
  <c r="J515" i="4"/>
  <c r="K515" i="4"/>
  <c r="C513" i="5"/>
  <c r="D513" i="5"/>
  <c r="J514" i="4"/>
  <c r="K514" i="4"/>
  <c r="C514" i="5"/>
  <c r="D514" i="5"/>
  <c r="J496" i="4"/>
  <c r="K496" i="4"/>
  <c r="C434" i="5"/>
  <c r="D434" i="5"/>
  <c r="J446" i="4"/>
  <c r="K446" i="4"/>
  <c r="C435" i="5"/>
  <c r="D435" i="5"/>
  <c r="J447" i="4"/>
  <c r="K447" i="4"/>
  <c r="C436" i="5"/>
  <c r="D436" i="5"/>
  <c r="J448" i="4"/>
  <c r="K448" i="4"/>
  <c r="C437" i="5"/>
  <c r="D437" i="5"/>
  <c r="J459" i="4"/>
  <c r="K459" i="4"/>
  <c r="C438" i="5"/>
  <c r="D438" i="5"/>
  <c r="J466" i="4"/>
  <c r="K466" i="4"/>
  <c r="C439" i="5"/>
  <c r="D439" i="5"/>
  <c r="J468" i="4"/>
  <c r="K468" i="4"/>
  <c r="C440" i="5"/>
  <c r="D440" i="5"/>
  <c r="J469" i="4"/>
  <c r="K469" i="4"/>
  <c r="C441" i="5"/>
  <c r="D441" i="5"/>
  <c r="J477" i="4"/>
  <c r="K477" i="4"/>
  <c r="C442" i="5"/>
  <c r="D442" i="5"/>
  <c r="J444" i="4"/>
  <c r="K444" i="4"/>
  <c r="C443" i="5"/>
  <c r="D443" i="5"/>
  <c r="J450" i="4"/>
  <c r="K450" i="4"/>
  <c r="C444" i="5"/>
  <c r="D444" i="5"/>
  <c r="J456" i="4"/>
  <c r="K456" i="4"/>
  <c r="C445" i="5"/>
  <c r="D445" i="5"/>
  <c r="J457" i="4"/>
  <c r="K457" i="4"/>
  <c r="C446" i="5"/>
  <c r="D446" i="5"/>
  <c r="J458" i="4"/>
  <c r="K458" i="4"/>
  <c r="C447" i="5"/>
  <c r="D447" i="5"/>
  <c r="J460" i="4"/>
  <c r="K460" i="4"/>
  <c r="C448" i="5"/>
  <c r="D448" i="5"/>
  <c r="J461" i="4"/>
  <c r="K461" i="4"/>
  <c r="C449" i="5"/>
  <c r="D449" i="5"/>
  <c r="J465" i="4"/>
  <c r="K465" i="4"/>
  <c r="C450" i="5"/>
  <c r="D450" i="5"/>
  <c r="J470" i="4"/>
  <c r="K470" i="4"/>
  <c r="C451" i="5"/>
  <c r="D451" i="5"/>
  <c r="J471" i="4"/>
  <c r="K471" i="4"/>
  <c r="C452" i="5"/>
  <c r="D452" i="5"/>
  <c r="J476" i="4"/>
  <c r="K476" i="4"/>
  <c r="C453" i="5"/>
  <c r="D453" i="5"/>
  <c r="J478" i="4"/>
  <c r="K478" i="4"/>
  <c r="C454" i="5"/>
  <c r="D454" i="5"/>
  <c r="J479" i="4"/>
  <c r="K479" i="4"/>
  <c r="C455" i="5"/>
  <c r="D455" i="5"/>
  <c r="J480" i="4"/>
  <c r="K480" i="4"/>
  <c r="C456" i="5"/>
  <c r="D456" i="5"/>
  <c r="J481" i="4"/>
  <c r="K481" i="4"/>
  <c r="C457" i="5"/>
  <c r="D457" i="5"/>
  <c r="J482" i="4"/>
  <c r="K482" i="4"/>
  <c r="C458" i="5"/>
  <c r="D458" i="5"/>
  <c r="J485" i="4"/>
  <c r="K485" i="4"/>
  <c r="C459" i="5"/>
  <c r="D459" i="5"/>
  <c r="J486" i="4"/>
  <c r="K486" i="4"/>
  <c r="C460" i="5"/>
  <c r="D460" i="5"/>
  <c r="J488" i="4"/>
  <c r="K488" i="4"/>
  <c r="C461" i="5"/>
  <c r="D461" i="5"/>
  <c r="J489" i="4"/>
  <c r="K489" i="4"/>
  <c r="C462" i="5"/>
  <c r="D462" i="5"/>
  <c r="J490" i="4"/>
  <c r="K490" i="4"/>
  <c r="C463" i="5"/>
  <c r="D463" i="5"/>
  <c r="J493" i="4"/>
  <c r="K493" i="4"/>
  <c r="C464" i="5"/>
  <c r="D464" i="5"/>
  <c r="J494" i="4"/>
  <c r="K494" i="4"/>
  <c r="C465" i="5"/>
  <c r="D465" i="5"/>
  <c r="J495" i="4"/>
  <c r="K495" i="4"/>
  <c r="C466" i="5"/>
  <c r="D466" i="5"/>
  <c r="J497" i="4"/>
  <c r="K497" i="4"/>
  <c r="C467" i="5"/>
  <c r="D467" i="5"/>
  <c r="J498" i="4"/>
  <c r="K498" i="4"/>
  <c r="C468" i="5"/>
  <c r="D468" i="5"/>
  <c r="J499" i="4"/>
  <c r="K499" i="4"/>
  <c r="C469" i="5"/>
  <c r="D469" i="5"/>
  <c r="J500" i="4"/>
  <c r="K500" i="4"/>
  <c r="C470" i="5"/>
  <c r="D470" i="5"/>
  <c r="J501" i="4"/>
  <c r="K501" i="4"/>
  <c r="C471" i="5"/>
  <c r="D471" i="5"/>
  <c r="J502" i="4"/>
  <c r="K502" i="4"/>
  <c r="C472" i="5"/>
  <c r="D472" i="5"/>
  <c r="J484" i="4"/>
  <c r="K484" i="4"/>
  <c r="C473" i="5"/>
  <c r="D473" i="5"/>
  <c r="J503" i="4"/>
  <c r="K503" i="4"/>
  <c r="C474" i="5"/>
  <c r="D474" i="5"/>
  <c r="J504" i="4"/>
  <c r="K504" i="4"/>
  <c r="C475" i="5"/>
  <c r="D475" i="5"/>
  <c r="J483" i="4"/>
  <c r="K483" i="4"/>
  <c r="C476" i="5"/>
  <c r="D476" i="5"/>
  <c r="J442" i="4"/>
  <c r="K442" i="4"/>
  <c r="C477" i="5"/>
  <c r="D477" i="5"/>
  <c r="J443" i="4"/>
  <c r="K443" i="4"/>
  <c r="C478" i="5"/>
  <c r="D478" i="5"/>
  <c r="J445" i="4"/>
  <c r="K445" i="4"/>
  <c r="C479" i="5"/>
  <c r="D479" i="5"/>
  <c r="J449" i="4"/>
  <c r="K449" i="4"/>
  <c r="C480" i="5"/>
  <c r="D480" i="5"/>
  <c r="J451" i="4"/>
  <c r="K451" i="4"/>
  <c r="C481" i="5"/>
  <c r="D481" i="5"/>
  <c r="J452" i="4"/>
  <c r="K452" i="4"/>
  <c r="C482" i="5"/>
  <c r="D482" i="5"/>
  <c r="J453" i="4"/>
  <c r="K453" i="4"/>
  <c r="C483" i="5"/>
  <c r="D483" i="5"/>
  <c r="J454" i="4"/>
  <c r="K454" i="4"/>
  <c r="C484" i="5"/>
  <c r="D484" i="5"/>
  <c r="J455" i="4"/>
  <c r="K455" i="4"/>
  <c r="C485" i="5"/>
  <c r="D485" i="5"/>
  <c r="J462" i="4"/>
  <c r="K462" i="4"/>
  <c r="C486" i="5"/>
  <c r="D486" i="5"/>
  <c r="J463" i="4"/>
  <c r="K463" i="4"/>
  <c r="C487" i="5"/>
  <c r="D487" i="5"/>
  <c r="J464" i="4"/>
  <c r="K464" i="4"/>
  <c r="C488" i="5"/>
  <c r="D488" i="5"/>
  <c r="J467" i="4"/>
  <c r="K467" i="4"/>
  <c r="C489" i="5"/>
  <c r="D489" i="5"/>
  <c r="J472" i="4"/>
  <c r="K472" i="4"/>
  <c r="C490" i="5"/>
  <c r="D490" i="5"/>
  <c r="J473" i="4"/>
  <c r="K473" i="4"/>
  <c r="C491" i="5"/>
  <c r="D491" i="5"/>
  <c r="J474" i="4"/>
  <c r="K474" i="4"/>
  <c r="C492" i="5"/>
  <c r="D492" i="5"/>
  <c r="J475" i="4"/>
  <c r="K475" i="4"/>
  <c r="C493" i="5"/>
  <c r="D493" i="5"/>
  <c r="J487" i="4"/>
  <c r="K487" i="4"/>
  <c r="C494" i="5"/>
  <c r="D494" i="5"/>
  <c r="J491" i="4"/>
  <c r="K491" i="4"/>
  <c r="C495" i="5"/>
  <c r="D495" i="5"/>
  <c r="J492" i="4"/>
  <c r="K492" i="4"/>
  <c r="C496" i="5"/>
  <c r="D496" i="5"/>
  <c r="J505" i="4"/>
  <c r="K505" i="4"/>
  <c r="C497" i="5"/>
  <c r="D497" i="5"/>
  <c r="J506" i="4"/>
  <c r="K506" i="4"/>
  <c r="C498" i="5"/>
  <c r="D498" i="5"/>
  <c r="J508" i="4"/>
  <c r="K508" i="4"/>
  <c r="C515" i="5"/>
  <c r="D515" i="5"/>
  <c r="J507" i="4"/>
  <c r="K507" i="4"/>
  <c r="C511" i="5"/>
  <c r="D511" i="5"/>
  <c r="J520" i="4"/>
  <c r="K520" i="4"/>
  <c r="C516" i="5"/>
  <c r="D516" i="5"/>
  <c r="J516" i="4"/>
  <c r="K516" i="4"/>
  <c r="C517" i="5"/>
  <c r="D517" i="5"/>
  <c r="J517" i="4"/>
  <c r="K517" i="4"/>
  <c r="C518" i="5"/>
  <c r="D518" i="5"/>
  <c r="J518" i="4"/>
  <c r="K518" i="4"/>
  <c r="C519" i="5"/>
  <c r="D519" i="5"/>
  <c r="J519" i="4"/>
  <c r="K519" i="4"/>
  <c r="C520" i="5"/>
  <c r="D520" i="5"/>
  <c r="J521" i="4"/>
  <c r="K521" i="4"/>
  <c r="C521" i="5"/>
  <c r="D521" i="5"/>
  <c r="J522" i="4"/>
  <c r="K522" i="4"/>
  <c r="C522" i="5"/>
  <c r="D522" i="5"/>
  <c r="E33" i="5"/>
  <c r="F33" i="5"/>
  <c r="G42" i="6"/>
  <c r="E78" i="5"/>
  <c r="F78" i="5"/>
  <c r="G43" i="6"/>
  <c r="E34" i="5"/>
  <c r="F34" i="5"/>
  <c r="G44" i="6"/>
  <c r="E60" i="5"/>
  <c r="F60" i="5"/>
  <c r="G45" i="6"/>
  <c r="E37" i="5"/>
  <c r="F37" i="5"/>
  <c r="G46" i="6"/>
  <c r="E79" i="5"/>
  <c r="F79" i="5"/>
  <c r="G47" i="6"/>
  <c r="E42" i="5"/>
  <c r="F42" i="5"/>
  <c r="G48" i="6"/>
  <c r="E61" i="5"/>
  <c r="F61" i="5"/>
  <c r="G49" i="6"/>
  <c r="E80" i="5"/>
  <c r="F80" i="5"/>
  <c r="G50" i="6"/>
  <c r="E81" i="5"/>
  <c r="F81" i="5"/>
  <c r="G51" i="6"/>
  <c r="E62" i="5"/>
  <c r="F62" i="5"/>
  <c r="G52" i="6"/>
  <c r="E82" i="5"/>
  <c r="F82" i="5"/>
  <c r="G53" i="6"/>
  <c r="E67" i="5"/>
  <c r="F67" i="5"/>
  <c r="G54" i="6"/>
  <c r="E68" i="5"/>
  <c r="F68" i="5"/>
  <c r="G55" i="6"/>
  <c r="E69" i="5"/>
  <c r="F69" i="5"/>
  <c r="G56" i="6"/>
  <c r="E70" i="5"/>
  <c r="F70" i="5"/>
  <c r="G57" i="6"/>
  <c r="E71" i="5"/>
  <c r="F71" i="5"/>
  <c r="G58" i="6"/>
  <c r="E83" i="5"/>
  <c r="F83" i="5"/>
  <c r="G59" i="6"/>
  <c r="E84" i="5"/>
  <c r="F84" i="5"/>
  <c r="G60" i="6"/>
  <c r="E64" i="5"/>
  <c r="F64" i="5"/>
  <c r="G61" i="6"/>
  <c r="E97" i="5"/>
  <c r="F97" i="5"/>
  <c r="G62" i="6"/>
  <c r="E98" i="5"/>
  <c r="F98" i="5"/>
  <c r="G63" i="6"/>
  <c r="E72" i="5"/>
  <c r="F72" i="5"/>
  <c r="G64" i="6"/>
  <c r="E113" i="5"/>
  <c r="F113" i="5"/>
  <c r="G65" i="6"/>
  <c r="E26" i="5"/>
  <c r="F26" i="5"/>
  <c r="G66" i="6"/>
  <c r="E27" i="5"/>
  <c r="F27" i="5"/>
  <c r="G67" i="6"/>
  <c r="E28" i="5"/>
  <c r="F28" i="5"/>
  <c r="G68" i="6"/>
  <c r="E133" i="5"/>
  <c r="F133" i="5"/>
  <c r="G69" i="6"/>
  <c r="E134" i="5"/>
  <c r="F134" i="5"/>
  <c r="G70" i="6"/>
  <c r="E99" i="5"/>
  <c r="F99" i="5"/>
  <c r="G71" i="6"/>
  <c r="E100" i="5"/>
  <c r="F100" i="5"/>
  <c r="G72" i="6"/>
  <c r="E101" i="5"/>
  <c r="F101" i="5"/>
  <c r="G73" i="6"/>
  <c r="E102" i="5"/>
  <c r="F102" i="5"/>
  <c r="G74" i="6"/>
  <c r="E103" i="5"/>
  <c r="F103" i="5"/>
  <c r="G75" i="6"/>
  <c r="E85" i="5"/>
  <c r="F85" i="5"/>
  <c r="G76" i="6"/>
  <c r="E35" i="5"/>
  <c r="F35" i="5"/>
  <c r="G77" i="6"/>
  <c r="E94" i="5"/>
  <c r="F94" i="5"/>
  <c r="G78" i="6"/>
  <c r="E88" i="5"/>
  <c r="F88" i="5"/>
  <c r="G79" i="6"/>
  <c r="E144" i="5"/>
  <c r="F144" i="5"/>
  <c r="G80" i="6"/>
  <c r="E92" i="5"/>
  <c r="F92" i="5"/>
  <c r="G81" i="6"/>
  <c r="E93" i="5"/>
  <c r="F93" i="5"/>
  <c r="G82" i="6"/>
  <c r="E49" i="5"/>
  <c r="F49" i="5"/>
  <c r="G83" i="6"/>
  <c r="E50" i="5"/>
  <c r="F50" i="5"/>
  <c r="G84" i="6"/>
  <c r="E51" i="5"/>
  <c r="F51" i="5"/>
  <c r="G85" i="6"/>
  <c r="E52" i="5"/>
  <c r="F52" i="5"/>
  <c r="G86" i="6"/>
  <c r="E53" i="5"/>
  <c r="F53" i="5"/>
  <c r="G87" i="6"/>
  <c r="E54" i="5"/>
  <c r="F54" i="5"/>
  <c r="G88" i="6"/>
  <c r="E55" i="5"/>
  <c r="F55" i="5"/>
  <c r="G89" i="6"/>
  <c r="E56" i="5"/>
  <c r="F56" i="5"/>
  <c r="G90" i="6"/>
  <c r="E57" i="5"/>
  <c r="F57" i="5"/>
  <c r="G91" i="6"/>
  <c r="E95" i="5"/>
  <c r="F95" i="5"/>
  <c r="G92" i="6"/>
  <c r="E96" i="5"/>
  <c r="F96" i="5"/>
  <c r="G93" i="6"/>
  <c r="E115" i="5"/>
  <c r="F115" i="5"/>
  <c r="G94" i="6"/>
  <c r="E116" i="5"/>
  <c r="F116" i="5"/>
  <c r="G95" i="6"/>
  <c r="E151" i="5"/>
  <c r="F151" i="5"/>
  <c r="G96" i="6"/>
  <c r="E152" i="5"/>
  <c r="F152" i="5"/>
  <c r="G97" i="6"/>
  <c r="E135" i="5"/>
  <c r="F135" i="5"/>
  <c r="G98" i="6"/>
  <c r="E153" i="5"/>
  <c r="F153" i="5"/>
  <c r="G99" i="6"/>
  <c r="E107" i="5"/>
  <c r="F107" i="5"/>
  <c r="G100" i="6"/>
  <c r="E136" i="5"/>
  <c r="F136" i="5"/>
  <c r="G101" i="6"/>
  <c r="E154" i="5"/>
  <c r="F154" i="5"/>
  <c r="G102" i="6"/>
  <c r="E155" i="5"/>
  <c r="F155" i="5"/>
  <c r="G103" i="6"/>
  <c r="E156" i="5"/>
  <c r="F156" i="5"/>
  <c r="G104" i="6"/>
  <c r="E157" i="5"/>
  <c r="F157" i="5"/>
  <c r="G105" i="6"/>
  <c r="E58" i="5"/>
  <c r="F58" i="5"/>
  <c r="G106" i="6"/>
  <c r="E59" i="5"/>
  <c r="F59" i="5"/>
  <c r="G107" i="6"/>
  <c r="E141" i="5"/>
  <c r="F141" i="5"/>
  <c r="G108" i="6"/>
  <c r="E142" i="5"/>
  <c r="F142" i="5"/>
  <c r="G109" i="6"/>
  <c r="E117" i="5"/>
  <c r="F117" i="5"/>
  <c r="G110" i="6"/>
  <c r="E139" i="5"/>
  <c r="F139" i="5"/>
  <c r="G111" i="6"/>
  <c r="E166" i="5"/>
  <c r="F166" i="5"/>
  <c r="G112" i="6"/>
  <c r="E106" i="5"/>
  <c r="F106" i="5"/>
  <c r="G113" i="6"/>
  <c r="E118" i="5"/>
  <c r="F118" i="5"/>
  <c r="G114" i="6"/>
  <c r="E140" i="5"/>
  <c r="F140" i="5"/>
  <c r="G115" i="6"/>
  <c r="E167" i="5"/>
  <c r="F167" i="5"/>
  <c r="G116" i="6"/>
  <c r="E168" i="5"/>
  <c r="F168" i="5"/>
  <c r="G117" i="6"/>
  <c r="E119" i="5"/>
  <c r="F119" i="5"/>
  <c r="G118" i="6"/>
  <c r="E120" i="5"/>
  <c r="F120" i="5"/>
  <c r="G119" i="6"/>
  <c r="E121" i="5"/>
  <c r="F121" i="5"/>
  <c r="G120" i="6"/>
  <c r="E122" i="5"/>
  <c r="F122" i="5"/>
  <c r="G121" i="6"/>
  <c r="E111" i="5"/>
  <c r="F111" i="5"/>
  <c r="G122" i="6"/>
  <c r="E123" i="5"/>
  <c r="F123" i="5"/>
  <c r="G123" i="6"/>
  <c r="E124" i="5"/>
  <c r="F124" i="5"/>
  <c r="G124" i="6"/>
  <c r="E112" i="5"/>
  <c r="F112" i="5"/>
  <c r="G125" i="6"/>
  <c r="E63" i="5"/>
  <c r="F63" i="5"/>
  <c r="G126" i="6"/>
  <c r="E32" i="5"/>
  <c r="F32" i="5"/>
  <c r="G127" i="6"/>
  <c r="E73" i="5"/>
  <c r="F73" i="5"/>
  <c r="G128" i="6"/>
  <c r="E74" i="5"/>
  <c r="F74" i="5"/>
  <c r="G129" i="6"/>
  <c r="E75" i="5"/>
  <c r="F75" i="5"/>
  <c r="G130" i="6"/>
  <c r="E76" i="5"/>
  <c r="F76" i="5"/>
  <c r="G131" i="6"/>
  <c r="E114" i="5"/>
  <c r="F114" i="5"/>
  <c r="G132" i="6"/>
  <c r="E158" i="5"/>
  <c r="F158" i="5"/>
  <c r="G133" i="6"/>
  <c r="E159" i="5"/>
  <c r="F159" i="5"/>
  <c r="G134" i="6"/>
  <c r="E160" i="5"/>
  <c r="F160" i="5"/>
  <c r="G135" i="6"/>
  <c r="E161" i="5"/>
  <c r="F161" i="5"/>
  <c r="G136" i="6"/>
  <c r="E143" i="5"/>
  <c r="F143" i="5"/>
  <c r="G137" i="6"/>
  <c r="E137" i="5"/>
  <c r="F137" i="5"/>
  <c r="G138" i="6"/>
  <c r="E180" i="5"/>
  <c r="F180" i="5"/>
  <c r="G139" i="6"/>
  <c r="E148" i="5"/>
  <c r="F148" i="5"/>
  <c r="G140" i="6"/>
  <c r="E181" i="5"/>
  <c r="F181" i="5"/>
  <c r="G141" i="6"/>
  <c r="E77" i="5"/>
  <c r="F77" i="5"/>
  <c r="G142" i="6"/>
  <c r="E169" i="5"/>
  <c r="F169" i="5"/>
  <c r="G143" i="6"/>
  <c r="E170" i="5"/>
  <c r="F170" i="5"/>
  <c r="G144" i="6"/>
  <c r="E86" i="5"/>
  <c r="F86" i="5"/>
  <c r="G145" i="6"/>
  <c r="E87" i="5"/>
  <c r="F87" i="5"/>
  <c r="G146" i="6"/>
  <c r="E138" i="5"/>
  <c r="F138" i="5"/>
  <c r="G147" i="6"/>
  <c r="E89" i="5"/>
  <c r="F89" i="5"/>
  <c r="G148" i="6"/>
  <c r="E90" i="5"/>
  <c r="F90" i="5"/>
  <c r="G149" i="6"/>
  <c r="E91" i="5"/>
  <c r="F91" i="5"/>
  <c r="G150" i="6"/>
  <c r="E182" i="5"/>
  <c r="F182" i="5"/>
  <c r="G151" i="6"/>
  <c r="E183" i="5"/>
  <c r="F183" i="5"/>
  <c r="G152" i="6"/>
  <c r="E184" i="5"/>
  <c r="F184" i="5"/>
  <c r="G153" i="6"/>
  <c r="E162" i="5"/>
  <c r="F162" i="5"/>
  <c r="G154" i="6"/>
  <c r="E150" i="5"/>
  <c r="F150" i="5"/>
  <c r="G155" i="6"/>
  <c r="E188" i="5"/>
  <c r="F188" i="5"/>
  <c r="G156" i="6"/>
  <c r="E189" i="5"/>
  <c r="F189" i="5"/>
  <c r="G157" i="6"/>
  <c r="E190" i="5"/>
  <c r="F190" i="5"/>
  <c r="G158" i="6"/>
  <c r="E179" i="5"/>
  <c r="F179" i="5"/>
  <c r="G159" i="6"/>
  <c r="E171" i="5"/>
  <c r="F171" i="5"/>
  <c r="G160" i="6"/>
  <c r="E104" i="5"/>
  <c r="F104" i="5"/>
  <c r="G161" i="6"/>
  <c r="E105" i="5"/>
  <c r="F105" i="5"/>
  <c r="G162" i="6"/>
  <c r="E149" i="5"/>
  <c r="F149" i="5"/>
  <c r="G163" i="6"/>
  <c r="E108" i="5"/>
  <c r="F108" i="5"/>
  <c r="G164" i="6"/>
  <c r="E109" i="5"/>
  <c r="F109" i="5"/>
  <c r="G165" i="6"/>
  <c r="E110" i="5"/>
  <c r="F110" i="5"/>
  <c r="G166" i="6"/>
  <c r="E234" i="5"/>
  <c r="F234" i="5"/>
  <c r="G167" i="6"/>
  <c r="E191" i="5"/>
  <c r="F191" i="5"/>
  <c r="G168" i="6"/>
  <c r="E192" i="5"/>
  <c r="F192" i="5"/>
  <c r="G169" i="6"/>
  <c r="E193" i="5"/>
  <c r="F193" i="5"/>
  <c r="G170" i="6"/>
  <c r="E194" i="5"/>
  <c r="F194" i="5"/>
  <c r="G171" i="6"/>
  <c r="E195" i="5"/>
  <c r="F195" i="5"/>
  <c r="G172" i="6"/>
  <c r="E196" i="5"/>
  <c r="F196" i="5"/>
  <c r="G173" i="6"/>
  <c r="E197" i="5"/>
  <c r="F197" i="5"/>
  <c r="G174" i="6"/>
  <c r="E241" i="5"/>
  <c r="F241" i="5"/>
  <c r="G175" i="6"/>
  <c r="E125" i="5"/>
  <c r="F125" i="5"/>
  <c r="G176" i="6"/>
  <c r="E126" i="5"/>
  <c r="F126" i="5"/>
  <c r="G177" i="6"/>
  <c r="E127" i="5"/>
  <c r="F127" i="5"/>
  <c r="G178" i="6"/>
  <c r="E128" i="5"/>
  <c r="F128" i="5"/>
  <c r="G179" i="6"/>
  <c r="E129" i="5"/>
  <c r="F129" i="5"/>
  <c r="G180" i="6"/>
  <c r="E130" i="5"/>
  <c r="F130" i="5"/>
  <c r="G181" i="6"/>
  <c r="E131" i="5"/>
  <c r="F131" i="5"/>
  <c r="G182" i="6"/>
  <c r="E132" i="5"/>
  <c r="F132" i="5"/>
  <c r="G183" i="6"/>
  <c r="E249" i="5"/>
  <c r="F249" i="5"/>
  <c r="G184" i="6"/>
  <c r="E250" i="5"/>
  <c r="F250" i="5"/>
  <c r="G185" i="6"/>
  <c r="E251" i="5"/>
  <c r="F251" i="5"/>
  <c r="G186" i="6"/>
  <c r="E252" i="5"/>
  <c r="F252" i="5"/>
  <c r="G187" i="6"/>
  <c r="E253" i="5"/>
  <c r="F253" i="5"/>
  <c r="G188" i="6"/>
  <c r="E254" i="5"/>
  <c r="F254" i="5"/>
  <c r="G189" i="6"/>
  <c r="E229" i="5"/>
  <c r="F229" i="5"/>
  <c r="G190" i="6"/>
  <c r="E231" i="5"/>
  <c r="F231" i="5"/>
  <c r="G191" i="6"/>
  <c r="E232" i="5"/>
  <c r="F232" i="5"/>
  <c r="G192" i="6"/>
  <c r="E187" i="5"/>
  <c r="F187" i="5"/>
  <c r="G193" i="6"/>
  <c r="E236" i="5"/>
  <c r="F236" i="5"/>
  <c r="G194" i="6"/>
  <c r="E145" i="5"/>
  <c r="F145" i="5"/>
  <c r="G195" i="6"/>
  <c r="E146" i="5"/>
  <c r="F146" i="5"/>
  <c r="G196" i="6"/>
  <c r="E147" i="5"/>
  <c r="F147" i="5"/>
  <c r="G197" i="6"/>
  <c r="E255" i="5"/>
  <c r="F255" i="5"/>
  <c r="G198" i="6"/>
  <c r="E256" i="5"/>
  <c r="F256" i="5"/>
  <c r="G199" i="6"/>
  <c r="E257" i="5"/>
  <c r="F257" i="5"/>
  <c r="G200" i="6"/>
  <c r="E258" i="5"/>
  <c r="F258" i="5"/>
  <c r="G201" i="6"/>
  <c r="E259" i="5"/>
  <c r="F259" i="5"/>
  <c r="G202" i="6"/>
  <c r="E163" i="5"/>
  <c r="F163" i="5"/>
  <c r="G203" i="6"/>
  <c r="E164" i="5"/>
  <c r="F164" i="5"/>
  <c r="G204" i="6"/>
  <c r="E165" i="5"/>
  <c r="F165" i="5"/>
  <c r="G205" i="6"/>
  <c r="E221" i="5"/>
  <c r="F221" i="5"/>
  <c r="G206" i="6"/>
  <c r="E235" i="5"/>
  <c r="F235" i="5"/>
  <c r="G207" i="6"/>
  <c r="E247" i="5"/>
  <c r="F247" i="5"/>
  <c r="G208" i="6"/>
  <c r="E172" i="5"/>
  <c r="F172" i="5"/>
  <c r="G209" i="6"/>
  <c r="E173" i="5"/>
  <c r="F173" i="5"/>
  <c r="G210" i="6"/>
  <c r="E174" i="5"/>
  <c r="F174" i="5"/>
  <c r="G211" i="6"/>
  <c r="E175" i="5"/>
  <c r="F175" i="5"/>
  <c r="G212" i="6"/>
  <c r="E176" i="5"/>
  <c r="F176" i="5"/>
  <c r="G213" i="6"/>
  <c r="E177" i="5"/>
  <c r="F177" i="5"/>
  <c r="G214" i="6"/>
  <c r="E178" i="5"/>
  <c r="F178" i="5"/>
  <c r="G215" i="6"/>
  <c r="E230" i="5"/>
  <c r="F230" i="5"/>
  <c r="G216" i="6"/>
  <c r="E260" i="5"/>
  <c r="F260" i="5"/>
  <c r="G217" i="6"/>
  <c r="E261" i="5"/>
  <c r="F261" i="5"/>
  <c r="G218" i="6"/>
  <c r="E185" i="5"/>
  <c r="F185" i="5"/>
  <c r="G219" i="6"/>
  <c r="E186" i="5"/>
  <c r="F186" i="5"/>
  <c r="G220" i="6"/>
  <c r="E242" i="5"/>
  <c r="F242" i="5"/>
  <c r="G221" i="6"/>
  <c r="E243" i="5"/>
  <c r="F243" i="5"/>
  <c r="G222" i="6"/>
  <c r="E244" i="5"/>
  <c r="F244" i="5"/>
  <c r="G223" i="6"/>
  <c r="E245" i="5"/>
  <c r="F245" i="5"/>
  <c r="G224" i="6"/>
  <c r="E248" i="5"/>
  <c r="F248" i="5"/>
  <c r="G225" i="6"/>
  <c r="E321" i="5"/>
  <c r="F321" i="5"/>
  <c r="G226" i="6"/>
  <c r="E198" i="5"/>
  <c r="F198" i="5"/>
  <c r="G227" i="6"/>
  <c r="E199" i="5"/>
  <c r="F199" i="5"/>
  <c r="G228" i="6"/>
  <c r="E200" i="5"/>
  <c r="F200" i="5"/>
  <c r="G229" i="6"/>
  <c r="E201" i="5"/>
  <c r="F201" i="5"/>
  <c r="G230" i="6"/>
  <c r="E202" i="5"/>
  <c r="F202" i="5"/>
  <c r="G231" i="6"/>
  <c r="E203" i="5"/>
  <c r="F203" i="5"/>
  <c r="G232" i="6"/>
  <c r="E204" i="5"/>
  <c r="F204" i="5"/>
  <c r="G233" i="6"/>
  <c r="E205" i="5"/>
  <c r="F205" i="5"/>
  <c r="G234" i="6"/>
  <c r="E206" i="5"/>
  <c r="F206" i="5"/>
  <c r="G235" i="6"/>
  <c r="E207" i="5"/>
  <c r="F207" i="5"/>
  <c r="G236" i="6"/>
  <c r="E208" i="5"/>
  <c r="F208" i="5"/>
  <c r="G237" i="6"/>
  <c r="E209" i="5"/>
  <c r="F209" i="5"/>
  <c r="G238" i="6"/>
  <c r="E210" i="5"/>
  <c r="F210" i="5"/>
  <c r="G239" i="6"/>
  <c r="E211" i="5"/>
  <c r="F211" i="5"/>
  <c r="G240" i="6"/>
  <c r="E212" i="5"/>
  <c r="F212" i="5"/>
  <c r="G241" i="6"/>
  <c r="E213" i="5"/>
  <c r="F213" i="5"/>
  <c r="G242" i="6"/>
  <c r="E313" i="5"/>
  <c r="F313" i="5"/>
  <c r="G243" i="6"/>
  <c r="E214" i="5"/>
  <c r="F214" i="5"/>
  <c r="G244" i="6"/>
  <c r="E215" i="5"/>
  <c r="F215" i="5"/>
  <c r="G245" i="6"/>
  <c r="E216" i="5"/>
  <c r="F216" i="5"/>
  <c r="G246" i="6"/>
  <c r="E217" i="5"/>
  <c r="F217" i="5"/>
  <c r="G247" i="6"/>
  <c r="E218" i="5"/>
  <c r="F218" i="5"/>
  <c r="G248" i="6"/>
  <c r="E219" i="5"/>
  <c r="F219" i="5"/>
  <c r="G249" i="6"/>
  <c r="E220" i="5"/>
  <c r="F220" i="5"/>
  <c r="G250" i="6"/>
  <c r="E314" i="5"/>
  <c r="F314" i="5"/>
  <c r="G251" i="6"/>
  <c r="E352" i="5"/>
  <c r="F352" i="5"/>
  <c r="G252" i="6"/>
  <c r="E318" i="5"/>
  <c r="F318" i="5"/>
  <c r="G253" i="6"/>
  <c r="E353" i="5"/>
  <c r="F353" i="5"/>
  <c r="G254" i="6"/>
  <c r="E369" i="5"/>
  <c r="F369" i="5"/>
  <c r="G255" i="6"/>
  <c r="E322" i="5"/>
  <c r="F322" i="5"/>
  <c r="G256" i="6"/>
  <c r="E354" i="5"/>
  <c r="F354" i="5"/>
  <c r="G257" i="6"/>
  <c r="E355" i="5"/>
  <c r="F355" i="5"/>
  <c r="G258" i="6"/>
  <c r="E370" i="5"/>
  <c r="F370" i="5"/>
  <c r="G259" i="6"/>
  <c r="E371" i="5"/>
  <c r="F371" i="5"/>
  <c r="G260" i="6"/>
  <c r="E372" i="5"/>
  <c r="F372" i="5"/>
  <c r="G261" i="6"/>
  <c r="E373" i="5"/>
  <c r="F373" i="5"/>
  <c r="G262" i="6"/>
  <c r="E374" i="5"/>
  <c r="F374" i="5"/>
  <c r="G263" i="6"/>
  <c r="E375" i="5"/>
  <c r="F375" i="5"/>
  <c r="G264" i="6"/>
  <c r="E315" i="5"/>
  <c r="F315" i="5"/>
  <c r="G265" i="6"/>
  <c r="E316" i="5"/>
  <c r="F316" i="5"/>
  <c r="G266" i="6"/>
  <c r="E319" i="5"/>
  <c r="F319" i="5"/>
  <c r="G267" i="6"/>
  <c r="E376" i="5"/>
  <c r="F376" i="5"/>
  <c r="G268" i="6"/>
  <c r="E356" i="5"/>
  <c r="F356" i="5"/>
  <c r="G269" i="6"/>
  <c r="E317" i="5"/>
  <c r="F317" i="5"/>
  <c r="G270" i="6"/>
  <c r="E357" i="5"/>
  <c r="F357" i="5"/>
  <c r="G271" i="6"/>
  <c r="E320" i="5"/>
  <c r="F320" i="5"/>
  <c r="G272" i="6"/>
  <c r="E358" i="5"/>
  <c r="F358" i="5"/>
  <c r="G273" i="6"/>
  <c r="E359" i="5"/>
  <c r="F359" i="5"/>
  <c r="G274" i="6"/>
  <c r="E323" i="5"/>
  <c r="F323" i="5"/>
  <c r="G275" i="6"/>
  <c r="E324" i="5"/>
  <c r="F324" i="5"/>
  <c r="G276" i="6"/>
  <c r="E360" i="5"/>
  <c r="F360" i="5"/>
  <c r="G277" i="6"/>
  <c r="E361" i="5"/>
  <c r="F361" i="5"/>
  <c r="G278" i="6"/>
  <c r="E362" i="5"/>
  <c r="F362" i="5"/>
  <c r="G279" i="6"/>
  <c r="E363" i="5"/>
  <c r="F363" i="5"/>
  <c r="G280" i="6"/>
  <c r="E364" i="5"/>
  <c r="F364" i="5"/>
  <c r="G281" i="6"/>
  <c r="E365" i="5"/>
  <c r="F365" i="5"/>
  <c r="G282" i="6"/>
  <c r="E366" i="5"/>
  <c r="F366" i="5"/>
  <c r="G283" i="6"/>
  <c r="E367" i="5"/>
  <c r="F367" i="5"/>
  <c r="G284" i="6"/>
  <c r="E377" i="5"/>
  <c r="F377" i="5"/>
  <c r="G285" i="6"/>
  <c r="E378" i="5"/>
  <c r="F378" i="5"/>
  <c r="G286" i="6"/>
  <c r="E379" i="5"/>
  <c r="F379" i="5"/>
  <c r="G287" i="6"/>
  <c r="E380" i="5"/>
  <c r="F380" i="5"/>
  <c r="G288" i="6"/>
  <c r="E381" i="5"/>
  <c r="F381" i="5"/>
  <c r="G289" i="6"/>
  <c r="E382" i="5"/>
  <c r="F382" i="5"/>
  <c r="G290" i="6"/>
  <c r="E383" i="5"/>
  <c r="F383" i="5"/>
  <c r="G291" i="6"/>
  <c r="E384" i="5"/>
  <c r="F384" i="5"/>
  <c r="G292" i="6"/>
  <c r="E385" i="5"/>
  <c r="F385" i="5"/>
  <c r="G293" i="6"/>
  <c r="E386" i="5"/>
  <c r="F386" i="5"/>
  <c r="G294" i="6"/>
  <c r="E387" i="5"/>
  <c r="F387" i="5"/>
  <c r="G295" i="6"/>
  <c r="E222" i="5"/>
  <c r="F222" i="5"/>
  <c r="G296" i="6"/>
  <c r="E223" i="5"/>
  <c r="F223" i="5"/>
  <c r="G297" i="6"/>
  <c r="E224" i="5"/>
  <c r="F224" i="5"/>
  <c r="G298" i="6"/>
  <c r="E225" i="5"/>
  <c r="F225" i="5"/>
  <c r="G299" i="6"/>
  <c r="E226" i="5"/>
  <c r="F226" i="5"/>
  <c r="G300" i="6"/>
  <c r="E227" i="5"/>
  <c r="F227" i="5"/>
  <c r="G301" i="6"/>
  <c r="E228" i="5"/>
  <c r="F228" i="5"/>
  <c r="G302" i="6"/>
  <c r="E233" i="5"/>
  <c r="F233" i="5"/>
  <c r="G303" i="6"/>
  <c r="E237" i="5"/>
  <c r="F237" i="5"/>
  <c r="G304" i="6"/>
  <c r="E238" i="5"/>
  <c r="F238" i="5"/>
  <c r="G305" i="6"/>
  <c r="E239" i="5"/>
  <c r="F239" i="5"/>
  <c r="G306" i="6"/>
  <c r="E240" i="5"/>
  <c r="F240" i="5"/>
  <c r="G307" i="6"/>
  <c r="E325" i="5"/>
  <c r="F325" i="5"/>
  <c r="G308" i="6"/>
  <c r="E388" i="5"/>
  <c r="F388" i="5"/>
  <c r="G309" i="6"/>
  <c r="E389" i="5"/>
  <c r="F389" i="5"/>
  <c r="G310" i="6"/>
  <c r="E390" i="5"/>
  <c r="F390" i="5"/>
  <c r="G311" i="6"/>
  <c r="E391" i="5"/>
  <c r="F391" i="5"/>
  <c r="G312" i="6"/>
  <c r="E392" i="5"/>
  <c r="F392" i="5"/>
  <c r="G313" i="6"/>
  <c r="E393" i="5"/>
  <c r="F393" i="5"/>
  <c r="G314" i="6"/>
  <c r="E394" i="5"/>
  <c r="F394" i="5"/>
  <c r="G315" i="6"/>
  <c r="E395" i="5"/>
  <c r="F395" i="5"/>
  <c r="G316" i="6"/>
  <c r="E396" i="5"/>
  <c r="F396" i="5"/>
  <c r="G317" i="6"/>
  <c r="E246" i="5"/>
  <c r="F246" i="5"/>
  <c r="G318" i="6"/>
  <c r="E262" i="5"/>
  <c r="F262" i="5"/>
  <c r="G319" i="6"/>
  <c r="E263" i="5"/>
  <c r="F263" i="5"/>
  <c r="G320" i="6"/>
  <c r="E264" i="5"/>
  <c r="F264" i="5"/>
  <c r="G321" i="6"/>
  <c r="E265" i="5"/>
  <c r="F265" i="5"/>
  <c r="G322" i="6"/>
  <c r="E266" i="5"/>
  <c r="F266" i="5"/>
  <c r="G323" i="6"/>
  <c r="E267" i="5"/>
  <c r="F267" i="5"/>
  <c r="G324" i="6"/>
  <c r="E268" i="5"/>
  <c r="F268" i="5"/>
  <c r="G325" i="6"/>
  <c r="E269" i="5"/>
  <c r="F269" i="5"/>
  <c r="G326" i="6"/>
  <c r="E270" i="5"/>
  <c r="F270" i="5"/>
  <c r="G327" i="6"/>
  <c r="E271" i="5"/>
  <c r="F271" i="5"/>
  <c r="G328" i="6"/>
  <c r="E272" i="5"/>
  <c r="F272" i="5"/>
  <c r="G329" i="6"/>
  <c r="E273" i="5"/>
  <c r="F273" i="5"/>
  <c r="G330" i="6"/>
  <c r="E274" i="5"/>
  <c r="F274" i="5"/>
  <c r="G331" i="6"/>
  <c r="E275" i="5"/>
  <c r="F275" i="5"/>
  <c r="G332" i="6"/>
  <c r="E276" i="5"/>
  <c r="F276" i="5"/>
  <c r="G333" i="6"/>
  <c r="E277" i="5"/>
  <c r="F277" i="5"/>
  <c r="G334" i="6"/>
  <c r="E278" i="5"/>
  <c r="F278" i="5"/>
  <c r="G335" i="6"/>
  <c r="E279" i="5"/>
  <c r="F279" i="5"/>
  <c r="G336" i="6"/>
  <c r="E368" i="5"/>
  <c r="F368" i="5"/>
  <c r="G337" i="6"/>
  <c r="E280" i="5"/>
  <c r="F280" i="5"/>
  <c r="G338" i="6"/>
  <c r="E281" i="5"/>
  <c r="F281" i="5"/>
  <c r="G339" i="6"/>
  <c r="E282" i="5"/>
  <c r="F282" i="5"/>
  <c r="G340" i="6"/>
  <c r="E283" i="5"/>
  <c r="F283" i="5"/>
  <c r="G341" i="6"/>
  <c r="E284" i="5"/>
  <c r="F284" i="5"/>
  <c r="G342" i="6"/>
  <c r="E285" i="5"/>
  <c r="F285" i="5"/>
  <c r="G343" i="6"/>
  <c r="E286" i="5"/>
  <c r="F286" i="5"/>
  <c r="G344" i="6"/>
  <c r="E287" i="5"/>
  <c r="F287" i="5"/>
  <c r="G345" i="6"/>
  <c r="E288" i="5"/>
  <c r="F288" i="5"/>
  <c r="G346" i="6"/>
  <c r="E289" i="5"/>
  <c r="F289" i="5"/>
  <c r="G347" i="6"/>
  <c r="E290" i="5"/>
  <c r="F290" i="5"/>
  <c r="G348" i="6"/>
  <c r="E291" i="5"/>
  <c r="F291" i="5"/>
  <c r="G349" i="6"/>
  <c r="E292" i="5"/>
  <c r="F292" i="5"/>
  <c r="G350" i="6"/>
  <c r="E293" i="5"/>
  <c r="F293" i="5"/>
  <c r="G351" i="6"/>
  <c r="E294" i="5"/>
  <c r="F294" i="5"/>
  <c r="G352" i="6"/>
  <c r="E295" i="5"/>
  <c r="F295" i="5"/>
  <c r="G353" i="6"/>
  <c r="E296" i="5"/>
  <c r="F296" i="5"/>
  <c r="G354" i="6"/>
  <c r="E297" i="5"/>
  <c r="F297" i="5"/>
  <c r="G355" i="6"/>
  <c r="E298" i="5"/>
  <c r="F298" i="5"/>
  <c r="G356" i="6"/>
  <c r="E299" i="5"/>
  <c r="F299" i="5"/>
  <c r="G357" i="6"/>
  <c r="E300" i="5"/>
  <c r="F300" i="5"/>
  <c r="G358" i="6"/>
  <c r="E301" i="5"/>
  <c r="F301" i="5"/>
  <c r="G359" i="6"/>
  <c r="E302" i="5"/>
  <c r="F302" i="5"/>
  <c r="G360" i="6"/>
  <c r="E303" i="5"/>
  <c r="F303" i="5"/>
  <c r="G361" i="6"/>
  <c r="E304" i="5"/>
  <c r="F304" i="5"/>
  <c r="G362" i="6"/>
  <c r="E305" i="5"/>
  <c r="F305" i="5"/>
  <c r="G363" i="6"/>
  <c r="E306" i="5"/>
  <c r="F306" i="5"/>
  <c r="G364" i="6"/>
  <c r="E307" i="5"/>
  <c r="F307" i="5"/>
  <c r="G365" i="6"/>
  <c r="E308" i="5"/>
  <c r="F308" i="5"/>
  <c r="G366" i="6"/>
  <c r="E309" i="5"/>
  <c r="F309" i="5"/>
  <c r="G367" i="6"/>
  <c r="E310" i="5"/>
  <c r="F310" i="5"/>
  <c r="G368" i="6"/>
  <c r="E311" i="5"/>
  <c r="F311" i="5"/>
  <c r="G369" i="6"/>
  <c r="E312" i="5"/>
  <c r="F312" i="5"/>
  <c r="G370" i="6"/>
  <c r="E326" i="5"/>
  <c r="F326" i="5"/>
  <c r="G371" i="6"/>
  <c r="E327" i="5"/>
  <c r="F327" i="5"/>
  <c r="G372" i="6"/>
  <c r="E328" i="5"/>
  <c r="F328" i="5"/>
  <c r="G373" i="6"/>
  <c r="E329" i="5"/>
  <c r="F329" i="5"/>
  <c r="G374" i="6"/>
  <c r="E330" i="5"/>
  <c r="F330" i="5"/>
  <c r="G375" i="6"/>
  <c r="E331" i="5"/>
  <c r="F331" i="5"/>
  <c r="G376" i="6"/>
  <c r="E332" i="5"/>
  <c r="F332" i="5"/>
  <c r="G377" i="6"/>
  <c r="E333" i="5"/>
  <c r="F333" i="5"/>
  <c r="G378" i="6"/>
  <c r="E334" i="5"/>
  <c r="F334" i="5"/>
  <c r="G379" i="6"/>
  <c r="E335" i="5"/>
  <c r="F335" i="5"/>
  <c r="G380" i="6"/>
  <c r="E336" i="5"/>
  <c r="F336" i="5"/>
  <c r="G381" i="6"/>
  <c r="E337" i="5"/>
  <c r="F337" i="5"/>
  <c r="G382" i="6"/>
  <c r="E338" i="5"/>
  <c r="F338" i="5"/>
  <c r="G383" i="6"/>
  <c r="E339" i="5"/>
  <c r="F339" i="5"/>
  <c r="G384" i="6"/>
  <c r="E340" i="5"/>
  <c r="F340" i="5"/>
  <c r="G385" i="6"/>
  <c r="E341" i="5"/>
  <c r="F341" i="5"/>
  <c r="G386" i="6"/>
  <c r="E342" i="5"/>
  <c r="F342" i="5"/>
  <c r="G387" i="6"/>
  <c r="E343" i="5"/>
  <c r="F343" i="5"/>
  <c r="G388" i="6"/>
  <c r="E344" i="5"/>
  <c r="F344" i="5"/>
  <c r="G389" i="6"/>
  <c r="E345" i="5"/>
  <c r="F345" i="5"/>
  <c r="G390" i="6"/>
  <c r="E346" i="5"/>
  <c r="F346" i="5"/>
  <c r="G391" i="6"/>
  <c r="E347" i="5"/>
  <c r="F347" i="5"/>
  <c r="G392" i="6"/>
  <c r="E348" i="5"/>
  <c r="F348" i="5"/>
  <c r="G393" i="6"/>
  <c r="E349" i="5"/>
  <c r="F349" i="5"/>
  <c r="G394" i="6"/>
  <c r="E350" i="5"/>
  <c r="F350" i="5"/>
  <c r="G395" i="6"/>
  <c r="E351" i="5"/>
  <c r="F351" i="5"/>
  <c r="G396" i="6"/>
  <c r="E499" i="5"/>
  <c r="F499" i="5"/>
  <c r="G397" i="6"/>
  <c r="E397" i="5"/>
  <c r="F397" i="5"/>
  <c r="G398" i="6"/>
  <c r="E398" i="5"/>
  <c r="F398" i="5"/>
  <c r="G399" i="6"/>
  <c r="E399" i="5"/>
  <c r="F399" i="5"/>
  <c r="G400" i="6"/>
  <c r="E400" i="5"/>
  <c r="F400" i="5"/>
  <c r="G401" i="6"/>
  <c r="E401" i="5"/>
  <c r="F401" i="5"/>
  <c r="G402" i="6"/>
  <c r="E402" i="5"/>
  <c r="F402" i="5"/>
  <c r="G403" i="6"/>
  <c r="E403" i="5"/>
  <c r="F403" i="5"/>
  <c r="G404" i="6"/>
  <c r="E404" i="5"/>
  <c r="F404" i="5"/>
  <c r="G405" i="6"/>
  <c r="E405" i="5"/>
  <c r="F405" i="5"/>
  <c r="G406" i="6"/>
  <c r="E406" i="5"/>
  <c r="F406" i="5"/>
  <c r="G407" i="6"/>
  <c r="E407" i="5"/>
  <c r="F407" i="5"/>
  <c r="G408" i="6"/>
  <c r="E408" i="5"/>
  <c r="F408" i="5"/>
  <c r="G409" i="6"/>
  <c r="E409" i="5"/>
  <c r="F409" i="5"/>
  <c r="G410" i="6"/>
  <c r="E410" i="5"/>
  <c r="F410" i="5"/>
  <c r="G411" i="6"/>
  <c r="E411" i="5"/>
  <c r="F411" i="5"/>
  <c r="G412" i="6"/>
  <c r="E412" i="5"/>
  <c r="F412" i="5"/>
  <c r="G413" i="6"/>
  <c r="E413" i="5"/>
  <c r="F413" i="5"/>
  <c r="G414" i="6"/>
  <c r="E414" i="5"/>
  <c r="F414" i="5"/>
  <c r="G415" i="6"/>
  <c r="E415" i="5"/>
  <c r="F415" i="5"/>
  <c r="G416" i="6"/>
  <c r="E416" i="5"/>
  <c r="F416" i="5"/>
  <c r="G417" i="6"/>
  <c r="E417" i="5"/>
  <c r="F417" i="5"/>
  <c r="G418" i="6"/>
  <c r="E418" i="5"/>
  <c r="F418" i="5"/>
  <c r="G419" i="6"/>
  <c r="E419" i="5"/>
  <c r="F419" i="5"/>
  <c r="G420" i="6"/>
  <c r="E420" i="5"/>
  <c r="F420" i="5"/>
  <c r="G421" i="6"/>
  <c r="E421" i="5"/>
  <c r="F421" i="5"/>
  <c r="G422" i="6"/>
  <c r="E422" i="5"/>
  <c r="F422" i="5"/>
  <c r="G423" i="6"/>
  <c r="E423" i="5"/>
  <c r="F423" i="5"/>
  <c r="G424" i="6"/>
  <c r="E424" i="5"/>
  <c r="F424" i="5"/>
  <c r="G425" i="6"/>
  <c r="E425" i="5"/>
  <c r="F425" i="5"/>
  <c r="G426" i="6"/>
  <c r="E426" i="5"/>
  <c r="F426" i="5"/>
  <c r="G427" i="6"/>
  <c r="E427" i="5"/>
  <c r="F427" i="5"/>
  <c r="G428" i="6"/>
  <c r="E428" i="5"/>
  <c r="F428" i="5"/>
  <c r="G429" i="6"/>
  <c r="E429" i="5"/>
  <c r="F429" i="5"/>
  <c r="G430" i="6"/>
  <c r="E430" i="5"/>
  <c r="F430" i="5"/>
  <c r="G431" i="6"/>
  <c r="E431" i="5"/>
  <c r="F431" i="5"/>
  <c r="G432" i="6"/>
  <c r="E432" i="5"/>
  <c r="F432" i="5"/>
  <c r="G433" i="6"/>
  <c r="E500" i="5"/>
  <c r="F500" i="5"/>
  <c r="G434" i="6"/>
  <c r="E501" i="5"/>
  <c r="F501" i="5"/>
  <c r="G435" i="6"/>
  <c r="E502" i="5"/>
  <c r="F502" i="5"/>
  <c r="G436" i="6"/>
  <c r="E503" i="5"/>
  <c r="F503" i="5"/>
  <c r="G437" i="6"/>
  <c r="E504" i="5"/>
  <c r="F504" i="5"/>
  <c r="G438" i="6"/>
  <c r="E505" i="5"/>
  <c r="F505" i="5"/>
  <c r="G439" i="6"/>
  <c r="E506" i="5"/>
  <c r="F506" i="5"/>
  <c r="G440" i="6"/>
  <c r="E507" i="5"/>
  <c r="F507" i="5"/>
  <c r="G441" i="6"/>
  <c r="E508" i="5"/>
  <c r="F508" i="5"/>
  <c r="G442" i="6"/>
  <c r="E509" i="5"/>
  <c r="F509" i="5"/>
  <c r="G443" i="6"/>
  <c r="E510" i="5"/>
  <c r="F510" i="5"/>
  <c r="G444" i="6"/>
  <c r="E512" i="5"/>
  <c r="F512" i="5"/>
  <c r="G445" i="6"/>
  <c r="E433" i="5"/>
  <c r="F433" i="5"/>
  <c r="G446" i="6"/>
  <c r="E513" i="5"/>
  <c r="F513" i="5"/>
  <c r="G447" i="6"/>
  <c r="E514" i="5"/>
  <c r="F514" i="5"/>
  <c r="G448" i="6"/>
  <c r="E434" i="5"/>
  <c r="F434" i="5"/>
  <c r="G449" i="6"/>
  <c r="E435" i="5"/>
  <c r="F435" i="5"/>
  <c r="G450" i="6"/>
  <c r="E436" i="5"/>
  <c r="F436" i="5"/>
  <c r="G451" i="6"/>
  <c r="E437" i="5"/>
  <c r="F437" i="5"/>
  <c r="G452" i="6"/>
  <c r="E438" i="5"/>
  <c r="F438" i="5"/>
  <c r="G453" i="6"/>
  <c r="E439" i="5"/>
  <c r="F439" i="5"/>
  <c r="G454" i="6"/>
  <c r="E440" i="5"/>
  <c r="F440" i="5"/>
  <c r="G455" i="6"/>
  <c r="E441" i="5"/>
  <c r="F441" i="5"/>
  <c r="G456" i="6"/>
  <c r="E442" i="5"/>
  <c r="F442" i="5"/>
  <c r="G457" i="6"/>
  <c r="E443" i="5"/>
  <c r="F443" i="5"/>
  <c r="G458" i="6"/>
  <c r="E444" i="5"/>
  <c r="F444" i="5"/>
  <c r="G459" i="6"/>
  <c r="E445" i="5"/>
  <c r="F445" i="5"/>
  <c r="G460" i="6"/>
  <c r="E446" i="5"/>
  <c r="F446" i="5"/>
  <c r="G461" i="6"/>
  <c r="E447" i="5"/>
  <c r="F447" i="5"/>
  <c r="G462" i="6"/>
  <c r="E448" i="5"/>
  <c r="F448" i="5"/>
  <c r="G463" i="6"/>
  <c r="E449" i="5"/>
  <c r="F449" i="5"/>
  <c r="G464" i="6"/>
  <c r="E450" i="5"/>
  <c r="F450" i="5"/>
  <c r="G465" i="6"/>
  <c r="E451" i="5"/>
  <c r="F451" i="5"/>
  <c r="G466" i="6"/>
  <c r="E452" i="5"/>
  <c r="F452" i="5"/>
  <c r="G467" i="6"/>
  <c r="E453" i="5"/>
  <c r="F453" i="5"/>
  <c r="G468" i="6"/>
  <c r="E454" i="5"/>
  <c r="F454" i="5"/>
  <c r="G469" i="6"/>
  <c r="E455" i="5"/>
  <c r="F455" i="5"/>
  <c r="G470" i="6"/>
  <c r="E456" i="5"/>
  <c r="F456" i="5"/>
  <c r="G471" i="6"/>
  <c r="E457" i="5"/>
  <c r="F457" i="5"/>
  <c r="G472" i="6"/>
  <c r="E458" i="5"/>
  <c r="F458" i="5"/>
  <c r="G473" i="6"/>
  <c r="E459" i="5"/>
  <c r="F459" i="5"/>
  <c r="G474" i="6"/>
  <c r="E460" i="5"/>
  <c r="F460" i="5"/>
  <c r="G475" i="6"/>
  <c r="E461" i="5"/>
  <c r="F461" i="5"/>
  <c r="G476" i="6"/>
  <c r="E462" i="5"/>
  <c r="F462" i="5"/>
  <c r="G477" i="6"/>
  <c r="E463" i="5"/>
  <c r="F463" i="5"/>
  <c r="G478" i="6"/>
  <c r="E464" i="5"/>
  <c r="F464" i="5"/>
  <c r="G479" i="6"/>
  <c r="E465" i="5"/>
  <c r="F465" i="5"/>
  <c r="G480" i="6"/>
  <c r="E466" i="5"/>
  <c r="F466" i="5"/>
  <c r="G481" i="6"/>
  <c r="E467" i="5"/>
  <c r="F467" i="5"/>
  <c r="G482" i="6"/>
  <c r="E468" i="5"/>
  <c r="F468" i="5"/>
  <c r="G483" i="6"/>
  <c r="E469" i="5"/>
  <c r="F469" i="5"/>
  <c r="G484" i="6"/>
  <c r="E470" i="5"/>
  <c r="F470" i="5"/>
  <c r="G485" i="6"/>
  <c r="E471" i="5"/>
  <c r="F471" i="5"/>
  <c r="G486" i="6"/>
  <c r="E472" i="5"/>
  <c r="F472" i="5"/>
  <c r="G487" i="6"/>
  <c r="E473" i="5"/>
  <c r="F473" i="5"/>
  <c r="G488" i="6"/>
  <c r="E474" i="5"/>
  <c r="F474" i="5"/>
  <c r="G489" i="6"/>
  <c r="E475" i="5"/>
  <c r="F475" i="5"/>
  <c r="G490" i="6"/>
  <c r="E476" i="5"/>
  <c r="F476" i="5"/>
  <c r="G491" i="6"/>
  <c r="E477" i="5"/>
  <c r="F477" i="5"/>
  <c r="G492" i="6"/>
  <c r="E478" i="5"/>
  <c r="F478" i="5"/>
  <c r="G493" i="6"/>
  <c r="E479" i="5"/>
  <c r="F479" i="5"/>
  <c r="G494" i="6"/>
  <c r="E480" i="5"/>
  <c r="F480" i="5"/>
  <c r="G495" i="6"/>
  <c r="E481" i="5"/>
  <c r="F481" i="5"/>
  <c r="G496" i="6"/>
  <c r="E482" i="5"/>
  <c r="F482" i="5"/>
  <c r="G497" i="6"/>
  <c r="E483" i="5"/>
  <c r="F483" i="5"/>
  <c r="G498" i="6"/>
  <c r="E484" i="5"/>
  <c r="F484" i="5"/>
  <c r="G499" i="6"/>
  <c r="E485" i="5"/>
  <c r="F485" i="5"/>
  <c r="G500" i="6"/>
  <c r="E486" i="5"/>
  <c r="F486" i="5"/>
  <c r="G501" i="6"/>
  <c r="E487" i="5"/>
  <c r="F487" i="5"/>
  <c r="G502" i="6"/>
  <c r="E488" i="5"/>
  <c r="F488" i="5"/>
  <c r="G503" i="6"/>
  <c r="E489" i="5"/>
  <c r="F489" i="5"/>
  <c r="G504" i="6"/>
  <c r="E490" i="5"/>
  <c r="F490" i="5"/>
  <c r="G505" i="6"/>
  <c r="E491" i="5"/>
  <c r="F491" i="5"/>
  <c r="G506" i="6"/>
  <c r="E492" i="5"/>
  <c r="F492" i="5"/>
  <c r="G507" i="6"/>
  <c r="E493" i="5"/>
  <c r="F493" i="5"/>
  <c r="G508" i="6"/>
  <c r="E494" i="5"/>
  <c r="F494" i="5"/>
  <c r="G509" i="6"/>
  <c r="E495" i="5"/>
  <c r="F495" i="5"/>
  <c r="G510" i="6"/>
  <c r="E496" i="5"/>
  <c r="F496" i="5"/>
  <c r="G511" i="6"/>
  <c r="E497" i="5"/>
  <c r="F497" i="5"/>
  <c r="G512" i="6"/>
  <c r="E498" i="5"/>
  <c r="F498" i="5"/>
  <c r="G513" i="6"/>
  <c r="E515" i="5"/>
  <c r="F515" i="5"/>
  <c r="G514" i="6"/>
  <c r="E511" i="5"/>
  <c r="F511" i="5"/>
  <c r="G515" i="6"/>
  <c r="E516" i="5"/>
  <c r="F516" i="5"/>
  <c r="G516" i="6"/>
  <c r="E517" i="5"/>
  <c r="F517" i="5"/>
  <c r="G517" i="6"/>
  <c r="E518" i="5"/>
  <c r="F518" i="5"/>
  <c r="G518" i="6"/>
  <c r="E519" i="5"/>
  <c r="F519" i="5"/>
  <c r="G519" i="6"/>
  <c r="E520" i="5"/>
  <c r="F520" i="5"/>
  <c r="G520" i="6"/>
  <c r="E521" i="5"/>
  <c r="F521" i="5"/>
  <c r="G521" i="6"/>
  <c r="E522" i="5"/>
  <c r="F522" i="5"/>
  <c r="G522" i="6"/>
  <c r="E3" i="5"/>
  <c r="F3" i="5"/>
  <c r="G3" i="6"/>
  <c r="E4" i="5"/>
  <c r="F4" i="5"/>
  <c r="G4" i="6"/>
  <c r="E16" i="5"/>
  <c r="F16" i="5"/>
  <c r="G5" i="6"/>
  <c r="E8" i="5"/>
  <c r="F8" i="5"/>
  <c r="G6" i="6"/>
  <c r="E22" i="5"/>
  <c r="F22" i="5"/>
  <c r="G7" i="6"/>
  <c r="E5" i="5"/>
  <c r="F5" i="5"/>
  <c r="G8" i="6"/>
  <c r="E6" i="5"/>
  <c r="F6" i="5"/>
  <c r="G9" i="6"/>
  <c r="E9" i="5"/>
  <c r="F9" i="5"/>
  <c r="G10" i="6"/>
  <c r="E10" i="5"/>
  <c r="F10" i="5"/>
  <c r="G11" i="6"/>
  <c r="E11" i="5"/>
  <c r="F11" i="5"/>
  <c r="G12" i="6"/>
  <c r="E12" i="5"/>
  <c r="F12" i="5"/>
  <c r="G13" i="6"/>
  <c r="E13" i="5"/>
  <c r="F13" i="5"/>
  <c r="G14" i="6"/>
  <c r="E7" i="5"/>
  <c r="F7" i="5"/>
  <c r="G15" i="6"/>
  <c r="E14" i="5"/>
  <c r="F14" i="5"/>
  <c r="G16" i="6"/>
  <c r="E23" i="5"/>
  <c r="F23" i="5"/>
  <c r="G17" i="6"/>
  <c r="E24" i="5"/>
  <c r="F24" i="5"/>
  <c r="G18" i="6"/>
  <c r="E25" i="5"/>
  <c r="F25" i="5"/>
  <c r="G19" i="6"/>
  <c r="E15" i="5"/>
  <c r="F15" i="5"/>
  <c r="G20" i="6"/>
  <c r="E20" i="5"/>
  <c r="F20" i="5"/>
  <c r="G21" i="6"/>
  <c r="E21" i="5"/>
  <c r="F21" i="5"/>
  <c r="G22" i="6"/>
  <c r="E43" i="5"/>
  <c r="F43" i="5"/>
  <c r="G23" i="6"/>
  <c r="E44" i="5"/>
  <c r="F44" i="5"/>
  <c r="G24" i="6"/>
  <c r="E31" i="5"/>
  <c r="F31" i="5"/>
  <c r="G25" i="6"/>
  <c r="E17" i="5"/>
  <c r="F17" i="5"/>
  <c r="G26" i="6"/>
  <c r="E18" i="5"/>
  <c r="F18" i="5"/>
  <c r="G27" i="6"/>
  <c r="E36" i="5"/>
  <c r="F36" i="5"/>
  <c r="G28" i="6"/>
  <c r="E39" i="5"/>
  <c r="F39" i="5"/>
  <c r="G29" i="6"/>
  <c r="E40" i="5"/>
  <c r="F40" i="5"/>
  <c r="G30" i="6"/>
  <c r="E30" i="5"/>
  <c r="F30" i="5"/>
  <c r="G31" i="6"/>
  <c r="E38" i="5"/>
  <c r="F38" i="5"/>
  <c r="G32" i="6"/>
  <c r="E29" i="5"/>
  <c r="F29" i="5"/>
  <c r="G33" i="6"/>
  <c r="E19" i="5"/>
  <c r="F19" i="5"/>
  <c r="G34" i="6"/>
  <c r="E45" i="5"/>
  <c r="F45" i="5"/>
  <c r="G35" i="6"/>
  <c r="E46" i="5"/>
  <c r="F46" i="5"/>
  <c r="G36" i="6"/>
  <c r="E47" i="5"/>
  <c r="F47" i="5"/>
  <c r="G37" i="6"/>
  <c r="E65" i="5"/>
  <c r="F65" i="5"/>
  <c r="G38" i="6"/>
  <c r="E66" i="5"/>
  <c r="F66" i="5"/>
  <c r="G39" i="6"/>
  <c r="E48" i="5"/>
  <c r="F48" i="5"/>
  <c r="G40" i="6"/>
  <c r="E41" i="5"/>
  <c r="F41" i="5"/>
  <c r="G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E2" i="5"/>
  <c r="F2" i="5"/>
  <c r="G2" i="6"/>
  <c r="D8" i="3"/>
  <c r="D2" i="3"/>
  <c r="D3" i="3"/>
  <c r="D4" i="3"/>
  <c r="D5" i="3"/>
  <c r="D6" i="3"/>
  <c r="D7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H4" i="4"/>
  <c r="H25" i="4"/>
  <c r="H442" i="4"/>
  <c r="H177" i="4"/>
  <c r="H178" i="4"/>
  <c r="H315" i="4"/>
  <c r="H110" i="4"/>
  <c r="H316" i="4"/>
  <c r="H75" i="4"/>
  <c r="H317" i="4"/>
  <c r="H318" i="4"/>
  <c r="H192" i="4"/>
  <c r="H276" i="4"/>
  <c r="H277" i="4"/>
  <c r="H278" i="4"/>
  <c r="H55" i="4"/>
  <c r="H179" i="4"/>
  <c r="H341" i="4"/>
  <c r="H238" i="4"/>
  <c r="H180" i="4"/>
  <c r="H181" i="4"/>
  <c r="H342" i="4"/>
  <c r="H279" i="4"/>
  <c r="H193" i="4"/>
  <c r="H194" i="4"/>
  <c r="H319" i="4"/>
  <c r="H320" i="4"/>
  <c r="H51" i="4"/>
  <c r="H56" i="4"/>
  <c r="H57" i="4"/>
  <c r="H30" i="4"/>
  <c r="H58" i="4"/>
  <c r="H280" i="4"/>
  <c r="H443" i="4"/>
  <c r="H59" i="4"/>
  <c r="H343" i="4"/>
  <c r="H60" i="4"/>
  <c r="H111" i="4"/>
  <c r="H246" i="4"/>
  <c r="H112" i="4"/>
  <c r="H344" i="4"/>
  <c r="H96" i="4"/>
  <c r="H345" i="4"/>
  <c r="H444" i="4"/>
  <c r="H445" i="4"/>
  <c r="H31" i="4"/>
  <c r="H32" i="4"/>
  <c r="H508" i="4"/>
  <c r="H516" i="4"/>
  <c r="H517" i="4"/>
  <c r="H509" i="4"/>
  <c r="H439" i="4"/>
  <c r="H441" i="4"/>
  <c r="H339" i="4"/>
  <c r="H518" i="4"/>
  <c r="H506" i="4"/>
  <c r="H121" i="4"/>
  <c r="H519" i="4"/>
  <c r="H182" i="4"/>
  <c r="H183" i="4"/>
  <c r="H117" i="4"/>
  <c r="H128" i="4"/>
  <c r="H33" i="4"/>
  <c r="H151" i="4"/>
  <c r="H152" i="4"/>
  <c r="H228" i="4"/>
  <c r="H122" i="4"/>
  <c r="H153" i="4"/>
  <c r="H154" i="4"/>
  <c r="H155" i="4"/>
  <c r="H156" i="4"/>
  <c r="H157" i="4"/>
  <c r="H158" i="4"/>
  <c r="H123" i="4"/>
  <c r="H229" i="4"/>
  <c r="H6" i="4"/>
  <c r="H159" i="4"/>
  <c r="H230" i="4"/>
  <c r="H7" i="4"/>
  <c r="H23" i="4"/>
  <c r="H8" i="4"/>
  <c r="H160" i="4"/>
  <c r="H9" i="4"/>
  <c r="H10" i="4"/>
  <c r="H11" i="4"/>
  <c r="H231" i="4"/>
  <c r="H161" i="4"/>
  <c r="H232" i="4"/>
  <c r="H162" i="4"/>
  <c r="H129" i="4"/>
  <c r="H346" i="4"/>
  <c r="H92" i="4"/>
  <c r="H347" i="4"/>
  <c r="H12" i="4"/>
  <c r="H13" i="4"/>
  <c r="H163" i="4"/>
  <c r="H70" i="4"/>
  <c r="H130" i="4"/>
  <c r="H184" i="4"/>
  <c r="H71" i="4"/>
  <c r="H313" i="4"/>
  <c r="H72" i="4"/>
  <c r="H53" i="4"/>
  <c r="H125" i="4"/>
  <c r="H109" i="4"/>
  <c r="H95" i="4"/>
  <c r="H34" i="4"/>
  <c r="H35" i="4"/>
  <c r="H281" i="4"/>
  <c r="H446" i="4"/>
  <c r="H447" i="4"/>
  <c r="H185" i="4"/>
  <c r="H448" i="4"/>
  <c r="H348" i="4"/>
  <c r="H349" i="4"/>
  <c r="H221" i="4"/>
  <c r="H449" i="4"/>
  <c r="H450" i="4"/>
  <c r="H282" i="4"/>
  <c r="H14" i="4"/>
  <c r="H164" i="4"/>
  <c r="H165" i="4"/>
  <c r="H166" i="4"/>
  <c r="H233" i="4"/>
  <c r="H438" i="4"/>
  <c r="H186" i="4"/>
  <c r="H283" i="4"/>
  <c r="H195" i="4"/>
  <c r="H106" i="4"/>
  <c r="H196" i="4"/>
  <c r="H350" i="4"/>
  <c r="H451" i="4"/>
  <c r="H351" i="4"/>
  <c r="H352" i="4"/>
  <c r="H353" i="4"/>
  <c r="H452" i="4"/>
  <c r="H354" i="4"/>
  <c r="H355" i="4"/>
  <c r="H453" i="4"/>
  <c r="H356" i="4"/>
  <c r="H357" i="4"/>
  <c r="H358" i="4"/>
  <c r="H359" i="4"/>
  <c r="H360" i="4"/>
  <c r="H131" i="4"/>
  <c r="H222" i="4"/>
  <c r="H361" i="4"/>
  <c r="H197" i="4"/>
  <c r="H284" i="4"/>
  <c r="H198" i="4"/>
  <c r="H454" i="4"/>
  <c r="H455" i="4"/>
  <c r="H362" i="4"/>
  <c r="H132" i="4"/>
  <c r="H363" i="4"/>
  <c r="H364" i="4"/>
  <c r="H365" i="4"/>
  <c r="H366" i="4"/>
  <c r="H367" i="4"/>
  <c r="H368" i="4"/>
  <c r="H133" i="4"/>
  <c r="H369" i="4"/>
  <c r="H36" i="4"/>
  <c r="H456" i="4"/>
  <c r="H457" i="4"/>
  <c r="H458" i="4"/>
  <c r="H459" i="4"/>
  <c r="H507" i="4"/>
  <c r="H370" i="4"/>
  <c r="H460" i="4"/>
  <c r="H461" i="4"/>
  <c r="H199" i="4"/>
  <c r="H5" i="4"/>
  <c r="H15" i="4"/>
  <c r="H462" i="4"/>
  <c r="H371" i="4"/>
  <c r="H463" i="4"/>
  <c r="H372" i="4"/>
  <c r="H464" i="4"/>
  <c r="H312" i="4"/>
  <c r="H49" i="4"/>
  <c r="H24" i="4"/>
  <c r="H50" i="4"/>
  <c r="H167" i="4"/>
  <c r="H465" i="4"/>
  <c r="H168" i="4"/>
  <c r="H134" i="4"/>
  <c r="H37" i="4"/>
  <c r="H285" i="4"/>
  <c r="H76" i="4"/>
  <c r="H373" i="4"/>
  <c r="H374" i="4"/>
  <c r="H113" i="4"/>
  <c r="H321" i="4"/>
  <c r="H322" i="4"/>
  <c r="H247" i="4"/>
  <c r="H375" i="4"/>
  <c r="H135" i="4"/>
  <c r="H187" i="4"/>
  <c r="H376" i="4"/>
  <c r="H377" i="4"/>
  <c r="H378" i="4"/>
  <c r="H379" i="4"/>
  <c r="H248" i="4"/>
  <c r="H323" i="4"/>
  <c r="H380" i="4"/>
  <c r="H466" i="4"/>
  <c r="H381" i="4"/>
  <c r="H249" i="4"/>
  <c r="H97" i="4"/>
  <c r="H118" i="4"/>
  <c r="H467" i="4"/>
  <c r="H77" i="4"/>
  <c r="H250" i="4"/>
  <c r="H382" i="4"/>
  <c r="H383" i="4"/>
  <c r="H169" i="4"/>
  <c r="H26" i="4"/>
  <c r="H27" i="4"/>
  <c r="H28" i="4"/>
  <c r="H98" i="4"/>
  <c r="H52" i="4"/>
  <c r="H275" i="4"/>
  <c r="H78" i="4"/>
  <c r="H251" i="4"/>
  <c r="H252" i="4"/>
  <c r="H253" i="4"/>
  <c r="H126" i="4"/>
  <c r="H324" i="4"/>
  <c r="H254" i="4"/>
  <c r="H255" i="4"/>
  <c r="H325" i="4"/>
  <c r="H91" i="4"/>
  <c r="H99" i="4"/>
  <c r="H79" i="4"/>
  <c r="H256" i="4"/>
  <c r="H326" i="4"/>
  <c r="H235" i="4"/>
  <c r="H257" i="4"/>
  <c r="H258" i="4"/>
  <c r="H259" i="4"/>
  <c r="H260" i="4"/>
  <c r="H80" i="4"/>
  <c r="H100" i="4"/>
  <c r="H81" i="4"/>
  <c r="H2" i="4"/>
  <c r="H170" i="4"/>
  <c r="H171" i="4"/>
  <c r="H16" i="4"/>
  <c r="H17" i="4"/>
  <c r="H3" i="4"/>
  <c r="H172" i="4"/>
  <c r="H173" i="4"/>
  <c r="H18" i="4"/>
  <c r="H174" i="4"/>
  <c r="H22" i="4"/>
  <c r="H124" i="4"/>
  <c r="H188" i="4"/>
  <c r="H384" i="4"/>
  <c r="H189" i="4"/>
  <c r="H385" i="4"/>
  <c r="H136" i="4"/>
  <c r="H137" i="4"/>
  <c r="H386" i="4"/>
  <c r="H468" i="4"/>
  <c r="H223" i="4"/>
  <c r="H387" i="4"/>
  <c r="H469" i="4"/>
  <c r="H388" i="4"/>
  <c r="H389" i="4"/>
  <c r="H138" i="4"/>
  <c r="H390" i="4"/>
  <c r="H391" i="4"/>
  <c r="H236" i="4"/>
  <c r="H470" i="4"/>
  <c r="H139" i="4"/>
  <c r="H327" i="4"/>
  <c r="H200" i="4"/>
  <c r="H328" i="4"/>
  <c r="H234" i="4"/>
  <c r="H286" i="4"/>
  <c r="H392" i="4"/>
  <c r="H329" i="4"/>
  <c r="H201" i="4"/>
  <c r="H393" i="4"/>
  <c r="H309" i="4"/>
  <c r="H510" i="4"/>
  <c r="H511" i="4"/>
  <c r="H512" i="4"/>
  <c r="H261" i="4"/>
  <c r="H262" i="4"/>
  <c r="H101" i="4"/>
  <c r="H263" i="4"/>
  <c r="H264" i="4"/>
  <c r="H114" i="4"/>
  <c r="H330" i="4"/>
  <c r="H265" i="4"/>
  <c r="H266" i="4"/>
  <c r="H267" i="4"/>
  <c r="H82" i="4"/>
  <c r="H331" i="4"/>
  <c r="H83" i="4"/>
  <c r="H471" i="4"/>
  <c r="H19" i="4"/>
  <c r="H394" i="4"/>
  <c r="H472" i="4"/>
  <c r="H61" i="4"/>
  <c r="H62" i="4"/>
  <c r="H268" i="4"/>
  <c r="H473" i="4"/>
  <c r="H474" i="4"/>
  <c r="H475" i="4"/>
  <c r="H395" i="4"/>
  <c r="H140" i="4"/>
  <c r="H520" i="4"/>
  <c r="H102" i="4"/>
  <c r="H269" i="4"/>
  <c r="H54" i="4"/>
  <c r="H340" i="4"/>
  <c r="H103" i="4"/>
  <c r="H104" i="4"/>
  <c r="H332" i="4"/>
  <c r="H63" i="4"/>
  <c r="H396" i="4"/>
  <c r="H84" i="4"/>
  <c r="H397" i="4"/>
  <c r="H398" i="4"/>
  <c r="H93" i="4"/>
  <c r="H38" i="4"/>
  <c r="H202" i="4"/>
  <c r="H64" i="4"/>
  <c r="H203" i="4"/>
  <c r="H141" i="4"/>
  <c r="H476" i="4"/>
  <c r="H287" i="4"/>
  <c r="H521" i="4"/>
  <c r="H440" i="4"/>
  <c r="H39" i="4"/>
  <c r="H288" i="4"/>
  <c r="H204" i="4"/>
  <c r="H239" i="4"/>
  <c r="H399" i="4"/>
  <c r="H224" i="4"/>
  <c r="H205" i="4"/>
  <c r="H289" i="4"/>
  <c r="H40" i="4"/>
  <c r="H400" i="4"/>
  <c r="H142" i="4"/>
  <c r="H401" i="4"/>
  <c r="H41" i="4"/>
  <c r="H42" i="4"/>
  <c r="H206" i="4"/>
  <c r="H94" i="4"/>
  <c r="H207" i="4"/>
  <c r="H477" i="4"/>
  <c r="H290" i="4"/>
  <c r="H402" i="4"/>
  <c r="H403" i="4"/>
  <c r="H310" i="4"/>
  <c r="H311" i="4"/>
  <c r="H522" i="4"/>
  <c r="H513" i="4"/>
  <c r="H514" i="4"/>
  <c r="H119" i="4"/>
  <c r="H404" i="4"/>
  <c r="H515" i="4"/>
  <c r="H405" i="4"/>
  <c r="H143" i="4"/>
  <c r="H406" i="4"/>
  <c r="H407" i="4"/>
  <c r="H478" i="4"/>
  <c r="H408" i="4"/>
  <c r="H409" i="4"/>
  <c r="H65" i="4"/>
  <c r="H479" i="4"/>
  <c r="H410" i="4"/>
  <c r="H240" i="4"/>
  <c r="H480" i="4"/>
  <c r="H20" i="4"/>
  <c r="H481" i="4"/>
  <c r="H482" i="4"/>
  <c r="H120" i="4"/>
  <c r="H411" i="4"/>
  <c r="H412" i="4"/>
  <c r="H413" i="4"/>
  <c r="H66" i="4"/>
  <c r="H29" i="4"/>
  <c r="H414" i="4"/>
  <c r="H208" i="4"/>
  <c r="H291" i="4"/>
  <c r="H43" i="4"/>
  <c r="H105" i="4"/>
  <c r="H333" i="4"/>
  <c r="H334" i="4"/>
  <c r="H115" i="4"/>
  <c r="H209" i="4"/>
  <c r="H144" i="4"/>
  <c r="H145" i="4"/>
  <c r="H415" i="4"/>
  <c r="H483" i="4"/>
  <c r="H484" i="4"/>
  <c r="H146" i="4"/>
  <c r="H416" i="4"/>
  <c r="H417" i="4"/>
  <c r="H147" i="4"/>
  <c r="H418" i="4"/>
  <c r="H419" i="4"/>
  <c r="H190" i="4"/>
  <c r="H420" i="4"/>
  <c r="H210" i="4"/>
  <c r="H292" i="4"/>
  <c r="H225" i="4"/>
  <c r="H293" i="4"/>
  <c r="H294" i="4"/>
  <c r="H67" i="4"/>
  <c r="H211" i="4"/>
  <c r="H212" i="4"/>
  <c r="H295" i="4"/>
  <c r="H421" i="4"/>
  <c r="H296" i="4"/>
  <c r="H485" i="4"/>
  <c r="H297" i="4"/>
  <c r="H226" i="4"/>
  <c r="H298" i="4"/>
  <c r="H486" i="4"/>
  <c r="H422" i="4"/>
  <c r="H423" i="4"/>
  <c r="H85" i="4"/>
  <c r="H213" i="4"/>
  <c r="H487" i="4"/>
  <c r="H488" i="4"/>
  <c r="H489" i="4"/>
  <c r="H490" i="4"/>
  <c r="H491" i="4"/>
  <c r="H492" i="4"/>
  <c r="H191" i="4"/>
  <c r="H424" i="4"/>
  <c r="H425" i="4"/>
  <c r="H426" i="4"/>
  <c r="H21" i="4"/>
  <c r="H175" i="4"/>
  <c r="H176" i="4"/>
  <c r="H270" i="4"/>
  <c r="H148" i="4"/>
  <c r="H214" i="4"/>
  <c r="H493" i="4"/>
  <c r="H241" i="4"/>
  <c r="H86" i="4"/>
  <c r="H87" i="4"/>
  <c r="H88" i="4"/>
  <c r="H299" i="4"/>
  <c r="H300" i="4"/>
  <c r="H301" i="4"/>
  <c r="H302" i="4"/>
  <c r="H494" i="4"/>
  <c r="H303" i="4"/>
  <c r="H304" i="4"/>
  <c r="H149" i="4"/>
  <c r="H427" i="4"/>
  <c r="H335" i="4"/>
  <c r="H89" i="4"/>
  <c r="H495" i="4"/>
  <c r="H336" i="4"/>
  <c r="H337" i="4"/>
  <c r="H428" i="4"/>
  <c r="H429" i="4"/>
  <c r="H90" i="4"/>
  <c r="H271" i="4"/>
  <c r="H272" i="4"/>
  <c r="H305" i="4"/>
  <c r="H44" i="4"/>
  <c r="H430" i="4"/>
  <c r="H431" i="4"/>
  <c r="H273" i="4"/>
  <c r="H274" i="4"/>
  <c r="H306" i="4"/>
  <c r="H127" i="4"/>
  <c r="H116" i="4"/>
  <c r="H432" i="4"/>
  <c r="H45" i="4"/>
  <c r="H46" i="4"/>
  <c r="H237" i="4"/>
  <c r="H242" i="4"/>
  <c r="H227" i="4"/>
  <c r="H338" i="4"/>
  <c r="H307" i="4"/>
  <c r="H496" i="4"/>
  <c r="H497" i="4"/>
  <c r="H433" i="4"/>
  <c r="H150" i="4"/>
  <c r="H215" i="4"/>
  <c r="H47" i="4"/>
  <c r="H498" i="4"/>
  <c r="H499" i="4"/>
  <c r="H500" i="4"/>
  <c r="H501" i="4"/>
  <c r="H502" i="4"/>
  <c r="H434" i="4"/>
  <c r="H314" i="4"/>
  <c r="H244" i="4"/>
  <c r="H107" i="4"/>
  <c r="H435" i="4"/>
  <c r="H503" i="4"/>
  <c r="H436" i="4"/>
  <c r="H504" i="4"/>
  <c r="H216" i="4"/>
  <c r="H68" i="4"/>
  <c r="H217" i="4"/>
  <c r="H243" i="4"/>
  <c r="H308" i="4"/>
  <c r="H73" i="4"/>
  <c r="H245" i="4"/>
  <c r="H74" i="4"/>
  <c r="H108" i="4"/>
  <c r="H218" i="4"/>
  <c r="H48" i="4"/>
  <c r="H219" i="4"/>
  <c r="H220" i="4"/>
  <c r="H69" i="4"/>
  <c r="H437" i="4"/>
  <c r="H505" i="4"/>
  <c r="F2" i="6"/>
  <c r="L5" i="4"/>
  <c r="L2" i="4"/>
  <c r="L3" i="4"/>
  <c r="L4" i="4"/>
  <c r="L23" i="4"/>
  <c r="L14" i="4"/>
  <c r="L18" i="4"/>
  <c r="L20" i="4"/>
  <c r="L21" i="4"/>
  <c r="L124" i="4"/>
  <c r="L166" i="4"/>
  <c r="L15" i="4"/>
  <c r="L22" i="4"/>
  <c r="L71" i="4"/>
  <c r="L72" i="4"/>
  <c r="L73" i="4"/>
  <c r="L74" i="4"/>
  <c r="L51" i="4"/>
  <c r="L26" i="4"/>
  <c r="L27" i="4"/>
  <c r="L28" i="4"/>
  <c r="L152" i="4"/>
  <c r="L7" i="4"/>
  <c r="L160" i="4"/>
  <c r="L10" i="4"/>
  <c r="L12" i="4"/>
  <c r="L163" i="4"/>
  <c r="L70" i="4"/>
  <c r="L168" i="4"/>
  <c r="L121" i="4"/>
  <c r="L54" i="4"/>
  <c r="L50" i="4"/>
  <c r="L17" i="4"/>
  <c r="L109" i="4"/>
  <c r="L95" i="4"/>
  <c r="L53" i="4"/>
  <c r="L55" i="4"/>
  <c r="L59" i="4"/>
  <c r="L34" i="4"/>
  <c r="L106" i="4"/>
  <c r="L37" i="4"/>
  <c r="L76" i="4"/>
  <c r="L202" i="4"/>
  <c r="L64" i="4"/>
  <c r="L42" i="4"/>
  <c r="L209" i="4"/>
  <c r="L85" i="4"/>
  <c r="L87" i="4"/>
  <c r="L88" i="4"/>
  <c r="L335" i="4"/>
  <c r="L90" i="4"/>
  <c r="L69" i="4"/>
  <c r="L29" i="4"/>
  <c r="L117" i="4"/>
  <c r="L119" i="4"/>
  <c r="L52" i="4"/>
  <c r="L182" i="4"/>
  <c r="L185" i="4"/>
  <c r="L136" i="4"/>
  <c r="L137" i="4"/>
  <c r="L140" i="4"/>
  <c r="L141" i="4"/>
  <c r="L400" i="4"/>
  <c r="L142" i="4"/>
  <c r="L310" i="4"/>
  <c r="L311" i="4"/>
  <c r="L143" i="4"/>
  <c r="L145" i="4"/>
  <c r="L146" i="4"/>
  <c r="L75" i="4"/>
  <c r="L111" i="4"/>
  <c r="L112" i="4"/>
  <c r="L438" i="4"/>
  <c r="L283" i="4"/>
  <c r="L36" i="4"/>
  <c r="L321" i="4"/>
  <c r="L251" i="4"/>
  <c r="L126" i="4"/>
  <c r="L257" i="4"/>
  <c r="L80" i="4"/>
  <c r="L269" i="4"/>
  <c r="L39" i="4"/>
  <c r="L66" i="4"/>
  <c r="L208" i="4"/>
  <c r="L333" i="4"/>
  <c r="L334" i="4"/>
  <c r="L293" i="4"/>
  <c r="L67" i="4"/>
  <c r="L214" i="4"/>
  <c r="L127" i="4"/>
  <c r="L47" i="4"/>
  <c r="L216" i="4"/>
  <c r="L68" i="4"/>
  <c r="L108" i="4"/>
  <c r="L402" i="4"/>
  <c r="L120" i="4"/>
  <c r="L278" i="4"/>
  <c r="L198" i="4"/>
  <c r="L97" i="4"/>
  <c r="L98" i="4"/>
  <c r="L38" i="4"/>
  <c r="L203" i="4"/>
  <c r="L206" i="4"/>
  <c r="L274" i="4"/>
  <c r="L180" i="4"/>
  <c r="L508" i="4"/>
  <c r="L377" i="4"/>
  <c r="L188" i="4"/>
  <c r="L384" i="4"/>
  <c r="L139" i="4"/>
  <c r="L440" i="4"/>
  <c r="L224" i="4"/>
  <c r="L404" i="4"/>
  <c r="L407" i="4"/>
  <c r="L240" i="4"/>
  <c r="L421" i="4"/>
  <c r="L241" i="4"/>
  <c r="L149" i="4"/>
  <c r="L496" i="4"/>
  <c r="L150" i="4"/>
  <c r="L177" i="4"/>
  <c r="L184" i="4"/>
  <c r="L186" i="4"/>
  <c r="L133" i="4"/>
  <c r="L134" i="4"/>
  <c r="L135" i="4"/>
  <c r="L383" i="4"/>
  <c r="L484" i="4"/>
  <c r="L425" i="4"/>
  <c r="L164" i="4"/>
  <c r="L24" i="4"/>
  <c r="L175" i="4"/>
  <c r="L238" i="4"/>
  <c r="L441" i="4"/>
  <c r="L181" i="4"/>
  <c r="L239" i="4"/>
  <c r="L403" i="4"/>
  <c r="L405" i="4"/>
  <c r="L408" i="4"/>
  <c r="L373" i="4"/>
  <c r="L431" i="4"/>
  <c r="L122" i="4"/>
  <c r="L123" i="4"/>
  <c r="L221" i="4"/>
  <c r="L131" i="4"/>
  <c r="L362" i="4"/>
  <c r="L132" i="4"/>
  <c r="L363" i="4"/>
  <c r="L187" i="4"/>
  <c r="L376" i="4"/>
  <c r="L391" i="4"/>
  <c r="L225" i="4"/>
  <c r="L430" i="4"/>
  <c r="L503" i="4"/>
  <c r="L504" i="4"/>
  <c r="L151" i="4"/>
  <c r="L228" i="4"/>
  <c r="L153" i="4"/>
  <c r="L154" i="4"/>
  <c r="L155" i="4"/>
  <c r="L156" i="4"/>
  <c r="L157" i="4"/>
  <c r="L158" i="4"/>
  <c r="L229" i="4"/>
  <c r="L6" i="4"/>
  <c r="L159" i="4"/>
  <c r="L230" i="4"/>
  <c r="L8" i="4"/>
  <c r="L9" i="4"/>
  <c r="L11" i="4"/>
  <c r="L231" i="4"/>
  <c r="L161" i="4"/>
  <c r="L232" i="4"/>
  <c r="L162" i="4"/>
  <c r="L13" i="4"/>
  <c r="L165" i="4"/>
  <c r="L233" i="4"/>
  <c r="L49" i="4"/>
  <c r="L167" i="4"/>
  <c r="L169" i="4"/>
  <c r="L170" i="4"/>
  <c r="L171" i="4"/>
  <c r="L16" i="4"/>
  <c r="L172" i="4"/>
  <c r="L173" i="4"/>
  <c r="L174" i="4"/>
  <c r="L234" i="4"/>
  <c r="L19" i="4"/>
  <c r="L176" i="4"/>
  <c r="L25" i="4"/>
  <c r="L91" i="4"/>
  <c r="L237" i="4"/>
  <c r="L378" i="4"/>
  <c r="L313" i="4"/>
  <c r="L125" i="4"/>
  <c r="L314" i="4"/>
  <c r="L244" i="4"/>
  <c r="L245" i="4"/>
  <c r="L279" i="4"/>
  <c r="L193" i="4"/>
  <c r="L56" i="4"/>
  <c r="L96" i="4"/>
  <c r="L32" i="4"/>
  <c r="L506" i="4"/>
  <c r="L35" i="4"/>
  <c r="L195" i="4"/>
  <c r="L196" i="4"/>
  <c r="L284" i="4"/>
  <c r="L252" i="4"/>
  <c r="L253" i="4"/>
  <c r="L324" i="4"/>
  <c r="L99" i="4"/>
  <c r="L79" i="4"/>
  <c r="L100" i="4"/>
  <c r="L81" i="4"/>
  <c r="L329" i="4"/>
  <c r="L201" i="4"/>
  <c r="L330" i="4"/>
  <c r="L331" i="4"/>
  <c r="L83" i="4"/>
  <c r="L102" i="4"/>
  <c r="L103" i="4"/>
  <c r="L63" i="4"/>
  <c r="L65" i="4"/>
  <c r="L115" i="4"/>
  <c r="L210" i="4"/>
  <c r="L211" i="4"/>
  <c r="L212" i="4"/>
  <c r="L270" i="4"/>
  <c r="L86" i="4"/>
  <c r="L272" i="4"/>
  <c r="L116" i="4"/>
  <c r="L46" i="4"/>
  <c r="L48" i="4"/>
  <c r="L275" i="4"/>
  <c r="L309" i="4"/>
  <c r="L235" i="4"/>
  <c r="L236" i="4"/>
  <c r="L243" i="4"/>
  <c r="L339" i="4"/>
  <c r="L347" i="4"/>
  <c r="L446" i="4"/>
  <c r="L447" i="4"/>
  <c r="L448" i="4"/>
  <c r="L459" i="4"/>
  <c r="L466" i="4"/>
  <c r="L468" i="4"/>
  <c r="L223" i="4"/>
  <c r="L469" i="4"/>
  <c r="L510" i="4"/>
  <c r="L520" i="4"/>
  <c r="L396" i="4"/>
  <c r="L477" i="4"/>
  <c r="L144" i="4"/>
  <c r="L417" i="4"/>
  <c r="L418" i="4"/>
  <c r="L424" i="4"/>
  <c r="L148" i="4"/>
  <c r="L427" i="4"/>
  <c r="L435" i="4"/>
  <c r="L312" i="4"/>
  <c r="L315" i="4"/>
  <c r="L110" i="4"/>
  <c r="L316" i="4"/>
  <c r="L317" i="4"/>
  <c r="L318" i="4"/>
  <c r="L192" i="4"/>
  <c r="L276" i="4"/>
  <c r="L277" i="4"/>
  <c r="L194" i="4"/>
  <c r="L319" i="4"/>
  <c r="L320" i="4"/>
  <c r="L57" i="4"/>
  <c r="L30" i="4"/>
  <c r="L58" i="4"/>
  <c r="L280" i="4"/>
  <c r="L60" i="4"/>
  <c r="L246" i="4"/>
  <c r="L31" i="4"/>
  <c r="L33" i="4"/>
  <c r="L92" i="4"/>
  <c r="L281" i="4"/>
  <c r="L282" i="4"/>
  <c r="L197" i="4"/>
  <c r="L199" i="4"/>
  <c r="L285" i="4"/>
  <c r="L113" i="4"/>
  <c r="L322" i="4"/>
  <c r="L247" i="4"/>
  <c r="L248" i="4"/>
  <c r="L323" i="4"/>
  <c r="L249" i="4"/>
  <c r="L77" i="4"/>
  <c r="L250" i="4"/>
  <c r="L78" i="4"/>
  <c r="L254" i="4"/>
  <c r="L255" i="4"/>
  <c r="L325" i="4"/>
  <c r="L256" i="4"/>
  <c r="L326" i="4"/>
  <c r="L258" i="4"/>
  <c r="L259" i="4"/>
  <c r="L260" i="4"/>
  <c r="L327" i="4"/>
  <c r="L200" i="4"/>
  <c r="L328" i="4"/>
  <c r="L286" i="4"/>
  <c r="L261" i="4"/>
  <c r="L262" i="4"/>
  <c r="L101" i="4"/>
  <c r="L263" i="4"/>
  <c r="L264" i="4"/>
  <c r="L114" i="4"/>
  <c r="L265" i="4"/>
  <c r="L266" i="4"/>
  <c r="L267" i="4"/>
  <c r="L82" i="4"/>
  <c r="L61" i="4"/>
  <c r="L62" i="4"/>
  <c r="L268" i="4"/>
  <c r="L104" i="4"/>
  <c r="L332" i="4"/>
  <c r="L84" i="4"/>
  <c r="L93" i="4"/>
  <c r="L287" i="4"/>
  <c r="L288" i="4"/>
  <c r="L204" i="4"/>
  <c r="L205" i="4"/>
  <c r="L289" i="4"/>
  <c r="L40" i="4"/>
  <c r="L41" i="4"/>
  <c r="L94" i="4"/>
  <c r="L207" i="4"/>
  <c r="L290" i="4"/>
  <c r="L291" i="4"/>
  <c r="L43" i="4"/>
  <c r="L105" i="4"/>
  <c r="L292" i="4"/>
  <c r="L294" i="4"/>
  <c r="L295" i="4"/>
  <c r="L296" i="4"/>
  <c r="L297" i="4"/>
  <c r="L298" i="4"/>
  <c r="L213" i="4"/>
  <c r="L299" i="4"/>
  <c r="L300" i="4"/>
  <c r="L301" i="4"/>
  <c r="L302" i="4"/>
  <c r="L303" i="4"/>
  <c r="L304" i="4"/>
  <c r="L89" i="4"/>
  <c r="L336" i="4"/>
  <c r="L337" i="4"/>
  <c r="L271" i="4"/>
  <c r="L305" i="4"/>
  <c r="L44" i="4"/>
  <c r="L273" i="4"/>
  <c r="L306" i="4"/>
  <c r="L45" i="4"/>
  <c r="L338" i="4"/>
  <c r="L307" i="4"/>
  <c r="L215" i="4"/>
  <c r="L107" i="4"/>
  <c r="L217" i="4"/>
  <c r="L308" i="4"/>
  <c r="L218" i="4"/>
  <c r="L219" i="4"/>
  <c r="L220" i="4"/>
  <c r="L179" i="4"/>
  <c r="L341" i="4"/>
  <c r="L345" i="4"/>
  <c r="L444" i="4"/>
  <c r="L516" i="4"/>
  <c r="L517" i="4"/>
  <c r="L509" i="4"/>
  <c r="L518" i="4"/>
  <c r="L519" i="4"/>
  <c r="L183" i="4"/>
  <c r="L128" i="4"/>
  <c r="L129" i="4"/>
  <c r="L346" i="4"/>
  <c r="L348" i="4"/>
  <c r="L349" i="4"/>
  <c r="L450" i="4"/>
  <c r="L456" i="4"/>
  <c r="L457" i="4"/>
  <c r="L458" i="4"/>
  <c r="L370" i="4"/>
  <c r="L460" i="4"/>
  <c r="L461" i="4"/>
  <c r="L465" i="4"/>
  <c r="L380" i="4"/>
  <c r="L189" i="4"/>
  <c r="L385" i="4"/>
  <c r="L386" i="4"/>
  <c r="L387" i="4"/>
  <c r="L388" i="4"/>
  <c r="L138" i="4"/>
  <c r="L470" i="4"/>
  <c r="L511" i="4"/>
  <c r="L512" i="4"/>
  <c r="L471" i="4"/>
  <c r="L395" i="4"/>
  <c r="L476" i="4"/>
  <c r="L521" i="4"/>
  <c r="L399" i="4"/>
  <c r="L401" i="4"/>
  <c r="L522" i="4"/>
  <c r="L513" i="4"/>
  <c r="L514" i="4"/>
  <c r="L515" i="4"/>
  <c r="L406" i="4"/>
  <c r="L478" i="4"/>
  <c r="L409" i="4"/>
  <c r="L479" i="4"/>
  <c r="L410" i="4"/>
  <c r="L480" i="4"/>
  <c r="L481" i="4"/>
  <c r="L482" i="4"/>
  <c r="L416" i="4"/>
  <c r="L147" i="4"/>
  <c r="L419" i="4"/>
  <c r="L190" i="4"/>
  <c r="L420" i="4"/>
  <c r="L485" i="4"/>
  <c r="L226" i="4"/>
  <c r="L486" i="4"/>
  <c r="L422" i="4"/>
  <c r="L423" i="4"/>
  <c r="L488" i="4"/>
  <c r="L489" i="4"/>
  <c r="L490" i="4"/>
  <c r="L191" i="4"/>
  <c r="L493" i="4"/>
  <c r="L494" i="4"/>
  <c r="L495" i="4"/>
  <c r="L497" i="4"/>
  <c r="L433" i="4"/>
  <c r="L498" i="4"/>
  <c r="L499" i="4"/>
  <c r="L500" i="4"/>
  <c r="L501" i="4"/>
  <c r="L502" i="4"/>
  <c r="L434" i="4"/>
  <c r="L178" i="4"/>
  <c r="L351" i="4"/>
  <c r="L352" i="4"/>
  <c r="L355" i="4"/>
  <c r="L357" i="4"/>
  <c r="L365" i="4"/>
  <c r="L367" i="4"/>
  <c r="L369" i="4"/>
  <c r="L372" i="4"/>
  <c r="L393" i="4"/>
  <c r="L394" i="4"/>
  <c r="L413" i="4"/>
  <c r="L483" i="4"/>
  <c r="L242" i="4"/>
  <c r="L437" i="4"/>
  <c r="L507" i="4"/>
  <c r="L118" i="4"/>
  <c r="L340" i="4"/>
  <c r="L442" i="4"/>
  <c r="L342" i="4"/>
  <c r="L443" i="4"/>
  <c r="L343" i="4"/>
  <c r="L344" i="4"/>
  <c r="L445" i="4"/>
  <c r="L130" i="4"/>
  <c r="L449" i="4"/>
  <c r="L350" i="4"/>
  <c r="L451" i="4"/>
  <c r="L353" i="4"/>
  <c r="L452" i="4"/>
  <c r="L354" i="4"/>
  <c r="L453" i="4"/>
  <c r="L356" i="4"/>
  <c r="L358" i="4"/>
  <c r="L359" i="4"/>
  <c r="L360" i="4"/>
  <c r="L222" i="4"/>
  <c r="L361" i="4"/>
  <c r="L454" i="4"/>
  <c r="L455" i="4"/>
  <c r="L364" i="4"/>
  <c r="L366" i="4"/>
  <c r="L368" i="4"/>
  <c r="L462" i="4"/>
  <c r="L371" i="4"/>
  <c r="L463" i="4"/>
  <c r="L464" i="4"/>
  <c r="L374" i="4"/>
  <c r="L375" i="4"/>
  <c r="L379" i="4"/>
  <c r="L381" i="4"/>
  <c r="L467" i="4"/>
  <c r="L382" i="4"/>
  <c r="L389" i="4"/>
  <c r="L390" i="4"/>
  <c r="L392" i="4"/>
  <c r="L472" i="4"/>
  <c r="L473" i="4"/>
  <c r="L474" i="4"/>
  <c r="L475" i="4"/>
  <c r="L397" i="4"/>
  <c r="L398" i="4"/>
  <c r="L411" i="4"/>
  <c r="L412" i="4"/>
  <c r="L414" i="4"/>
  <c r="L415" i="4"/>
  <c r="L487" i="4"/>
  <c r="L491" i="4"/>
  <c r="L492" i="4"/>
  <c r="L426" i="4"/>
  <c r="L428" i="4"/>
  <c r="L429" i="4"/>
  <c r="L432" i="4"/>
  <c r="L227" i="4"/>
  <c r="L436" i="4"/>
  <c r="L505" i="4"/>
  <c r="L439" i="4"/>
  <c r="M439" i="4"/>
  <c r="M505" i="4"/>
  <c r="M436" i="4"/>
  <c r="M227" i="4"/>
  <c r="M432" i="4"/>
  <c r="M429" i="4"/>
  <c r="M428" i="4"/>
  <c r="M426" i="4"/>
  <c r="M492" i="4"/>
  <c r="M491" i="4"/>
  <c r="M487" i="4"/>
  <c r="M415" i="4"/>
  <c r="M414" i="4"/>
  <c r="M412" i="4"/>
  <c r="M411" i="4"/>
  <c r="M398" i="4"/>
  <c r="M397" i="4"/>
  <c r="M475" i="4"/>
  <c r="M474" i="4"/>
  <c r="M473" i="4"/>
  <c r="M472" i="4"/>
  <c r="M392" i="4"/>
  <c r="M390" i="4"/>
  <c r="M389" i="4"/>
  <c r="M382" i="4"/>
  <c r="M467" i="4"/>
  <c r="M381" i="4"/>
  <c r="M379" i="4"/>
  <c r="M375" i="4"/>
  <c r="M374" i="4"/>
  <c r="M464" i="4"/>
  <c r="M463" i="4"/>
  <c r="M371" i="4"/>
  <c r="M462" i="4"/>
  <c r="M368" i="4"/>
  <c r="M366" i="4"/>
  <c r="M364" i="4"/>
  <c r="M455" i="4"/>
  <c r="M454" i="4"/>
  <c r="M361" i="4"/>
  <c r="M222" i="4"/>
  <c r="M360" i="4"/>
  <c r="M359" i="4"/>
  <c r="M358" i="4"/>
  <c r="M356" i="4"/>
  <c r="M453" i="4"/>
  <c r="M354" i="4"/>
  <c r="M452" i="4"/>
  <c r="M353" i="4"/>
  <c r="M451" i="4"/>
  <c r="M350" i="4"/>
  <c r="M449" i="4"/>
  <c r="M130" i="4"/>
  <c r="M445" i="4"/>
  <c r="M344" i="4"/>
  <c r="M343" i="4"/>
  <c r="M443" i="4"/>
  <c r="M342" i="4"/>
  <c r="M442" i="4"/>
  <c r="M340" i="4"/>
  <c r="M118" i="4"/>
  <c r="M507" i="4"/>
  <c r="M437" i="4"/>
  <c r="M242" i="4"/>
  <c r="M483" i="4"/>
  <c r="M413" i="4"/>
  <c r="M394" i="4"/>
  <c r="M393" i="4"/>
  <c r="M372" i="4"/>
  <c r="M369" i="4"/>
  <c r="M367" i="4"/>
  <c r="M365" i="4"/>
  <c r="M357" i="4"/>
  <c r="M355" i="4"/>
  <c r="M352" i="4"/>
  <c r="M351" i="4"/>
  <c r="M178" i="4"/>
  <c r="M434" i="4"/>
  <c r="M502" i="4"/>
  <c r="M501" i="4"/>
  <c r="M500" i="4"/>
  <c r="M499" i="4"/>
  <c r="M498" i="4"/>
  <c r="M433" i="4"/>
  <c r="M497" i="4"/>
  <c r="M495" i="4"/>
  <c r="M494" i="4"/>
  <c r="M493" i="4"/>
  <c r="M191" i="4"/>
  <c r="M490" i="4"/>
  <c r="M489" i="4"/>
  <c r="M488" i="4"/>
  <c r="M423" i="4"/>
  <c r="M422" i="4"/>
  <c r="M486" i="4"/>
  <c r="M226" i="4"/>
  <c r="M485" i="4"/>
  <c r="M420" i="4"/>
  <c r="M190" i="4"/>
  <c r="M419" i="4"/>
  <c r="M147" i="4"/>
  <c r="M416" i="4"/>
  <c r="M482" i="4"/>
  <c r="M481" i="4"/>
  <c r="M480" i="4"/>
  <c r="M410" i="4"/>
  <c r="M479" i="4"/>
  <c r="M409" i="4"/>
  <c r="M478" i="4"/>
  <c r="M406" i="4"/>
  <c r="M515" i="4"/>
  <c r="M514" i="4"/>
  <c r="M513" i="4"/>
  <c r="M522" i="4"/>
  <c r="M401" i="4"/>
  <c r="M399" i="4"/>
  <c r="M521" i="4"/>
  <c r="M476" i="4"/>
  <c r="M395" i="4"/>
  <c r="M471" i="4"/>
  <c r="M512" i="4"/>
  <c r="M511" i="4"/>
  <c r="M470" i="4"/>
  <c r="M138" i="4"/>
  <c r="M388" i="4"/>
  <c r="M387" i="4"/>
  <c r="M386" i="4"/>
  <c r="M385" i="4"/>
  <c r="M189" i="4"/>
  <c r="M380" i="4"/>
  <c r="M465" i="4"/>
  <c r="M461" i="4"/>
  <c r="M460" i="4"/>
  <c r="M370" i="4"/>
  <c r="M458" i="4"/>
  <c r="M457" i="4"/>
  <c r="M456" i="4"/>
  <c r="M450" i="4"/>
  <c r="M349" i="4"/>
  <c r="M348" i="4"/>
  <c r="M346" i="4"/>
  <c r="M129" i="4"/>
  <c r="M128" i="4"/>
  <c r="M183" i="4"/>
  <c r="M519" i="4"/>
  <c r="M518" i="4"/>
  <c r="M509" i="4"/>
  <c r="M517" i="4"/>
  <c r="M516" i="4"/>
  <c r="M444" i="4"/>
  <c r="M345" i="4"/>
  <c r="M341" i="4"/>
  <c r="M179" i="4"/>
  <c r="M220" i="4"/>
  <c r="M219" i="4"/>
  <c r="M218" i="4"/>
  <c r="M308" i="4"/>
  <c r="M217" i="4"/>
  <c r="M107" i="4"/>
  <c r="M215" i="4"/>
  <c r="M307" i="4"/>
  <c r="M338" i="4"/>
  <c r="M45" i="4"/>
  <c r="M306" i="4"/>
  <c r="M273" i="4"/>
  <c r="M44" i="4"/>
  <c r="M305" i="4"/>
  <c r="M271" i="4"/>
  <c r="M337" i="4"/>
  <c r="M336" i="4"/>
  <c r="M89" i="4"/>
  <c r="M304" i="4"/>
  <c r="M303" i="4"/>
  <c r="M302" i="4"/>
  <c r="M301" i="4"/>
  <c r="M300" i="4"/>
  <c r="M299" i="4"/>
  <c r="M213" i="4"/>
  <c r="M298" i="4"/>
  <c r="M297" i="4"/>
  <c r="M296" i="4"/>
  <c r="M295" i="4"/>
  <c r="M294" i="4"/>
  <c r="M292" i="4"/>
  <c r="M105" i="4"/>
  <c r="M43" i="4"/>
  <c r="M291" i="4"/>
  <c r="M290" i="4"/>
  <c r="M207" i="4"/>
  <c r="M94" i="4"/>
  <c r="M41" i="4"/>
  <c r="M40" i="4"/>
  <c r="M289" i="4"/>
  <c r="M205" i="4"/>
  <c r="M204" i="4"/>
  <c r="M288" i="4"/>
  <c r="M287" i="4"/>
  <c r="M93" i="4"/>
  <c r="M84" i="4"/>
  <c r="M332" i="4"/>
  <c r="M104" i="4"/>
  <c r="M268" i="4"/>
  <c r="M62" i="4"/>
  <c r="M61" i="4"/>
  <c r="M82" i="4"/>
  <c r="M267" i="4"/>
  <c r="M266" i="4"/>
  <c r="M265" i="4"/>
  <c r="M114" i="4"/>
  <c r="M264" i="4"/>
  <c r="M263" i="4"/>
  <c r="M101" i="4"/>
  <c r="M262" i="4"/>
  <c r="M261" i="4"/>
  <c r="M286" i="4"/>
  <c r="M328" i="4"/>
  <c r="M200" i="4"/>
  <c r="M327" i="4"/>
  <c r="M260" i="4"/>
  <c r="M259" i="4"/>
  <c r="M258" i="4"/>
  <c r="M326" i="4"/>
  <c r="M256" i="4"/>
  <c r="M325" i="4"/>
  <c r="M255" i="4"/>
  <c r="M254" i="4"/>
  <c r="M78" i="4"/>
  <c r="M250" i="4"/>
  <c r="M77" i="4"/>
  <c r="M249" i="4"/>
  <c r="M323" i="4"/>
  <c r="M248" i="4"/>
  <c r="M247" i="4"/>
  <c r="M322" i="4"/>
  <c r="M113" i="4"/>
  <c r="M285" i="4"/>
  <c r="M199" i="4"/>
  <c r="M197" i="4"/>
  <c r="M282" i="4"/>
  <c r="M281" i="4"/>
  <c r="M92" i="4"/>
  <c r="M33" i="4"/>
  <c r="M31" i="4"/>
  <c r="M246" i="4"/>
  <c r="M60" i="4"/>
  <c r="M280" i="4"/>
  <c r="M58" i="4"/>
  <c r="M30" i="4"/>
  <c r="M57" i="4"/>
  <c r="M320" i="4"/>
  <c r="M319" i="4"/>
  <c r="M194" i="4"/>
  <c r="M277" i="4"/>
  <c r="M276" i="4"/>
  <c r="M192" i="4"/>
  <c r="M318" i="4"/>
  <c r="M317" i="4"/>
  <c r="M316" i="4"/>
  <c r="M110" i="4"/>
  <c r="M315" i="4"/>
  <c r="M312" i="4"/>
  <c r="M435" i="4"/>
  <c r="M427" i="4"/>
  <c r="M148" i="4"/>
  <c r="M424" i="4"/>
  <c r="M418" i="4"/>
  <c r="M417" i="4"/>
  <c r="M144" i="4"/>
  <c r="M477" i="4"/>
  <c r="M396" i="4"/>
  <c r="M520" i="4"/>
  <c r="M510" i="4"/>
  <c r="M469" i="4"/>
  <c r="M223" i="4"/>
  <c r="M468" i="4"/>
  <c r="M466" i="4"/>
  <c r="M459" i="4"/>
  <c r="M448" i="4"/>
  <c r="M447" i="4"/>
  <c r="M446" i="4"/>
  <c r="M347" i="4"/>
  <c r="M339" i="4"/>
  <c r="M243" i="4"/>
  <c r="M236" i="4"/>
  <c r="M235" i="4"/>
  <c r="M309" i="4"/>
  <c r="M275" i="4"/>
  <c r="M48" i="4"/>
  <c r="M46" i="4"/>
  <c r="M116" i="4"/>
  <c r="M272" i="4"/>
  <c r="M86" i="4"/>
  <c r="M270" i="4"/>
  <c r="M212" i="4"/>
  <c r="M211" i="4"/>
  <c r="M210" i="4"/>
  <c r="M115" i="4"/>
  <c r="M65" i="4"/>
  <c r="M63" i="4"/>
  <c r="M103" i="4"/>
  <c r="M102" i="4"/>
  <c r="M83" i="4"/>
  <c r="M331" i="4"/>
  <c r="M330" i="4"/>
  <c r="M201" i="4"/>
  <c r="M329" i="4"/>
  <c r="M81" i="4"/>
  <c r="M100" i="4"/>
  <c r="M79" i="4"/>
  <c r="M99" i="4"/>
  <c r="M324" i="4"/>
  <c r="M253" i="4"/>
  <c r="M252" i="4"/>
  <c r="M284" i="4"/>
  <c r="M196" i="4"/>
  <c r="M195" i="4"/>
  <c r="M35" i="4"/>
  <c r="M506" i="4"/>
  <c r="M32" i="4"/>
  <c r="M96" i="4"/>
  <c r="M56" i="4"/>
  <c r="M193" i="4"/>
  <c r="M279" i="4"/>
  <c r="M245" i="4"/>
  <c r="M244" i="4"/>
  <c r="M314" i="4"/>
  <c r="M125" i="4"/>
  <c r="M313" i="4"/>
  <c r="M378" i="4"/>
  <c r="M237" i="4"/>
  <c r="M91" i="4"/>
  <c r="M25" i="4"/>
  <c r="M176" i="4"/>
  <c r="M19" i="4"/>
  <c r="M234" i="4"/>
  <c r="M174" i="4"/>
  <c r="M173" i="4"/>
  <c r="M172" i="4"/>
  <c r="M16" i="4"/>
  <c r="M171" i="4"/>
  <c r="M170" i="4"/>
  <c r="M169" i="4"/>
  <c r="M167" i="4"/>
  <c r="M49" i="4"/>
  <c r="M233" i="4"/>
  <c r="M165" i="4"/>
  <c r="M13" i="4"/>
  <c r="M162" i="4"/>
  <c r="M232" i="4"/>
  <c r="M161" i="4"/>
  <c r="M231" i="4"/>
  <c r="M11" i="4"/>
  <c r="M9" i="4"/>
  <c r="M8" i="4"/>
  <c r="M230" i="4"/>
  <c r="M159" i="4"/>
  <c r="M6" i="4"/>
  <c r="M229" i="4"/>
  <c r="M158" i="4"/>
  <c r="M157" i="4"/>
  <c r="M156" i="4"/>
  <c r="M155" i="4"/>
  <c r="M154" i="4"/>
  <c r="M153" i="4"/>
  <c r="M228" i="4"/>
  <c r="M151" i="4"/>
  <c r="M504" i="4"/>
  <c r="M503" i="4"/>
  <c r="M430" i="4"/>
  <c r="M225" i="4"/>
  <c r="M391" i="4"/>
  <c r="M376" i="4"/>
  <c r="M187" i="4"/>
  <c r="M363" i="4"/>
  <c r="M132" i="4"/>
  <c r="M362" i="4"/>
  <c r="M131" i="4"/>
  <c r="M221" i="4"/>
  <c r="M123" i="4"/>
  <c r="M122" i="4"/>
  <c r="M431" i="4"/>
  <c r="M373" i="4"/>
  <c r="M408" i="4"/>
  <c r="M405" i="4"/>
  <c r="M403" i="4"/>
  <c r="M239" i="4"/>
  <c r="M181" i="4"/>
  <c r="M441" i="4"/>
  <c r="M238" i="4"/>
  <c r="M175" i="4"/>
  <c r="M24" i="4"/>
  <c r="M164" i="4"/>
  <c r="M425" i="4"/>
  <c r="M484" i="4"/>
  <c r="M383" i="4"/>
  <c r="M135" i="4"/>
  <c r="M134" i="4"/>
  <c r="M133" i="4"/>
  <c r="M186" i="4"/>
  <c r="M184" i="4"/>
  <c r="M177" i="4"/>
  <c r="M150" i="4"/>
  <c r="M496" i="4"/>
  <c r="M149" i="4"/>
  <c r="M241" i="4"/>
  <c r="M421" i="4"/>
  <c r="M240" i="4"/>
  <c r="M407" i="4"/>
  <c r="M404" i="4"/>
  <c r="M224" i="4"/>
  <c r="M440" i="4"/>
  <c r="M139" i="4"/>
  <c r="M384" i="4"/>
  <c r="M188" i="4"/>
  <c r="M377" i="4"/>
  <c r="M508" i="4"/>
  <c r="M180" i="4"/>
  <c r="M274" i="4"/>
  <c r="M206" i="4"/>
  <c r="M203" i="4"/>
  <c r="M38" i="4"/>
  <c r="M98" i="4"/>
  <c r="M97" i="4"/>
  <c r="M198" i="4"/>
  <c r="M278" i="4"/>
  <c r="M120" i="4"/>
  <c r="M402" i="4"/>
  <c r="M108" i="4"/>
  <c r="M68" i="4"/>
  <c r="M216" i="4"/>
  <c r="M47" i="4"/>
  <c r="M127" i="4"/>
  <c r="M214" i="4"/>
  <c r="M67" i="4"/>
  <c r="M293" i="4"/>
  <c r="M334" i="4"/>
  <c r="M333" i="4"/>
  <c r="M208" i="4"/>
  <c r="M66" i="4"/>
  <c r="M39" i="4"/>
  <c r="M269" i="4"/>
  <c r="M80" i="4"/>
  <c r="M257" i="4"/>
  <c r="M126" i="4"/>
  <c r="M251" i="4"/>
  <c r="M321" i="4"/>
  <c r="M36" i="4"/>
  <c r="M283" i="4"/>
  <c r="M438" i="4"/>
  <c r="M112" i="4"/>
  <c r="M111" i="4"/>
  <c r="M75" i="4"/>
  <c r="M146" i="4"/>
  <c r="M145" i="4"/>
  <c r="M143" i="4"/>
  <c r="M311" i="4"/>
  <c r="M310" i="4"/>
  <c r="M142" i="4"/>
  <c r="M400" i="4"/>
  <c r="M141" i="4"/>
  <c r="M140" i="4"/>
  <c r="M137" i="4"/>
  <c r="M136" i="4"/>
  <c r="M185" i="4"/>
  <c r="M182" i="4"/>
  <c r="M52" i="4"/>
  <c r="M119" i="4"/>
  <c r="M117" i="4"/>
  <c r="M29" i="4"/>
  <c r="M69" i="4"/>
  <c r="M90" i="4"/>
  <c r="M335" i="4"/>
  <c r="M88" i="4"/>
  <c r="M87" i="4"/>
  <c r="M85" i="4"/>
  <c r="M209" i="4"/>
  <c r="M42" i="4"/>
  <c r="M64" i="4"/>
  <c r="M202" i="4"/>
  <c r="M76" i="4"/>
  <c r="M37" i="4"/>
  <c r="M106" i="4"/>
  <c r="M34" i="4"/>
  <c r="M59" i="4"/>
  <c r="M55" i="4"/>
  <c r="M53" i="4"/>
  <c r="M95" i="4"/>
  <c r="M109" i="4"/>
  <c r="M17" i="4"/>
  <c r="M50" i="4"/>
  <c r="M54" i="4"/>
  <c r="M121" i="4"/>
  <c r="M168" i="4"/>
  <c r="M70" i="4"/>
  <c r="M163" i="4"/>
  <c r="M12" i="4"/>
  <c r="M10" i="4"/>
  <c r="M160" i="4"/>
  <c r="M7" i="4"/>
  <c r="M152" i="4"/>
  <c r="M28" i="4"/>
  <c r="M27" i="4"/>
  <c r="M26" i="4"/>
  <c r="M51" i="4"/>
  <c r="M74" i="4"/>
  <c r="M73" i="4"/>
  <c r="M72" i="4"/>
  <c r="M71" i="4"/>
  <c r="M22" i="4"/>
  <c r="M15" i="4"/>
  <c r="M166" i="4"/>
  <c r="M124" i="4"/>
  <c r="M21" i="4"/>
  <c r="M20" i="4"/>
  <c r="M18" i="4"/>
  <c r="M14" i="4"/>
  <c r="M23" i="4"/>
  <c r="M4" i="4"/>
  <c r="M3" i="4"/>
  <c r="M2" i="4"/>
  <c r="M5" i="4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64" i="3"/>
  <c r="H65" i="3"/>
  <c r="H66" i="3"/>
  <c r="H67" i="3"/>
  <c r="H68" i="3"/>
  <c r="H69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76" i="3"/>
  <c r="H183" i="3"/>
  <c r="H184" i="3"/>
  <c r="H185" i="3"/>
  <c r="H186" i="3"/>
  <c r="H77" i="3"/>
  <c r="H78" i="3"/>
  <c r="H187" i="3"/>
  <c r="H188" i="3"/>
  <c r="H79" i="3"/>
  <c r="H80" i="3"/>
  <c r="H70" i="3"/>
  <c r="H71" i="3"/>
  <c r="H81" i="3"/>
  <c r="H189" i="3"/>
  <c r="H190" i="3"/>
  <c r="H191" i="3"/>
  <c r="H82" i="3"/>
  <c r="H83" i="3"/>
  <c r="H84" i="3"/>
  <c r="H85" i="3"/>
  <c r="H2" i="3"/>
  <c r="H3" i="3"/>
  <c r="H4" i="3"/>
  <c r="H5" i="3"/>
  <c r="H6" i="3"/>
  <c r="H7" i="3"/>
  <c r="H8" i="3"/>
  <c r="H9" i="3"/>
  <c r="H86" i="3"/>
  <c r="H192" i="3"/>
  <c r="H193" i="3"/>
  <c r="H87" i="3"/>
  <c r="H194" i="3"/>
  <c r="H195" i="3"/>
  <c r="H88" i="3"/>
  <c r="H89" i="3"/>
  <c r="H90" i="3"/>
  <c r="H91" i="3"/>
  <c r="H92" i="3"/>
  <c r="H93" i="3"/>
  <c r="H94" i="3"/>
  <c r="H95" i="3"/>
  <c r="H196" i="3"/>
  <c r="H197" i="3"/>
  <c r="H198" i="3"/>
  <c r="H199" i="3"/>
  <c r="H200" i="3"/>
  <c r="H201" i="3"/>
  <c r="H202" i="3"/>
  <c r="H203" i="3"/>
  <c r="H204" i="3"/>
  <c r="H205" i="3"/>
  <c r="H206" i="3"/>
  <c r="H96" i="3"/>
  <c r="H97" i="3"/>
  <c r="H98" i="3"/>
  <c r="H99" i="3"/>
  <c r="H100" i="3"/>
  <c r="H207" i="3"/>
  <c r="H101" i="3"/>
  <c r="H208" i="3"/>
  <c r="H209" i="3"/>
  <c r="H210" i="3"/>
  <c r="H211" i="3"/>
  <c r="H212" i="3"/>
  <c r="H102" i="3"/>
  <c r="H213" i="3"/>
  <c r="H103" i="3"/>
  <c r="H104" i="3"/>
  <c r="H105" i="3"/>
  <c r="H214" i="3"/>
  <c r="H106" i="3"/>
  <c r="H107" i="3"/>
  <c r="H108" i="3"/>
  <c r="H109" i="3"/>
  <c r="H215" i="3"/>
  <c r="H110" i="3"/>
  <c r="H216" i="3"/>
  <c r="H217" i="3"/>
  <c r="H218" i="3"/>
  <c r="H219" i="3"/>
  <c r="H220" i="3"/>
  <c r="H221" i="3"/>
  <c r="H222" i="3"/>
  <c r="H111" i="3"/>
  <c r="H112" i="3"/>
  <c r="H223" i="3"/>
  <c r="H113" i="3"/>
  <c r="H114" i="3"/>
  <c r="H224" i="3"/>
  <c r="H115" i="3"/>
  <c r="H225" i="3"/>
  <c r="H116" i="3"/>
  <c r="H117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327" i="3"/>
  <c r="H328" i="3"/>
  <c r="H329" i="3"/>
  <c r="H330" i="3"/>
  <c r="H331" i="3"/>
  <c r="H332" i="3"/>
  <c r="H333" i="3"/>
  <c r="H334" i="3"/>
  <c r="H23" i="3"/>
  <c r="H24" i="3"/>
  <c r="H25" i="3"/>
  <c r="H26" i="3"/>
  <c r="H27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72" i="3"/>
  <c r="H73" i="3"/>
  <c r="H74" i="3"/>
  <c r="H75" i="3"/>
  <c r="H118" i="3"/>
  <c r="H226" i="3"/>
  <c r="H227" i="3"/>
  <c r="H228" i="3"/>
  <c r="H119" i="3"/>
  <c r="H120" i="3"/>
  <c r="H28" i="3"/>
  <c r="H229" i="3"/>
  <c r="H230" i="3"/>
  <c r="H231" i="3"/>
  <c r="H232" i="3"/>
  <c r="H121" i="3"/>
  <c r="H122" i="3"/>
  <c r="H123" i="3"/>
  <c r="H124" i="3"/>
  <c r="H125" i="3"/>
  <c r="H126" i="3"/>
  <c r="H233" i="3"/>
  <c r="H234" i="3"/>
  <c r="H127" i="3"/>
  <c r="H235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140" i="3"/>
  <c r="H259" i="3"/>
  <c r="H141" i="3"/>
  <c r="H260" i="3"/>
  <c r="H142" i="3"/>
  <c r="H261" i="3"/>
  <c r="H262" i="3"/>
  <c r="H263" i="3"/>
  <c r="H264" i="3"/>
  <c r="H265" i="3"/>
  <c r="H266" i="3"/>
  <c r="H267" i="3"/>
  <c r="H268" i="3"/>
  <c r="H269" i="3"/>
  <c r="H270" i="3"/>
  <c r="H271" i="3"/>
  <c r="H143" i="3"/>
  <c r="H144" i="3"/>
  <c r="H145" i="3"/>
  <c r="H146" i="3"/>
  <c r="H147" i="3"/>
  <c r="H148" i="3"/>
  <c r="H149" i="3"/>
  <c r="H150" i="3"/>
  <c r="H151" i="3"/>
  <c r="H152" i="3"/>
  <c r="H153" i="3"/>
  <c r="H272" i="3"/>
  <c r="H27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274" i="3"/>
  <c r="H166" i="3"/>
  <c r="H167" i="3"/>
  <c r="H168" i="3"/>
  <c r="H169" i="3"/>
  <c r="H170" i="3"/>
  <c r="H171" i="3"/>
  <c r="H172" i="3"/>
  <c r="H275" i="3"/>
  <c r="H276" i="3"/>
  <c r="H277" i="3"/>
  <c r="H278" i="3"/>
  <c r="H279" i="3"/>
  <c r="H173" i="3"/>
  <c r="H280" i="3"/>
  <c r="H281" i="3"/>
  <c r="H174" i="3"/>
  <c r="H282" i="3"/>
  <c r="H283" i="3"/>
  <c r="H175" i="3"/>
  <c r="H176" i="3"/>
  <c r="H177" i="3"/>
  <c r="H178" i="3"/>
  <c r="H179" i="3"/>
  <c r="H180" i="3"/>
  <c r="H181" i="3"/>
  <c r="H182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I522" i="3"/>
  <c r="I521" i="3"/>
  <c r="I520" i="3"/>
  <c r="I519" i="3"/>
  <c r="I518" i="3"/>
  <c r="I517" i="3"/>
  <c r="I516" i="3"/>
  <c r="I515" i="3"/>
  <c r="I514" i="3"/>
  <c r="I513" i="3"/>
  <c r="I512" i="3"/>
  <c r="I511" i="3"/>
  <c r="I510" i="3"/>
  <c r="I509" i="3"/>
  <c r="I508" i="3"/>
  <c r="I507" i="3"/>
  <c r="I506" i="3"/>
  <c r="I505" i="3"/>
  <c r="I504" i="3"/>
  <c r="I503" i="3"/>
  <c r="I502" i="3"/>
  <c r="I501" i="3"/>
  <c r="I500" i="3"/>
  <c r="I499" i="3"/>
  <c r="I498" i="3"/>
  <c r="I497" i="3"/>
  <c r="I496" i="3"/>
  <c r="I495" i="3"/>
  <c r="I494" i="3"/>
  <c r="I493" i="3"/>
  <c r="I492" i="3"/>
  <c r="I491" i="3"/>
  <c r="I490" i="3"/>
  <c r="I489" i="3"/>
  <c r="I488" i="3"/>
  <c r="I487" i="3"/>
  <c r="I486" i="3"/>
  <c r="I485" i="3"/>
  <c r="I484" i="3"/>
  <c r="I483" i="3"/>
  <c r="I482" i="3"/>
  <c r="I481" i="3"/>
  <c r="I480" i="3"/>
  <c r="I479" i="3"/>
  <c r="I478" i="3"/>
  <c r="I477" i="3"/>
  <c r="I476" i="3"/>
  <c r="I475" i="3"/>
  <c r="I474" i="3"/>
  <c r="I473" i="3"/>
  <c r="I472" i="3"/>
  <c r="I471" i="3"/>
  <c r="I470" i="3"/>
  <c r="I469" i="3"/>
  <c r="I468" i="3"/>
  <c r="I467" i="3"/>
  <c r="I466" i="3"/>
  <c r="I465" i="3"/>
  <c r="I464" i="3"/>
  <c r="I463" i="3"/>
  <c r="I462" i="3"/>
  <c r="I461" i="3"/>
  <c r="I460" i="3"/>
  <c r="I459" i="3"/>
  <c r="I458" i="3"/>
  <c r="I457" i="3"/>
  <c r="I456" i="3"/>
  <c r="I455" i="3"/>
  <c r="I454" i="3"/>
  <c r="I453" i="3"/>
  <c r="I452" i="3"/>
  <c r="I451" i="3"/>
  <c r="I450" i="3"/>
  <c r="I449" i="3"/>
  <c r="I448" i="3"/>
  <c r="I447" i="3"/>
  <c r="I446" i="3"/>
  <c r="I445" i="3"/>
  <c r="I444" i="3"/>
  <c r="I443" i="3"/>
  <c r="I442" i="3"/>
  <c r="I441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182" i="3"/>
  <c r="I181" i="3"/>
  <c r="I180" i="3"/>
  <c r="I179" i="3"/>
  <c r="I178" i="3"/>
  <c r="I177" i="3"/>
  <c r="I176" i="3"/>
  <c r="I175" i="3"/>
  <c r="I283" i="3"/>
  <c r="I282" i="3"/>
  <c r="I174" i="3"/>
  <c r="I281" i="3"/>
  <c r="I280" i="3"/>
  <c r="I173" i="3"/>
  <c r="I279" i="3"/>
  <c r="I278" i="3"/>
  <c r="I277" i="3"/>
  <c r="I276" i="3"/>
  <c r="I275" i="3"/>
  <c r="I172" i="3"/>
  <c r="I171" i="3"/>
  <c r="I170" i="3"/>
  <c r="I169" i="3"/>
  <c r="I168" i="3"/>
  <c r="I167" i="3"/>
  <c r="I166" i="3"/>
  <c r="I274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273" i="3"/>
  <c r="I272" i="3"/>
  <c r="I153" i="3"/>
  <c r="I152" i="3"/>
  <c r="I151" i="3"/>
  <c r="I150" i="3"/>
  <c r="I149" i="3"/>
  <c r="I148" i="3"/>
  <c r="I147" i="3"/>
  <c r="I146" i="3"/>
  <c r="I145" i="3"/>
  <c r="I144" i="3"/>
  <c r="I143" i="3"/>
  <c r="I271" i="3"/>
  <c r="I270" i="3"/>
  <c r="I269" i="3"/>
  <c r="I268" i="3"/>
  <c r="I267" i="3"/>
  <c r="I266" i="3"/>
  <c r="I265" i="3"/>
  <c r="I264" i="3"/>
  <c r="I263" i="3"/>
  <c r="I262" i="3"/>
  <c r="I261" i="3"/>
  <c r="I142" i="3"/>
  <c r="I260" i="3"/>
  <c r="I141" i="3"/>
  <c r="I259" i="3"/>
  <c r="I140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235" i="3"/>
  <c r="I127" i="3"/>
  <c r="I234" i="3"/>
  <c r="I233" i="3"/>
  <c r="I126" i="3"/>
  <c r="I125" i="3"/>
  <c r="I124" i="3"/>
  <c r="I123" i="3"/>
  <c r="I122" i="3"/>
  <c r="I121" i="3"/>
  <c r="I232" i="3"/>
  <c r="I231" i="3"/>
  <c r="I230" i="3"/>
  <c r="I229" i="3"/>
  <c r="I28" i="3"/>
  <c r="I120" i="3"/>
  <c r="I119" i="3"/>
  <c r="I228" i="3"/>
  <c r="I227" i="3"/>
  <c r="I226" i="3"/>
  <c r="I118" i="3"/>
  <c r="I75" i="3"/>
  <c r="I74" i="3"/>
  <c r="I73" i="3"/>
  <c r="I72" i="3"/>
  <c r="I440" i="3"/>
  <c r="I439" i="3"/>
  <c r="I438" i="3"/>
  <c r="I437" i="3"/>
  <c r="I436" i="3"/>
  <c r="I435" i="3"/>
  <c r="I434" i="3"/>
  <c r="I433" i="3"/>
  <c r="I432" i="3"/>
  <c r="I431" i="3"/>
  <c r="I430" i="3"/>
  <c r="I429" i="3"/>
  <c r="I428" i="3"/>
  <c r="I427" i="3"/>
  <c r="I426" i="3"/>
  <c r="I425" i="3"/>
  <c r="I424" i="3"/>
  <c r="I423" i="3"/>
  <c r="I422" i="3"/>
  <c r="I421" i="3"/>
  <c r="I420" i="3"/>
  <c r="I419" i="3"/>
  <c r="I418" i="3"/>
  <c r="I417" i="3"/>
  <c r="I416" i="3"/>
  <c r="I415" i="3"/>
  <c r="I414" i="3"/>
  <c r="I413" i="3"/>
  <c r="I412" i="3"/>
  <c r="I411" i="3"/>
  <c r="I410" i="3"/>
  <c r="I409" i="3"/>
  <c r="I408" i="3"/>
  <c r="I407" i="3"/>
  <c r="I406" i="3"/>
  <c r="I405" i="3"/>
  <c r="I404" i="3"/>
  <c r="I403" i="3"/>
  <c r="I402" i="3"/>
  <c r="I401" i="3"/>
  <c r="I400" i="3"/>
  <c r="I399" i="3"/>
  <c r="I398" i="3"/>
  <c r="I397" i="3"/>
  <c r="I396" i="3"/>
  <c r="I395" i="3"/>
  <c r="I394" i="3"/>
  <c r="I393" i="3"/>
  <c r="I392" i="3"/>
  <c r="I391" i="3"/>
  <c r="I390" i="3"/>
  <c r="I389" i="3"/>
  <c r="I388" i="3"/>
  <c r="I387" i="3"/>
  <c r="I386" i="3"/>
  <c r="I385" i="3"/>
  <c r="I384" i="3"/>
  <c r="I383" i="3"/>
  <c r="I382" i="3"/>
  <c r="I381" i="3"/>
  <c r="I380" i="3"/>
  <c r="I379" i="3"/>
  <c r="I378" i="3"/>
  <c r="I377" i="3"/>
  <c r="I376" i="3"/>
  <c r="I375" i="3"/>
  <c r="I374" i="3"/>
  <c r="I373" i="3"/>
  <c r="I372" i="3"/>
  <c r="I371" i="3"/>
  <c r="I370" i="3"/>
  <c r="I369" i="3"/>
  <c r="I368" i="3"/>
  <c r="I367" i="3"/>
  <c r="I366" i="3"/>
  <c r="I365" i="3"/>
  <c r="I364" i="3"/>
  <c r="I363" i="3"/>
  <c r="I362" i="3"/>
  <c r="I361" i="3"/>
  <c r="I360" i="3"/>
  <c r="I359" i="3"/>
  <c r="I358" i="3"/>
  <c r="I357" i="3"/>
  <c r="I356" i="3"/>
  <c r="I355" i="3"/>
  <c r="I354" i="3"/>
  <c r="I353" i="3"/>
  <c r="I352" i="3"/>
  <c r="I351" i="3"/>
  <c r="I350" i="3"/>
  <c r="I349" i="3"/>
  <c r="I348" i="3"/>
  <c r="I347" i="3"/>
  <c r="I346" i="3"/>
  <c r="I345" i="3"/>
  <c r="I344" i="3"/>
  <c r="I343" i="3"/>
  <c r="I342" i="3"/>
  <c r="I341" i="3"/>
  <c r="I340" i="3"/>
  <c r="I339" i="3"/>
  <c r="I338" i="3"/>
  <c r="I337" i="3"/>
  <c r="I336" i="3"/>
  <c r="I335" i="3"/>
  <c r="I27" i="3"/>
  <c r="I26" i="3"/>
  <c r="I25" i="3"/>
  <c r="I24" i="3"/>
  <c r="I23" i="3"/>
  <c r="I334" i="3"/>
  <c r="I333" i="3"/>
  <c r="I332" i="3"/>
  <c r="I331" i="3"/>
  <c r="I330" i="3"/>
  <c r="I329" i="3"/>
  <c r="I328" i="3"/>
  <c r="I327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117" i="3"/>
  <c r="I116" i="3"/>
  <c r="I225" i="3"/>
  <c r="I115" i="3"/>
  <c r="I224" i="3"/>
  <c r="I114" i="3"/>
  <c r="I113" i="3"/>
  <c r="I223" i="3"/>
  <c r="I112" i="3"/>
  <c r="I111" i="3"/>
  <c r="I222" i="3"/>
  <c r="I221" i="3"/>
  <c r="I220" i="3"/>
  <c r="I219" i="3"/>
  <c r="I218" i="3"/>
  <c r="I217" i="3"/>
  <c r="I216" i="3"/>
  <c r="I110" i="3"/>
  <c r="I215" i="3"/>
  <c r="I109" i="3"/>
  <c r="I108" i="3"/>
  <c r="I107" i="3"/>
  <c r="I106" i="3"/>
  <c r="I214" i="3"/>
  <c r="I105" i="3"/>
  <c r="I104" i="3"/>
  <c r="I103" i="3"/>
  <c r="I213" i="3"/>
  <c r="I102" i="3"/>
  <c r="I212" i="3"/>
  <c r="I211" i="3"/>
  <c r="I210" i="3"/>
  <c r="I209" i="3"/>
  <c r="I208" i="3"/>
  <c r="I101" i="3"/>
  <c r="I207" i="3"/>
  <c r="I100" i="3"/>
  <c r="I99" i="3"/>
  <c r="I98" i="3"/>
  <c r="I97" i="3"/>
  <c r="I96" i="3"/>
  <c r="I206" i="3"/>
  <c r="I205" i="3"/>
  <c r="I204" i="3"/>
  <c r="I203" i="3"/>
  <c r="I202" i="3"/>
  <c r="I201" i="3"/>
  <c r="I200" i="3"/>
  <c r="I199" i="3"/>
  <c r="I198" i="3"/>
  <c r="I197" i="3"/>
  <c r="I196" i="3"/>
  <c r="I95" i="3"/>
  <c r="I94" i="3"/>
  <c r="I93" i="3"/>
  <c r="I92" i="3"/>
  <c r="I91" i="3"/>
  <c r="I90" i="3"/>
  <c r="I89" i="3"/>
  <c r="I88" i="3"/>
  <c r="I195" i="3"/>
  <c r="I194" i="3"/>
  <c r="I87" i="3"/>
  <c r="I193" i="3"/>
  <c r="I192" i="3"/>
  <c r="I86" i="3"/>
  <c r="I9" i="3"/>
  <c r="I8" i="3"/>
  <c r="I7" i="3"/>
  <c r="I6" i="3"/>
  <c r="I5" i="3"/>
  <c r="I4" i="3"/>
  <c r="I3" i="3"/>
  <c r="I2" i="3"/>
  <c r="I85" i="3"/>
  <c r="I84" i="3"/>
  <c r="I83" i="3"/>
  <c r="I82" i="3"/>
  <c r="I191" i="3"/>
  <c r="I190" i="3"/>
  <c r="I189" i="3"/>
  <c r="I81" i="3"/>
  <c r="I71" i="3"/>
  <c r="I70" i="3"/>
  <c r="I80" i="3"/>
  <c r="I79" i="3"/>
  <c r="I188" i="3"/>
  <c r="I187" i="3"/>
  <c r="I78" i="3"/>
  <c r="I77" i="3"/>
  <c r="I186" i="3"/>
  <c r="I185" i="3"/>
  <c r="I184" i="3"/>
  <c r="I183" i="3"/>
  <c r="I76" i="3"/>
  <c r="I326" i="3"/>
  <c r="I325" i="3"/>
  <c r="I324" i="3"/>
  <c r="I323" i="3"/>
  <c r="I322" i="3"/>
  <c r="I321" i="3"/>
  <c r="I320" i="3"/>
  <c r="I319" i="3"/>
  <c r="I318" i="3"/>
  <c r="I317" i="3"/>
  <c r="I316" i="3"/>
  <c r="I315" i="3"/>
  <c r="I314" i="3"/>
  <c r="I313" i="3"/>
  <c r="I69" i="3"/>
  <c r="I68" i="3"/>
  <c r="I67" i="3"/>
  <c r="I66" i="3"/>
  <c r="I65" i="3"/>
  <c r="I64" i="3"/>
  <c r="I312" i="3"/>
  <c r="I311" i="3"/>
  <c r="I310" i="3"/>
  <c r="I309" i="3"/>
  <c r="I308" i="3"/>
  <c r="I307" i="3"/>
  <c r="I306" i="3"/>
  <c r="I305" i="3"/>
  <c r="I304" i="3"/>
  <c r="I303" i="3"/>
  <c r="I302" i="3"/>
  <c r="I301" i="3"/>
  <c r="I300" i="3"/>
  <c r="I299" i="3"/>
  <c r="I298" i="3"/>
  <c r="I297" i="3"/>
  <c r="I296" i="3"/>
  <c r="I295" i="3"/>
  <c r="I294" i="3"/>
  <c r="I293" i="3"/>
  <c r="I292" i="3"/>
  <c r="I291" i="3"/>
  <c r="I290" i="3"/>
  <c r="I289" i="3"/>
  <c r="I288" i="3"/>
  <c r="I287" i="3"/>
  <c r="I286" i="3"/>
  <c r="I285" i="3"/>
  <c r="I284" i="3"/>
  <c r="H38" i="1"/>
  <c r="H256" i="1"/>
  <c r="H255" i="1"/>
  <c r="H2" i="1"/>
  <c r="J2" i="1"/>
  <c r="H257" i="1"/>
  <c r="H253" i="1"/>
  <c r="H3" i="1"/>
  <c r="J3" i="1"/>
  <c r="H126" i="1"/>
  <c r="H258" i="1"/>
  <c r="H254" i="1"/>
  <c r="H4" i="1"/>
  <c r="J4" i="1"/>
  <c r="H141" i="1"/>
  <c r="H259" i="1"/>
  <c r="H252" i="1"/>
  <c r="H5" i="1"/>
  <c r="J5" i="1"/>
  <c r="H216" i="1"/>
  <c r="H260" i="1"/>
  <c r="H251" i="1"/>
  <c r="H6" i="1"/>
  <c r="J6" i="1"/>
  <c r="H71" i="1"/>
  <c r="H261" i="1"/>
  <c r="H249" i="1"/>
  <c r="H7" i="1"/>
  <c r="J7" i="1"/>
  <c r="H262" i="1"/>
  <c r="H250" i="1"/>
  <c r="H8" i="1"/>
  <c r="J8" i="1"/>
  <c r="H67" i="1"/>
  <c r="H263" i="1"/>
  <c r="H248" i="1"/>
  <c r="H9" i="1"/>
  <c r="J9" i="1"/>
  <c r="H264" i="1"/>
  <c r="H246" i="1"/>
  <c r="H10" i="1"/>
  <c r="J10" i="1"/>
  <c r="H265" i="1"/>
  <c r="H247" i="1"/>
  <c r="H11" i="1"/>
  <c r="J11" i="1"/>
  <c r="H266" i="1"/>
  <c r="H244" i="1"/>
  <c r="H12" i="1"/>
  <c r="J12" i="1"/>
  <c r="H267" i="1"/>
  <c r="H245" i="1"/>
  <c r="H13" i="1"/>
  <c r="J13" i="1"/>
  <c r="H268" i="1"/>
  <c r="H242" i="1"/>
  <c r="H14" i="1"/>
  <c r="J14" i="1"/>
  <c r="H269" i="1"/>
  <c r="H243" i="1"/>
  <c r="H15" i="1"/>
  <c r="J15" i="1"/>
  <c r="H144" i="1"/>
  <c r="H270" i="1"/>
  <c r="H240" i="1"/>
  <c r="H16" i="1"/>
  <c r="J16" i="1"/>
  <c r="H120" i="1"/>
  <c r="H271" i="1"/>
  <c r="H241" i="1"/>
  <c r="H17" i="1"/>
  <c r="J17" i="1"/>
  <c r="H272" i="1"/>
  <c r="H238" i="1"/>
  <c r="H18" i="1"/>
  <c r="J18" i="1"/>
  <c r="H23" i="1"/>
  <c r="H273" i="1"/>
  <c r="H239" i="1"/>
  <c r="H19" i="1"/>
  <c r="J19" i="1"/>
  <c r="H171" i="1"/>
  <c r="H274" i="1"/>
  <c r="H236" i="1"/>
  <c r="H20" i="1"/>
  <c r="J20" i="1"/>
  <c r="H150" i="1"/>
  <c r="H275" i="1"/>
  <c r="H237" i="1"/>
  <c r="H21" i="1"/>
  <c r="J21" i="1"/>
  <c r="H276" i="1"/>
  <c r="H235" i="1"/>
  <c r="H22" i="1"/>
  <c r="J22" i="1"/>
  <c r="H277" i="1"/>
  <c r="H233" i="1"/>
  <c r="J23" i="1"/>
  <c r="H278" i="1"/>
  <c r="H234" i="1"/>
  <c r="H24" i="1"/>
  <c r="J24" i="1"/>
  <c r="H279" i="1"/>
  <c r="H230" i="1"/>
  <c r="H25" i="1"/>
  <c r="J25" i="1"/>
  <c r="H280" i="1"/>
  <c r="H231" i="1"/>
  <c r="H26" i="1"/>
  <c r="J26" i="1"/>
  <c r="H281" i="1"/>
  <c r="H232" i="1"/>
  <c r="H27" i="1"/>
  <c r="J27" i="1"/>
  <c r="H166" i="1"/>
  <c r="H282" i="1"/>
  <c r="H229" i="1"/>
  <c r="H28" i="1"/>
  <c r="J28" i="1"/>
  <c r="H147" i="1"/>
  <c r="H283" i="1"/>
  <c r="H227" i="1"/>
  <c r="H29" i="1"/>
  <c r="J29" i="1"/>
  <c r="H162" i="1"/>
  <c r="H284" i="1"/>
  <c r="H228" i="1"/>
  <c r="H30" i="1"/>
  <c r="J30" i="1"/>
  <c r="H77" i="1"/>
  <c r="H285" i="1"/>
  <c r="H225" i="1"/>
  <c r="H31" i="1"/>
  <c r="J31" i="1"/>
  <c r="H121" i="1"/>
  <c r="H286" i="1"/>
  <c r="H226" i="1"/>
  <c r="H32" i="1"/>
  <c r="J32" i="1"/>
  <c r="H287" i="1"/>
  <c r="H222" i="1"/>
  <c r="H33" i="1"/>
  <c r="J33" i="1"/>
  <c r="H210" i="1"/>
  <c r="H288" i="1"/>
  <c r="H223" i="1"/>
  <c r="H34" i="1"/>
  <c r="J34" i="1"/>
  <c r="H148" i="1"/>
  <c r="H289" i="1"/>
  <c r="H224" i="1"/>
  <c r="H35" i="1"/>
  <c r="J35" i="1"/>
  <c r="H290" i="1"/>
  <c r="H219" i="1"/>
  <c r="H36" i="1"/>
  <c r="J36" i="1"/>
  <c r="H167" i="1"/>
  <c r="H291" i="1"/>
  <c r="H220" i="1"/>
  <c r="H37" i="1"/>
  <c r="J37" i="1"/>
  <c r="H41" i="1"/>
  <c r="H292" i="1"/>
  <c r="H221" i="1"/>
  <c r="J38" i="1"/>
  <c r="H293" i="1"/>
  <c r="H39" i="1"/>
  <c r="J39" i="1"/>
  <c r="H294" i="1"/>
  <c r="H217" i="1"/>
  <c r="H40" i="1"/>
  <c r="J40" i="1"/>
  <c r="H295" i="1"/>
  <c r="H218" i="1"/>
  <c r="J41" i="1"/>
  <c r="H159" i="1"/>
  <c r="H296" i="1"/>
  <c r="H215" i="1"/>
  <c r="H42" i="1"/>
  <c r="J42" i="1"/>
  <c r="H297" i="1"/>
  <c r="H212" i="1"/>
  <c r="H43" i="1"/>
  <c r="J43" i="1"/>
  <c r="H298" i="1"/>
  <c r="H213" i="1"/>
  <c r="H44" i="1"/>
  <c r="J44" i="1"/>
  <c r="H299" i="1"/>
  <c r="H214" i="1"/>
  <c r="H45" i="1"/>
  <c r="J45" i="1"/>
  <c r="H54" i="1"/>
  <c r="H300" i="1"/>
  <c r="H46" i="1"/>
  <c r="J46" i="1"/>
  <c r="H84" i="1"/>
  <c r="H301" i="1"/>
  <c r="H211" i="1"/>
  <c r="H47" i="1"/>
  <c r="J47" i="1"/>
  <c r="H192" i="1"/>
  <c r="H302" i="1"/>
  <c r="H206" i="1"/>
  <c r="H48" i="1"/>
  <c r="J48" i="1"/>
  <c r="H303" i="1"/>
  <c r="H207" i="1"/>
  <c r="H49" i="1"/>
  <c r="J49" i="1"/>
  <c r="H304" i="1"/>
  <c r="H208" i="1"/>
  <c r="H50" i="1"/>
  <c r="J50" i="1"/>
  <c r="H305" i="1"/>
  <c r="H209" i="1"/>
  <c r="H51" i="1"/>
  <c r="J51" i="1"/>
  <c r="H306" i="1"/>
  <c r="H202" i="1"/>
  <c r="H52" i="1"/>
  <c r="J52" i="1"/>
  <c r="H176" i="1"/>
  <c r="H307" i="1"/>
  <c r="H203" i="1"/>
  <c r="H53" i="1"/>
  <c r="J53" i="1"/>
  <c r="H157" i="1"/>
  <c r="H308" i="1"/>
  <c r="H204" i="1"/>
  <c r="J54" i="1"/>
  <c r="H309" i="1"/>
  <c r="H205" i="1"/>
  <c r="H55" i="1"/>
  <c r="J55" i="1"/>
  <c r="H310" i="1"/>
  <c r="H200" i="1"/>
  <c r="H56" i="1"/>
  <c r="J56" i="1"/>
  <c r="H311" i="1"/>
  <c r="H201" i="1"/>
  <c r="H57" i="1"/>
  <c r="J57" i="1"/>
  <c r="H312" i="1"/>
  <c r="H198" i="1"/>
  <c r="H58" i="1"/>
  <c r="J58" i="1"/>
  <c r="H165" i="1"/>
  <c r="H313" i="1"/>
  <c r="H199" i="1"/>
  <c r="H59" i="1"/>
  <c r="J59" i="1"/>
  <c r="H169" i="1"/>
  <c r="H314" i="1"/>
  <c r="H196" i="1"/>
  <c r="H60" i="1"/>
  <c r="J60" i="1"/>
  <c r="H83" i="1"/>
  <c r="H315" i="1"/>
  <c r="H197" i="1"/>
  <c r="H61" i="1"/>
  <c r="J61" i="1"/>
  <c r="H92" i="1"/>
  <c r="H316" i="1"/>
  <c r="H62" i="1"/>
  <c r="J62" i="1"/>
  <c r="H111" i="1"/>
  <c r="H317" i="1"/>
  <c r="H193" i="1"/>
  <c r="H63" i="1"/>
  <c r="J63" i="1"/>
  <c r="H318" i="1"/>
  <c r="H194" i="1"/>
  <c r="H64" i="1"/>
  <c r="J64" i="1"/>
  <c r="H319" i="1"/>
  <c r="H195" i="1"/>
  <c r="H65" i="1"/>
  <c r="J65" i="1"/>
  <c r="H320" i="1"/>
  <c r="H188" i="1"/>
  <c r="H66" i="1"/>
  <c r="J66" i="1"/>
  <c r="H321" i="1"/>
  <c r="H189" i="1"/>
  <c r="J67" i="1"/>
  <c r="H322" i="1"/>
  <c r="H190" i="1"/>
  <c r="H68" i="1"/>
  <c r="J68" i="1"/>
  <c r="H323" i="1"/>
  <c r="H191" i="1"/>
  <c r="H69" i="1"/>
  <c r="J69" i="1"/>
  <c r="H324" i="1"/>
  <c r="H187" i="1"/>
  <c r="H70" i="1"/>
  <c r="J70" i="1"/>
  <c r="H325" i="1"/>
  <c r="H185" i="1"/>
  <c r="J71" i="1"/>
  <c r="H326" i="1"/>
  <c r="H186" i="1"/>
  <c r="H72" i="1"/>
  <c r="J72" i="1"/>
  <c r="H327" i="1"/>
  <c r="H182" i="1"/>
  <c r="H73" i="1"/>
  <c r="J73" i="1"/>
  <c r="H328" i="1"/>
  <c r="H183" i="1"/>
  <c r="H74" i="1"/>
  <c r="J74" i="1"/>
  <c r="H329" i="1"/>
  <c r="H184" i="1"/>
  <c r="H75" i="1"/>
  <c r="J75" i="1"/>
  <c r="H330" i="1"/>
  <c r="H76" i="1"/>
  <c r="J76" i="1"/>
  <c r="H331" i="1"/>
  <c r="H177" i="1"/>
  <c r="J77" i="1"/>
  <c r="H332" i="1"/>
  <c r="H178" i="1"/>
  <c r="H78" i="1"/>
  <c r="J78" i="1"/>
  <c r="H333" i="1"/>
  <c r="H179" i="1"/>
  <c r="H79" i="1"/>
  <c r="J79" i="1"/>
  <c r="H149" i="1"/>
  <c r="H334" i="1"/>
  <c r="H180" i="1"/>
  <c r="H80" i="1"/>
  <c r="J80" i="1"/>
  <c r="H117" i="1"/>
  <c r="H335" i="1"/>
  <c r="H181" i="1"/>
  <c r="H81" i="1"/>
  <c r="J81" i="1"/>
  <c r="H336" i="1"/>
  <c r="H173" i="1"/>
  <c r="H82" i="1"/>
  <c r="J82" i="1"/>
  <c r="H90" i="1"/>
  <c r="H337" i="1"/>
  <c r="H174" i="1"/>
  <c r="J83" i="1"/>
  <c r="H338" i="1"/>
  <c r="H175" i="1"/>
  <c r="J84" i="1"/>
  <c r="H339" i="1"/>
  <c r="H85" i="1"/>
  <c r="J85" i="1"/>
  <c r="H340" i="1"/>
  <c r="H172" i="1"/>
  <c r="H86" i="1"/>
  <c r="J86" i="1"/>
  <c r="H341" i="1"/>
  <c r="H87" i="1"/>
  <c r="J87" i="1"/>
  <c r="H342" i="1"/>
  <c r="H170" i="1"/>
  <c r="H88" i="1"/>
  <c r="J88" i="1"/>
  <c r="H343" i="1"/>
  <c r="H89" i="1"/>
  <c r="J89" i="1"/>
  <c r="H91" i="1"/>
  <c r="H344" i="1"/>
  <c r="J90" i="1"/>
  <c r="H345" i="1"/>
  <c r="H168" i="1"/>
  <c r="J91" i="1"/>
  <c r="H346" i="1"/>
  <c r="J92" i="1"/>
  <c r="H347" i="1"/>
  <c r="H164" i="1"/>
  <c r="H93" i="1"/>
  <c r="J93" i="1"/>
  <c r="H348" i="1"/>
  <c r="H94" i="1"/>
  <c r="J94" i="1"/>
  <c r="H349" i="1"/>
  <c r="H163" i="1"/>
  <c r="H95" i="1"/>
  <c r="J95" i="1"/>
  <c r="H350" i="1"/>
  <c r="H96" i="1"/>
  <c r="J96" i="1"/>
  <c r="H351" i="1"/>
  <c r="H160" i="1"/>
  <c r="H97" i="1"/>
  <c r="J97" i="1"/>
  <c r="H352" i="1"/>
  <c r="H161" i="1"/>
  <c r="H98" i="1"/>
  <c r="J98" i="1"/>
  <c r="H125" i="1"/>
  <c r="H353" i="1"/>
  <c r="H99" i="1"/>
  <c r="J99" i="1"/>
  <c r="H354" i="1"/>
  <c r="H158" i="1"/>
  <c r="H100" i="1"/>
  <c r="J100" i="1"/>
  <c r="H355" i="1"/>
  <c r="H155" i="1"/>
  <c r="H101" i="1"/>
  <c r="J101" i="1"/>
  <c r="H356" i="1"/>
  <c r="H156" i="1"/>
  <c r="H102" i="1"/>
  <c r="J102" i="1"/>
  <c r="H357" i="1"/>
  <c r="H153" i="1"/>
  <c r="H103" i="1"/>
  <c r="J103" i="1"/>
  <c r="H131" i="1"/>
  <c r="H358" i="1"/>
  <c r="H154" i="1"/>
  <c r="H104" i="1"/>
  <c r="J104" i="1"/>
  <c r="H359" i="1"/>
  <c r="H105" i="1"/>
  <c r="J105" i="1"/>
  <c r="H136" i="1"/>
  <c r="H360" i="1"/>
  <c r="H151" i="1"/>
  <c r="H106" i="1"/>
  <c r="J106" i="1"/>
  <c r="H109" i="1"/>
  <c r="H361" i="1"/>
  <c r="H152" i="1"/>
  <c r="H107" i="1"/>
  <c r="J107" i="1"/>
  <c r="H362" i="1"/>
  <c r="H108" i="1"/>
  <c r="J108" i="1"/>
  <c r="H363" i="1"/>
  <c r="J109" i="1"/>
  <c r="H364" i="1"/>
  <c r="H110" i="1"/>
  <c r="J110" i="1"/>
  <c r="H365" i="1"/>
  <c r="H146" i="1"/>
  <c r="J111" i="1"/>
  <c r="H133" i="1"/>
  <c r="H366" i="1"/>
  <c r="H112" i="1"/>
  <c r="J112" i="1"/>
  <c r="H367" i="1"/>
  <c r="H145" i="1"/>
  <c r="H113" i="1"/>
  <c r="J113" i="1"/>
  <c r="H368" i="1"/>
  <c r="H143" i="1"/>
  <c r="H114" i="1"/>
  <c r="J114" i="1"/>
  <c r="H369" i="1"/>
  <c r="H142" i="1"/>
  <c r="H115" i="1"/>
  <c r="J115" i="1"/>
  <c r="H370" i="1"/>
  <c r="H116" i="1"/>
  <c r="J116" i="1"/>
  <c r="H371" i="1"/>
  <c r="H139" i="1"/>
  <c r="J117" i="1"/>
  <c r="H372" i="1"/>
  <c r="H140" i="1"/>
  <c r="H118" i="1"/>
  <c r="J118" i="1"/>
  <c r="H373" i="1"/>
  <c r="H119" i="1"/>
  <c r="J119" i="1"/>
  <c r="H374" i="1"/>
  <c r="H137" i="1"/>
  <c r="J120" i="1"/>
  <c r="H375" i="1"/>
  <c r="H138" i="1"/>
  <c r="J121" i="1"/>
  <c r="H376" i="1"/>
  <c r="H135" i="1"/>
  <c r="H122" i="1"/>
  <c r="J122" i="1"/>
  <c r="H377" i="1"/>
  <c r="H123" i="1"/>
  <c r="J123" i="1"/>
  <c r="H378" i="1"/>
  <c r="H134" i="1"/>
  <c r="H124" i="1"/>
  <c r="J124" i="1"/>
  <c r="H379" i="1"/>
  <c r="H132" i="1"/>
  <c r="J125" i="1"/>
  <c r="H129" i="1"/>
  <c r="H380" i="1"/>
  <c r="J126" i="1"/>
  <c r="H381" i="1"/>
  <c r="H127" i="1"/>
  <c r="J127" i="1"/>
  <c r="H382" i="1"/>
  <c r="H130" i="1"/>
  <c r="H128" i="1"/>
  <c r="J128" i="1"/>
  <c r="H383" i="1"/>
  <c r="J129" i="1"/>
  <c r="H384" i="1"/>
  <c r="J130" i="1"/>
  <c r="H385" i="1"/>
  <c r="J131" i="1"/>
  <c r="H386" i="1"/>
  <c r="J132" i="1"/>
  <c r="H387" i="1"/>
  <c r="J133" i="1"/>
  <c r="H388" i="1"/>
  <c r="J134" i="1"/>
  <c r="H389" i="1"/>
  <c r="J135" i="1"/>
  <c r="H390" i="1"/>
  <c r="J136" i="1"/>
  <c r="H391" i="1"/>
  <c r="J137" i="1"/>
  <c r="H392" i="1"/>
  <c r="J138" i="1"/>
  <c r="H393" i="1"/>
  <c r="J139" i="1"/>
  <c r="H394" i="1"/>
  <c r="J140" i="1"/>
  <c r="H395" i="1"/>
  <c r="J141" i="1"/>
  <c r="H396" i="1"/>
  <c r="J142" i="1"/>
  <c r="H397" i="1"/>
  <c r="J143" i="1"/>
  <c r="H398" i="1"/>
  <c r="J144" i="1"/>
  <c r="H399" i="1"/>
  <c r="J145" i="1"/>
  <c r="H400" i="1"/>
  <c r="J146" i="1"/>
  <c r="H401" i="1"/>
  <c r="J147" i="1"/>
  <c r="H402" i="1"/>
  <c r="J148" i="1"/>
  <c r="H403" i="1"/>
  <c r="J149" i="1"/>
  <c r="H404" i="1"/>
  <c r="J150" i="1"/>
  <c r="H405" i="1"/>
  <c r="J151" i="1"/>
  <c r="H406" i="1"/>
  <c r="J152" i="1"/>
  <c r="H407" i="1"/>
  <c r="J153" i="1"/>
  <c r="H408" i="1"/>
  <c r="J154" i="1"/>
  <c r="H409" i="1"/>
  <c r="J155" i="1"/>
  <c r="H410" i="1"/>
  <c r="J156" i="1"/>
  <c r="H411" i="1"/>
  <c r="J157" i="1"/>
  <c r="H412" i="1"/>
  <c r="J158" i="1"/>
  <c r="H413" i="1"/>
  <c r="J159" i="1"/>
  <c r="H414" i="1"/>
  <c r="J160" i="1"/>
  <c r="H415" i="1"/>
  <c r="J161" i="1"/>
  <c r="H416" i="1"/>
  <c r="J162" i="1"/>
  <c r="H417" i="1"/>
  <c r="J163" i="1"/>
  <c r="H418" i="1"/>
  <c r="J164" i="1"/>
  <c r="H419" i="1"/>
  <c r="J165" i="1"/>
  <c r="H420" i="1"/>
  <c r="J166" i="1"/>
  <c r="H421" i="1"/>
  <c r="J167" i="1"/>
  <c r="H422" i="1"/>
  <c r="J168" i="1"/>
  <c r="H423" i="1"/>
  <c r="J169" i="1"/>
  <c r="H424" i="1"/>
  <c r="J170" i="1"/>
  <c r="H425" i="1"/>
  <c r="J171" i="1"/>
  <c r="H426" i="1"/>
  <c r="J172" i="1"/>
  <c r="H427" i="1"/>
  <c r="J173" i="1"/>
  <c r="H428" i="1"/>
  <c r="J174" i="1"/>
  <c r="H429" i="1"/>
  <c r="J175" i="1"/>
  <c r="H430" i="1"/>
  <c r="J176" i="1"/>
  <c r="H431" i="1"/>
  <c r="J177" i="1"/>
  <c r="H432" i="1"/>
  <c r="J178" i="1"/>
  <c r="H433" i="1"/>
  <c r="J179" i="1"/>
  <c r="H434" i="1"/>
  <c r="J180" i="1"/>
  <c r="H435" i="1"/>
  <c r="J181" i="1"/>
  <c r="H436" i="1"/>
  <c r="J182" i="1"/>
  <c r="H437" i="1"/>
  <c r="J183" i="1"/>
  <c r="H438" i="1"/>
  <c r="J184" i="1"/>
  <c r="H439" i="1"/>
  <c r="J185" i="1"/>
  <c r="H440" i="1"/>
  <c r="J186" i="1"/>
  <c r="H441" i="1"/>
  <c r="J187" i="1"/>
  <c r="H442" i="1"/>
  <c r="J188" i="1"/>
  <c r="H443" i="1"/>
  <c r="J189" i="1"/>
  <c r="H444" i="1"/>
  <c r="J190" i="1"/>
  <c r="H445" i="1"/>
  <c r="J191" i="1"/>
  <c r="H446" i="1"/>
  <c r="J192" i="1"/>
  <c r="H447" i="1"/>
  <c r="J193" i="1"/>
  <c r="H448" i="1"/>
  <c r="J194" i="1"/>
  <c r="H449" i="1"/>
  <c r="J195" i="1"/>
  <c r="H450" i="1"/>
  <c r="J196" i="1"/>
  <c r="H451" i="1"/>
  <c r="J197" i="1"/>
  <c r="H452" i="1"/>
  <c r="J198" i="1"/>
  <c r="H453" i="1"/>
  <c r="J199" i="1"/>
  <c r="H454" i="1"/>
  <c r="J200" i="1"/>
  <c r="H455" i="1"/>
  <c r="J201" i="1"/>
  <c r="H456" i="1"/>
  <c r="J202" i="1"/>
  <c r="H457" i="1"/>
  <c r="J203" i="1"/>
  <c r="H458" i="1"/>
  <c r="J204" i="1"/>
  <c r="H459" i="1"/>
  <c r="J205" i="1"/>
  <c r="H460" i="1"/>
  <c r="J206" i="1"/>
  <c r="H461" i="1"/>
  <c r="J207" i="1"/>
  <c r="H462" i="1"/>
  <c r="J208" i="1"/>
  <c r="H463" i="1"/>
  <c r="J209" i="1"/>
  <c r="H464" i="1"/>
  <c r="J210" i="1"/>
  <c r="H465" i="1"/>
  <c r="J211" i="1"/>
  <c r="H466" i="1"/>
  <c r="J212" i="1"/>
  <c r="H467" i="1"/>
  <c r="J213" i="1"/>
  <c r="H468" i="1"/>
  <c r="J214" i="1"/>
  <c r="H469" i="1"/>
  <c r="J215" i="1"/>
  <c r="H470" i="1"/>
  <c r="J216" i="1"/>
  <c r="H471" i="1"/>
  <c r="J217" i="1"/>
  <c r="H472" i="1"/>
  <c r="J218" i="1"/>
  <c r="H473" i="1"/>
  <c r="J219" i="1"/>
  <c r="H474" i="1"/>
  <c r="J220" i="1"/>
  <c r="H475" i="1"/>
  <c r="J221" i="1"/>
  <c r="H476" i="1"/>
  <c r="J222" i="1"/>
  <c r="H477" i="1"/>
  <c r="J223" i="1"/>
  <c r="H478" i="1"/>
  <c r="J224" i="1"/>
  <c r="H479" i="1"/>
  <c r="J225" i="1"/>
  <c r="H480" i="1"/>
  <c r="J226" i="1"/>
  <c r="H481" i="1"/>
  <c r="J227" i="1"/>
  <c r="H482" i="1"/>
  <c r="J228" i="1"/>
  <c r="H483" i="1"/>
  <c r="J229" i="1"/>
  <c r="H484" i="1"/>
  <c r="J230" i="1"/>
  <c r="H485" i="1"/>
  <c r="J231" i="1"/>
  <c r="H486" i="1"/>
  <c r="J232" i="1"/>
  <c r="H487" i="1"/>
  <c r="J233" i="1"/>
  <c r="H488" i="1"/>
  <c r="J234" i="1"/>
  <c r="H489" i="1"/>
  <c r="J235" i="1"/>
  <c r="H490" i="1"/>
  <c r="J236" i="1"/>
  <c r="H491" i="1"/>
  <c r="J237" i="1"/>
  <c r="H492" i="1"/>
  <c r="J238" i="1"/>
  <c r="H493" i="1"/>
  <c r="J239" i="1"/>
  <c r="H494" i="1"/>
  <c r="J240" i="1"/>
  <c r="H495" i="1"/>
  <c r="J241" i="1"/>
  <c r="H496" i="1"/>
  <c r="J242" i="1"/>
  <c r="H497" i="1"/>
  <c r="J243" i="1"/>
  <c r="H498" i="1"/>
  <c r="J244" i="1"/>
  <c r="H499" i="1"/>
  <c r="J245" i="1"/>
  <c r="H500" i="1"/>
  <c r="J246" i="1"/>
  <c r="H501" i="1"/>
  <c r="J247" i="1"/>
  <c r="H502" i="1"/>
  <c r="J248" i="1"/>
  <c r="H503" i="1"/>
  <c r="J249" i="1"/>
  <c r="H504" i="1"/>
  <c r="J250" i="1"/>
  <c r="H505" i="1"/>
  <c r="J251" i="1"/>
  <c r="H506" i="1"/>
  <c r="J252" i="1"/>
  <c r="H507" i="1"/>
  <c r="J253" i="1"/>
  <c r="H508" i="1"/>
  <c r="J254" i="1"/>
  <c r="H509" i="1"/>
  <c r="J255" i="1"/>
  <c r="H510" i="1"/>
  <c r="J256" i="1"/>
  <c r="H511" i="1"/>
  <c r="J257" i="1"/>
  <c r="H512" i="1"/>
  <c r="J258" i="1"/>
  <c r="H513" i="1"/>
  <c r="J259" i="1"/>
  <c r="H514" i="1"/>
  <c r="J260" i="1"/>
  <c r="H515" i="1"/>
  <c r="J261" i="1"/>
  <c r="H516" i="1"/>
  <c r="J262" i="1"/>
  <c r="H517" i="1"/>
  <c r="J263" i="1"/>
  <c r="H518" i="1"/>
  <c r="J264" i="1"/>
  <c r="H519" i="1"/>
  <c r="J265" i="1"/>
  <c r="H520" i="1"/>
  <c r="J266" i="1"/>
  <c r="H521" i="1"/>
  <c r="J267" i="1"/>
  <c r="H522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2" i="1"/>
  <c r="L261" i="1"/>
  <c r="L263" i="1"/>
  <c r="L296" i="1"/>
  <c r="L230" i="1"/>
  <c r="L497" i="1"/>
  <c r="L29" i="1"/>
  <c r="L2" i="1"/>
  <c r="L522" i="1"/>
  <c r="L268" i="1"/>
  <c r="L3" i="1"/>
  <c r="L521" i="1"/>
  <c r="L458" i="1"/>
  <c r="L69" i="1"/>
  <c r="L336" i="1"/>
  <c r="L191" i="1"/>
  <c r="L4" i="1"/>
  <c r="L520" i="1"/>
  <c r="L391" i="1"/>
  <c r="L133" i="1"/>
  <c r="L400" i="1"/>
  <c r="L124" i="1"/>
  <c r="L5" i="1"/>
  <c r="L519" i="1"/>
  <c r="L267" i="1"/>
  <c r="L6" i="1"/>
  <c r="L518" i="1"/>
  <c r="L266" i="1"/>
  <c r="L7" i="1"/>
  <c r="L517" i="1"/>
  <c r="L272" i="1"/>
  <c r="L252" i="1"/>
  <c r="L8" i="1"/>
  <c r="L516" i="1"/>
  <c r="L265" i="1"/>
  <c r="L9" i="1"/>
  <c r="L515" i="1"/>
  <c r="L390" i="1"/>
  <c r="L137" i="1"/>
  <c r="L404" i="1"/>
  <c r="L123" i="1"/>
  <c r="L10" i="1"/>
  <c r="L514" i="1"/>
  <c r="L377" i="1"/>
  <c r="L148" i="1"/>
  <c r="L415" i="1"/>
  <c r="L110" i="1"/>
  <c r="L11" i="1"/>
  <c r="L513" i="1"/>
  <c r="L276" i="1"/>
  <c r="L248" i="1"/>
  <c r="L12" i="1"/>
  <c r="L512" i="1"/>
  <c r="L356" i="1"/>
  <c r="L170" i="1"/>
  <c r="L437" i="1"/>
  <c r="L89" i="1"/>
  <c r="L13" i="1"/>
  <c r="L511" i="1"/>
  <c r="L264" i="1"/>
  <c r="L14" i="1"/>
  <c r="L510" i="1"/>
  <c r="L15" i="1"/>
  <c r="L509" i="1"/>
  <c r="L280" i="1"/>
  <c r="L245" i="1"/>
  <c r="L16" i="1"/>
  <c r="L508" i="1"/>
  <c r="L405" i="1"/>
  <c r="L121" i="1"/>
  <c r="L388" i="1"/>
  <c r="L138" i="1"/>
  <c r="L17" i="1"/>
  <c r="L507" i="1"/>
  <c r="L262" i="1"/>
  <c r="L18" i="1"/>
  <c r="L506" i="1"/>
  <c r="L19" i="1"/>
  <c r="L505" i="1"/>
  <c r="L282" i="1"/>
  <c r="L243" i="1"/>
  <c r="L20" i="1"/>
  <c r="L504" i="1"/>
  <c r="L260" i="1"/>
  <c r="L21" i="1"/>
  <c r="L503" i="1"/>
  <c r="L259" i="1"/>
  <c r="L22" i="1"/>
  <c r="L502" i="1"/>
  <c r="L448" i="1"/>
  <c r="L81" i="1"/>
  <c r="L348" i="1"/>
  <c r="L181" i="1"/>
  <c r="L23" i="1"/>
  <c r="L501" i="1"/>
  <c r="L258" i="1"/>
  <c r="L24" i="1"/>
  <c r="L500" i="1"/>
  <c r="L257" i="1"/>
  <c r="L25" i="1"/>
  <c r="L499" i="1"/>
  <c r="L256" i="1"/>
  <c r="L26" i="1"/>
  <c r="L498" i="1"/>
  <c r="L255" i="1"/>
  <c r="L27" i="1"/>
  <c r="L254" i="1"/>
  <c r="L28" i="1"/>
  <c r="L496" i="1"/>
  <c r="L253" i="1"/>
  <c r="L495" i="1"/>
  <c r="L30" i="1"/>
  <c r="L494" i="1"/>
  <c r="L251" i="1"/>
  <c r="L31" i="1"/>
  <c r="L493" i="1"/>
  <c r="L339" i="1"/>
  <c r="L185" i="1"/>
  <c r="L452" i="1"/>
  <c r="L72" i="1"/>
  <c r="L32" i="1"/>
  <c r="L492" i="1"/>
  <c r="L250" i="1"/>
  <c r="L33" i="1"/>
  <c r="L491" i="1"/>
  <c r="L310" i="1"/>
  <c r="L214" i="1"/>
  <c r="L481" i="1"/>
  <c r="L43" i="1"/>
  <c r="L34" i="1"/>
  <c r="L490" i="1"/>
  <c r="L45" i="1"/>
  <c r="L312" i="1"/>
  <c r="L35" i="1"/>
  <c r="L489" i="1"/>
  <c r="L249" i="1"/>
  <c r="L36" i="1"/>
  <c r="L488" i="1"/>
  <c r="L302" i="1"/>
  <c r="L224" i="1"/>
  <c r="L37" i="1"/>
  <c r="L487" i="1"/>
  <c r="L38" i="1"/>
  <c r="L486" i="1"/>
  <c r="L247" i="1"/>
  <c r="L39" i="1"/>
  <c r="L485" i="1"/>
  <c r="L375" i="1"/>
  <c r="L149" i="1"/>
  <c r="L416" i="1"/>
  <c r="L108" i="1"/>
  <c r="L40" i="1"/>
  <c r="L484" i="1"/>
  <c r="L399" i="1"/>
  <c r="L125" i="1"/>
  <c r="L392" i="1"/>
  <c r="L132" i="1"/>
  <c r="L41" i="1"/>
  <c r="L483" i="1"/>
  <c r="L246" i="1"/>
  <c r="L42" i="1"/>
  <c r="L482" i="1"/>
  <c r="L381" i="1"/>
  <c r="L143" i="1"/>
  <c r="L410" i="1"/>
  <c r="L114" i="1"/>
  <c r="L325" i="1"/>
  <c r="L199" i="1"/>
  <c r="L466" i="1"/>
  <c r="L58" i="1"/>
  <c r="L44" i="1"/>
  <c r="L480" i="1"/>
  <c r="L479" i="1"/>
  <c r="L277" i="1"/>
  <c r="L46" i="1"/>
  <c r="L478" i="1"/>
  <c r="L389" i="1"/>
  <c r="L136" i="1"/>
  <c r="L403" i="1"/>
  <c r="L122" i="1"/>
  <c r="L47" i="1"/>
  <c r="L477" i="1"/>
  <c r="L244" i="1"/>
  <c r="L48" i="1"/>
  <c r="L476" i="1"/>
  <c r="L49" i="1"/>
  <c r="L475" i="1"/>
  <c r="L242" i="1"/>
  <c r="L50" i="1"/>
  <c r="L474" i="1"/>
  <c r="L241" i="1"/>
  <c r="L51" i="1"/>
  <c r="L473" i="1"/>
  <c r="L297" i="1"/>
  <c r="L228" i="1"/>
  <c r="L52" i="1"/>
  <c r="L472" i="1"/>
  <c r="L330" i="1"/>
  <c r="L194" i="1"/>
  <c r="L461" i="1"/>
  <c r="L63" i="1"/>
  <c r="L53" i="1"/>
  <c r="L471" i="1"/>
  <c r="L240" i="1"/>
  <c r="L54" i="1"/>
  <c r="L470" i="1"/>
  <c r="L309" i="1"/>
  <c r="L215" i="1"/>
  <c r="L55" i="1"/>
  <c r="L469" i="1"/>
  <c r="L239" i="1"/>
  <c r="L56" i="1"/>
  <c r="L468" i="1"/>
  <c r="L306" i="1"/>
  <c r="L219" i="1"/>
  <c r="L57" i="1"/>
  <c r="L467" i="1"/>
  <c r="L238" i="1"/>
  <c r="L457" i="1"/>
  <c r="L68" i="1"/>
  <c r="L335" i="1"/>
  <c r="L190" i="1"/>
  <c r="L59" i="1"/>
  <c r="L465" i="1"/>
  <c r="L237" i="1"/>
  <c r="L60" i="1"/>
  <c r="L464" i="1"/>
  <c r="L236" i="1"/>
  <c r="L61" i="1"/>
  <c r="L463" i="1"/>
  <c r="L235" i="1"/>
  <c r="L62" i="1"/>
  <c r="L462" i="1"/>
  <c r="L289" i="1"/>
  <c r="L234" i="1"/>
  <c r="L64" i="1"/>
  <c r="L460" i="1"/>
  <c r="L305" i="1"/>
  <c r="L221" i="1"/>
  <c r="L65" i="1"/>
  <c r="L459" i="1"/>
  <c r="L293" i="1"/>
  <c r="L232" i="1"/>
  <c r="L66" i="1"/>
  <c r="L233" i="1"/>
  <c r="L67" i="1"/>
  <c r="L304" i="1"/>
  <c r="L220" i="1"/>
  <c r="L456" i="1"/>
  <c r="L455" i="1"/>
  <c r="L231" i="1"/>
  <c r="L70" i="1"/>
  <c r="L454" i="1"/>
  <c r="L71" i="1"/>
  <c r="L453" i="1"/>
  <c r="L229" i="1"/>
  <c r="L73" i="1"/>
  <c r="L451" i="1"/>
  <c r="L370" i="1"/>
  <c r="L155" i="1"/>
  <c r="L422" i="1"/>
  <c r="L103" i="1"/>
  <c r="L74" i="1"/>
  <c r="L450" i="1"/>
  <c r="L299" i="1"/>
  <c r="L226" i="1"/>
  <c r="L75" i="1"/>
  <c r="L449" i="1"/>
  <c r="L76" i="1"/>
  <c r="L413" i="1"/>
  <c r="L111" i="1"/>
  <c r="L378" i="1"/>
  <c r="L146" i="1"/>
  <c r="L77" i="1"/>
  <c r="L447" i="1"/>
  <c r="L227" i="1"/>
  <c r="L78" i="1"/>
  <c r="L446" i="1"/>
  <c r="L324" i="1"/>
  <c r="L201" i="1"/>
  <c r="L79" i="1"/>
  <c r="L445" i="1"/>
  <c r="L363" i="1"/>
  <c r="L162" i="1"/>
  <c r="L429" i="1"/>
  <c r="L96" i="1"/>
  <c r="L80" i="1"/>
  <c r="L444" i="1"/>
  <c r="L288" i="1"/>
  <c r="L443" i="1"/>
  <c r="L82" i="1"/>
  <c r="L442" i="1"/>
  <c r="L337" i="1"/>
  <c r="L187" i="1"/>
  <c r="L83" i="1"/>
  <c r="L441" i="1"/>
  <c r="L343" i="1"/>
  <c r="L184" i="1"/>
  <c r="L84" i="1"/>
  <c r="L440" i="1"/>
  <c r="L225" i="1"/>
  <c r="L85" i="1"/>
  <c r="L439" i="1"/>
  <c r="L311" i="1"/>
  <c r="L213" i="1"/>
  <c r="L86" i="1"/>
  <c r="L438" i="1"/>
  <c r="L87" i="1"/>
  <c r="L428" i="1"/>
  <c r="L98" i="1"/>
  <c r="L365" i="1"/>
  <c r="L161" i="1"/>
  <c r="L88" i="1"/>
  <c r="L436" i="1"/>
  <c r="L223" i="1"/>
  <c r="L435" i="1"/>
  <c r="L222" i="1"/>
  <c r="L90" i="1"/>
  <c r="L434" i="1"/>
  <c r="L91" i="1"/>
  <c r="L433" i="1"/>
  <c r="L92" i="1"/>
  <c r="L432" i="1"/>
  <c r="L93" i="1"/>
  <c r="L431" i="1"/>
  <c r="L218" i="1"/>
  <c r="L94" i="1"/>
  <c r="L430" i="1"/>
  <c r="L217" i="1"/>
  <c r="L95" i="1"/>
  <c r="L300" i="1"/>
  <c r="L216" i="1"/>
  <c r="L97" i="1"/>
  <c r="L427" i="1"/>
  <c r="L426" i="1"/>
  <c r="L99" i="1"/>
  <c r="L425" i="1"/>
  <c r="L100" i="1"/>
  <c r="L424" i="1"/>
  <c r="L176" i="1"/>
  <c r="L101" i="1"/>
  <c r="L423" i="1"/>
  <c r="L212" i="1"/>
  <c r="L102" i="1"/>
  <c r="L211" i="1"/>
  <c r="L421" i="1"/>
  <c r="L210" i="1"/>
  <c r="L104" i="1"/>
  <c r="L420" i="1"/>
  <c r="L209" i="1"/>
  <c r="L105" i="1"/>
  <c r="L419" i="1"/>
  <c r="L208" i="1"/>
  <c r="L106" i="1"/>
  <c r="L418" i="1"/>
  <c r="L342" i="1"/>
  <c r="L107" i="1"/>
  <c r="L417" i="1"/>
  <c r="L279" i="1"/>
  <c r="L109" i="1"/>
  <c r="L207" i="1"/>
  <c r="L414" i="1"/>
  <c r="L186" i="1"/>
  <c r="L373" i="1"/>
  <c r="L151" i="1"/>
  <c r="L112" i="1"/>
  <c r="L412" i="1"/>
  <c r="L206" i="1"/>
  <c r="L113" i="1"/>
  <c r="L411" i="1"/>
  <c r="L205" i="1"/>
  <c r="L314" i="1"/>
  <c r="L115" i="1"/>
  <c r="L409" i="1"/>
  <c r="L347" i="1"/>
  <c r="L180" i="1"/>
  <c r="L116" i="1"/>
  <c r="L408" i="1"/>
  <c r="L204" i="1"/>
  <c r="L117" i="1"/>
  <c r="L407" i="1"/>
  <c r="L203" i="1"/>
  <c r="L118" i="1"/>
  <c r="L406" i="1"/>
  <c r="L366" i="1"/>
  <c r="L158" i="1"/>
  <c r="L119" i="1"/>
  <c r="L271" i="1"/>
  <c r="L120" i="1"/>
  <c r="L202" i="1"/>
  <c r="L402" i="1"/>
  <c r="L401" i="1"/>
  <c r="L200" i="1"/>
  <c r="L364" i="1"/>
  <c r="L160" i="1"/>
  <c r="L126" i="1"/>
  <c r="L398" i="1"/>
  <c r="L316" i="1"/>
  <c r="L127" i="1"/>
  <c r="L397" i="1"/>
  <c r="L198" i="1"/>
  <c r="L128" i="1"/>
  <c r="L396" i="1"/>
  <c r="L285" i="1"/>
  <c r="L129" i="1"/>
  <c r="L395" i="1"/>
  <c r="L197" i="1"/>
  <c r="L130" i="1"/>
  <c r="L394" i="1"/>
  <c r="L196" i="1"/>
  <c r="L131" i="1"/>
  <c r="L393" i="1"/>
  <c r="L371" i="1"/>
  <c r="L154" i="1"/>
  <c r="L361" i="1"/>
  <c r="L165" i="1"/>
  <c r="L134" i="1"/>
  <c r="L338" i="1"/>
  <c r="L135" i="1"/>
  <c r="L195" i="1"/>
  <c r="L328" i="1"/>
  <c r="L387" i="1"/>
  <c r="L346" i="1"/>
  <c r="L179" i="1"/>
  <c r="L386" i="1"/>
  <c r="L291" i="1"/>
  <c r="L139" i="1"/>
  <c r="L385" i="1"/>
  <c r="L140" i="1"/>
  <c r="L384" i="1"/>
  <c r="L193" i="1"/>
  <c r="L141" i="1"/>
  <c r="L383" i="1"/>
  <c r="L318" i="1"/>
  <c r="L142" i="1"/>
  <c r="L382" i="1"/>
  <c r="L192" i="1"/>
  <c r="L294" i="1"/>
  <c r="L144" i="1"/>
  <c r="L380" i="1"/>
  <c r="L362" i="1"/>
  <c r="L145" i="1"/>
  <c r="L379" i="1"/>
  <c r="L369" i="1"/>
  <c r="L156" i="1"/>
  <c r="L147" i="1"/>
  <c r="L376" i="1"/>
  <c r="L150" i="1"/>
  <c r="L374" i="1"/>
  <c r="L189" i="1"/>
  <c r="L188" i="1"/>
  <c r="L152" i="1"/>
  <c r="L372" i="1"/>
  <c r="L153" i="1"/>
  <c r="L334" i="1"/>
  <c r="L368" i="1"/>
  <c r="L270" i="1"/>
  <c r="L157" i="1"/>
  <c r="L367" i="1"/>
  <c r="L159" i="1"/>
  <c r="L183" i="1"/>
  <c r="L284" i="1"/>
  <c r="L182" i="1"/>
  <c r="L163" i="1"/>
  <c r="L349" i="1"/>
  <c r="L175" i="1"/>
  <c r="L164" i="1"/>
  <c r="L360" i="1"/>
  <c r="L320" i="1"/>
  <c r="L359" i="1"/>
  <c r="L166" i="1"/>
  <c r="L358" i="1"/>
  <c r="L286" i="1"/>
  <c r="L167" i="1"/>
  <c r="L357" i="1"/>
  <c r="L168" i="1"/>
  <c r="L169" i="1"/>
  <c r="L355" i="1"/>
  <c r="L178" i="1"/>
  <c r="L354" i="1"/>
  <c r="L171" i="1"/>
  <c r="L353" i="1"/>
  <c r="L177" i="1"/>
  <c r="L172" i="1"/>
  <c r="L352" i="1"/>
  <c r="L173" i="1"/>
  <c r="L351" i="1"/>
  <c r="L174" i="1"/>
  <c r="L350" i="1"/>
  <c r="L308" i="1"/>
  <c r="L345" i="1"/>
  <c r="L344" i="1"/>
  <c r="L323" i="1"/>
  <c r="L341" i="1"/>
  <c r="L301" i="1"/>
  <c r="L340" i="1"/>
  <c r="L333" i="1"/>
  <c r="L332" i="1"/>
  <c r="L331" i="1"/>
  <c r="L329" i="1"/>
  <c r="L327" i="1"/>
  <c r="L326" i="1"/>
  <c r="L292" i="1"/>
  <c r="L322" i="1"/>
  <c r="L321" i="1"/>
  <c r="L319" i="1"/>
  <c r="L275" i="1"/>
  <c r="L317" i="1"/>
  <c r="L315" i="1"/>
  <c r="L303" i="1"/>
  <c r="L295" i="1"/>
  <c r="L313" i="1"/>
  <c r="L307" i="1"/>
  <c r="L298" i="1"/>
  <c r="L290" i="1"/>
  <c r="L287" i="1"/>
  <c r="L283" i="1"/>
  <c r="L281" i="1"/>
  <c r="L269" i="1"/>
  <c r="L278" i="1"/>
  <c r="L273" i="1"/>
  <c r="L27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2" i="1"/>
  <c r="B2" i="6"/>
  <c r="E2" i="6"/>
  <c r="D2" i="6"/>
  <c r="C2" i="6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J2" i="5"/>
  <c r="J38" i="2"/>
  <c r="J65" i="2"/>
  <c r="J103" i="2"/>
  <c r="J112" i="2"/>
  <c r="J116" i="2"/>
  <c r="J147" i="2"/>
  <c r="J160" i="2"/>
  <c r="J169" i="2"/>
  <c r="J170" i="2"/>
  <c r="J173" i="2"/>
  <c r="J174" i="2"/>
  <c r="J175" i="2"/>
  <c r="J177" i="2"/>
  <c r="J187" i="2"/>
  <c r="J202" i="2"/>
  <c r="J222" i="2"/>
  <c r="J225" i="2"/>
  <c r="J234" i="2"/>
  <c r="J239" i="2"/>
  <c r="J245" i="2"/>
  <c r="J253" i="2"/>
  <c r="J254" i="2"/>
  <c r="J257" i="2"/>
  <c r="J261" i="2"/>
  <c r="J268" i="2"/>
  <c r="J281" i="2"/>
  <c r="J283" i="2"/>
  <c r="J298" i="2"/>
  <c r="J310" i="2"/>
  <c r="J331" i="2"/>
  <c r="J333" i="2"/>
  <c r="J345" i="2"/>
  <c r="J18" i="2"/>
  <c r="J33" i="2"/>
  <c r="J84" i="2"/>
  <c r="J168" i="2"/>
  <c r="J223" i="2"/>
  <c r="J227" i="2"/>
  <c r="J236" i="2"/>
  <c r="J266" i="2"/>
  <c r="J300" i="2"/>
  <c r="J339" i="2"/>
  <c r="J348" i="2"/>
  <c r="J2" i="2"/>
  <c r="J352" i="2"/>
  <c r="J5" i="2"/>
  <c r="J10" i="2"/>
  <c r="J19" i="2"/>
  <c r="J364" i="2"/>
  <c r="J365" i="2"/>
  <c r="J28" i="2"/>
  <c r="J29" i="2"/>
  <c r="J32" i="2"/>
  <c r="J35" i="2"/>
  <c r="J39" i="2"/>
  <c r="J40" i="2"/>
  <c r="J51" i="2"/>
  <c r="J53" i="2"/>
  <c r="J55" i="2"/>
  <c r="J57" i="2"/>
  <c r="J58" i="2"/>
  <c r="J59" i="2"/>
  <c r="J62" i="2"/>
  <c r="J378" i="2"/>
  <c r="J66" i="2"/>
  <c r="J68" i="2"/>
  <c r="J70" i="2"/>
  <c r="J71" i="2"/>
  <c r="J72" i="2"/>
  <c r="J382" i="2"/>
  <c r="J74" i="2"/>
  <c r="J75" i="2"/>
  <c r="J387" i="2"/>
  <c r="J79" i="2"/>
  <c r="J98" i="2"/>
  <c r="J397" i="2"/>
  <c r="J110" i="2"/>
  <c r="J411" i="2"/>
  <c r="J412" i="2"/>
  <c r="J123" i="2"/>
  <c r="J124" i="2"/>
  <c r="J125" i="2"/>
  <c r="J415" i="2"/>
  <c r="J130" i="2"/>
  <c r="J141" i="2"/>
  <c r="J142" i="2"/>
  <c r="J148" i="2"/>
  <c r="J149" i="2"/>
  <c r="J152" i="2"/>
  <c r="J167" i="2"/>
  <c r="J179" i="2"/>
  <c r="J188" i="2"/>
  <c r="J427" i="2"/>
  <c r="J193" i="2"/>
  <c r="J197" i="2"/>
  <c r="J435" i="2"/>
  <c r="J214" i="2"/>
  <c r="J215" i="2"/>
  <c r="J216" i="2"/>
  <c r="J231" i="2"/>
  <c r="J445" i="2"/>
  <c r="J238" i="2"/>
  <c r="J452" i="2"/>
  <c r="J243" i="2"/>
  <c r="J247" i="2"/>
  <c r="J248" i="2"/>
  <c r="J454" i="2"/>
  <c r="J269" i="2"/>
  <c r="J274" i="2"/>
  <c r="J277" i="2"/>
  <c r="J467" i="2"/>
  <c r="J280" i="2"/>
  <c r="J286" i="2"/>
  <c r="J471" i="2"/>
  <c r="J478" i="2"/>
  <c r="J304" i="2"/>
  <c r="J308" i="2"/>
  <c r="J311" i="2"/>
  <c r="J312" i="2"/>
  <c r="J313" i="2"/>
  <c r="J315" i="2"/>
  <c r="J318" i="2"/>
  <c r="J321" i="2"/>
  <c r="J503" i="2"/>
  <c r="J327" i="2"/>
  <c r="J328" i="2"/>
  <c r="J505" i="2"/>
  <c r="J341" i="2"/>
  <c r="J343" i="2"/>
  <c r="J3" i="2"/>
  <c r="J4" i="2"/>
  <c r="J7" i="2"/>
  <c r="J8" i="2"/>
  <c r="J11" i="2"/>
  <c r="J12" i="2"/>
  <c r="J16" i="2"/>
  <c r="J17" i="2"/>
  <c r="J20" i="2"/>
  <c r="J21" i="2"/>
  <c r="J23" i="2"/>
  <c r="J26" i="2"/>
  <c r="J34" i="2"/>
  <c r="J36" i="2"/>
  <c r="J37" i="2"/>
  <c r="J54" i="2"/>
  <c r="J379" i="2"/>
  <c r="J69" i="2"/>
  <c r="J381" i="2"/>
  <c r="J73" i="2"/>
  <c r="J76" i="2"/>
  <c r="J393" i="2"/>
  <c r="J115" i="2"/>
  <c r="J120" i="2"/>
  <c r="J131" i="2"/>
  <c r="J140" i="2"/>
  <c r="J150" i="2"/>
  <c r="J151" i="2"/>
  <c r="J422" i="2"/>
  <c r="J158" i="2"/>
  <c r="J159" i="2"/>
  <c r="J181" i="2"/>
  <c r="J183" i="2"/>
  <c r="J185" i="2"/>
  <c r="J208" i="2"/>
  <c r="J218" i="2"/>
  <c r="J219" i="2"/>
  <c r="J228" i="2"/>
  <c r="J229" i="2"/>
  <c r="J449" i="2"/>
  <c r="J451" i="2"/>
  <c r="J460" i="2"/>
  <c r="J273" i="2"/>
  <c r="J278" i="2"/>
  <c r="J289" i="2"/>
  <c r="J292" i="2"/>
  <c r="J488" i="2"/>
  <c r="J502" i="2"/>
  <c r="J504" i="2"/>
  <c r="J516" i="2"/>
  <c r="J521" i="2"/>
  <c r="J13" i="2"/>
  <c r="J15" i="2"/>
  <c r="J63" i="2"/>
  <c r="J82" i="2"/>
  <c r="J89" i="2"/>
  <c r="J94" i="2"/>
  <c r="J127" i="2"/>
  <c r="J129" i="2"/>
  <c r="J132" i="2"/>
  <c r="J153" i="2"/>
  <c r="J220" i="2"/>
  <c r="J221" i="2"/>
  <c r="J226" i="2"/>
  <c r="J242" i="2"/>
  <c r="J255" i="2"/>
  <c r="J272" i="2"/>
  <c r="J285" i="2"/>
  <c r="J290" i="2"/>
  <c r="J316" i="2"/>
  <c r="J332" i="2"/>
  <c r="J334" i="2"/>
  <c r="J336" i="2"/>
  <c r="J350" i="2"/>
  <c r="J351" i="2"/>
  <c r="J353" i="2"/>
  <c r="J354" i="2"/>
  <c r="J355" i="2"/>
  <c r="J6" i="2"/>
  <c r="J356" i="2"/>
  <c r="J357" i="2"/>
  <c r="J358" i="2"/>
  <c r="J9" i="2"/>
  <c r="J359" i="2"/>
  <c r="J14" i="2"/>
  <c r="J360" i="2"/>
  <c r="J361" i="2"/>
  <c r="J362" i="2"/>
  <c r="J363" i="2"/>
  <c r="J22" i="2"/>
  <c r="J24" i="2"/>
  <c r="J25" i="2"/>
  <c r="J27" i="2"/>
  <c r="J366" i="2"/>
  <c r="J367" i="2"/>
  <c r="J30" i="2"/>
  <c r="J368" i="2"/>
  <c r="J369" i="2"/>
  <c r="J31" i="2"/>
  <c r="J370" i="2"/>
  <c r="J371" i="2"/>
  <c r="J372" i="2"/>
  <c r="J41" i="2"/>
  <c r="J42" i="2"/>
  <c r="J373" i="2"/>
  <c r="J43" i="2"/>
  <c r="J44" i="2"/>
  <c r="J45" i="2"/>
  <c r="J46" i="2"/>
  <c r="J47" i="2"/>
  <c r="J48" i="2"/>
  <c r="J49" i="2"/>
  <c r="J50" i="2"/>
  <c r="J374" i="2"/>
  <c r="J52" i="2"/>
  <c r="J375" i="2"/>
  <c r="J56" i="2"/>
  <c r="J376" i="2"/>
  <c r="J60" i="2"/>
  <c r="J377" i="2"/>
  <c r="J61" i="2"/>
  <c r="J64" i="2"/>
  <c r="J67" i="2"/>
  <c r="J380" i="2"/>
  <c r="J383" i="2"/>
  <c r="J384" i="2"/>
  <c r="J385" i="2"/>
  <c r="J386" i="2"/>
  <c r="J77" i="2"/>
  <c r="J78" i="2"/>
  <c r="J388" i="2"/>
  <c r="J389" i="2"/>
  <c r="J390" i="2"/>
  <c r="J80" i="2"/>
  <c r="J81" i="2"/>
  <c r="J391" i="2"/>
  <c r="J83" i="2"/>
  <c r="J392" i="2"/>
  <c r="J85" i="2"/>
  <c r="J86" i="2"/>
  <c r="J87" i="2"/>
  <c r="J394" i="2"/>
  <c r="J88" i="2"/>
  <c r="J90" i="2"/>
  <c r="J395" i="2"/>
  <c r="J91" i="2"/>
  <c r="J92" i="2"/>
  <c r="J396" i="2"/>
  <c r="J93" i="2"/>
  <c r="J95" i="2"/>
  <c r="J96" i="2"/>
  <c r="J97" i="2"/>
  <c r="J99" i="2"/>
  <c r="J100" i="2"/>
  <c r="J398" i="2"/>
  <c r="J101" i="2"/>
  <c r="J399" i="2"/>
  <c r="J400" i="2"/>
  <c r="J102" i="2"/>
  <c r="J104" i="2"/>
  <c r="J105" i="2"/>
  <c r="J106" i="2"/>
  <c r="J107" i="2"/>
  <c r="J108" i="2"/>
  <c r="J109" i="2"/>
  <c r="J111" i="2"/>
  <c r="J401" i="2"/>
  <c r="J402" i="2"/>
  <c r="J403" i="2"/>
  <c r="J404" i="2"/>
  <c r="J405" i="2"/>
  <c r="J113" i="2"/>
  <c r="J406" i="2"/>
  <c r="J407" i="2"/>
  <c r="J114" i="2"/>
  <c r="J408" i="2"/>
  <c r="J117" i="2"/>
  <c r="J409" i="2"/>
  <c r="J118" i="2"/>
  <c r="J410" i="2"/>
  <c r="J119" i="2"/>
  <c r="J121" i="2"/>
  <c r="J413" i="2"/>
  <c r="J122" i="2"/>
  <c r="J414" i="2"/>
  <c r="J126" i="2"/>
  <c r="J416" i="2"/>
  <c r="J417" i="2"/>
  <c r="J128" i="2"/>
  <c r="J133" i="2"/>
  <c r="J134" i="2"/>
  <c r="J135" i="2"/>
  <c r="J136" i="2"/>
  <c r="J418" i="2"/>
  <c r="J137" i="2"/>
  <c r="J419" i="2"/>
  <c r="J138" i="2"/>
  <c r="J139" i="2"/>
  <c r="J420" i="2"/>
  <c r="J143" i="2"/>
  <c r="J144" i="2"/>
  <c r="J145" i="2"/>
  <c r="J146" i="2"/>
  <c r="J421" i="2"/>
  <c r="J154" i="2"/>
  <c r="J155" i="2"/>
  <c r="J423" i="2"/>
  <c r="J156" i="2"/>
  <c r="J157" i="2"/>
  <c r="J424" i="2"/>
  <c r="J161" i="2"/>
  <c r="J425" i="2"/>
  <c r="J162" i="2"/>
  <c r="J163" i="2"/>
  <c r="J164" i="2"/>
  <c r="J165" i="2"/>
  <c r="J166" i="2"/>
  <c r="J171" i="2"/>
  <c r="J172" i="2"/>
  <c r="J176" i="2"/>
  <c r="J178" i="2"/>
  <c r="J180" i="2"/>
  <c r="J182" i="2"/>
  <c r="J184" i="2"/>
  <c r="J186" i="2"/>
  <c r="J189" i="2"/>
  <c r="J426" i="2"/>
  <c r="J190" i="2"/>
  <c r="J428" i="2"/>
  <c r="J191" i="2"/>
  <c r="J192" i="2"/>
  <c r="J194" i="2"/>
  <c r="J195" i="2"/>
  <c r="J196" i="2"/>
  <c r="J429" i="2"/>
  <c r="J430" i="2"/>
  <c r="J198" i="2"/>
  <c r="J431" i="2"/>
  <c r="J432" i="2"/>
  <c r="J433" i="2"/>
  <c r="J199" i="2"/>
  <c r="J434" i="2"/>
  <c r="J200" i="2"/>
  <c r="J201" i="2"/>
  <c r="J203" i="2"/>
  <c r="J204" i="2"/>
  <c r="J205" i="2"/>
  <c r="J206" i="2"/>
  <c r="J207" i="2"/>
  <c r="J209" i="2"/>
  <c r="J210" i="2"/>
  <c r="J436" i="2"/>
  <c r="J211" i="2"/>
  <c r="J212" i="2"/>
  <c r="J213" i="2"/>
  <c r="J437" i="2"/>
  <c r="J438" i="2"/>
  <c r="J217" i="2"/>
  <c r="J439" i="2"/>
  <c r="J440" i="2"/>
  <c r="J441" i="2"/>
  <c r="J442" i="2"/>
  <c r="J443" i="2"/>
  <c r="J224" i="2"/>
  <c r="J444" i="2"/>
  <c r="J230" i="2"/>
  <c r="J232" i="2"/>
  <c r="J233" i="2"/>
  <c r="J235" i="2"/>
  <c r="J237" i="2"/>
  <c r="J446" i="2"/>
  <c r="J447" i="2"/>
  <c r="J448" i="2"/>
  <c r="J450" i="2"/>
  <c r="J240" i="2"/>
  <c r="J241" i="2"/>
  <c r="J453" i="2"/>
  <c r="J244" i="2"/>
  <c r="J246" i="2"/>
  <c r="J249" i="2"/>
  <c r="J250" i="2"/>
  <c r="J455" i="2"/>
  <c r="J456" i="2"/>
  <c r="J251" i="2"/>
  <c r="J252" i="2"/>
  <c r="J457" i="2"/>
  <c r="J256" i="2"/>
  <c r="J258" i="2"/>
  <c r="J259" i="2"/>
  <c r="J260" i="2"/>
  <c r="J262" i="2"/>
  <c r="J263" i="2"/>
  <c r="J458" i="2"/>
  <c r="J264" i="2"/>
  <c r="J265" i="2"/>
  <c r="J459" i="2"/>
  <c r="J267" i="2"/>
  <c r="J461" i="2"/>
  <c r="J462" i="2"/>
  <c r="J463" i="2"/>
  <c r="J270" i="2"/>
  <c r="J271" i="2"/>
  <c r="J275" i="2"/>
  <c r="J276" i="2"/>
  <c r="J464" i="2"/>
  <c r="J465" i="2"/>
  <c r="J466" i="2"/>
  <c r="J279" i="2"/>
  <c r="J282" i="2"/>
  <c r="J468" i="2"/>
  <c r="J469" i="2"/>
  <c r="J284" i="2"/>
  <c r="J287" i="2"/>
  <c r="J288" i="2"/>
  <c r="J291" i="2"/>
  <c r="J470" i="2"/>
  <c r="J472" i="2"/>
  <c r="J473" i="2"/>
  <c r="J293" i="2"/>
  <c r="J294" i="2"/>
  <c r="J474" i="2"/>
  <c r="J295" i="2"/>
  <c r="J475" i="2"/>
  <c r="J476" i="2"/>
  <c r="J477" i="2"/>
  <c r="J479" i="2"/>
  <c r="J480" i="2"/>
  <c r="J296" i="2"/>
  <c r="J297" i="2"/>
  <c r="J299" i="2"/>
  <c r="J481" i="2"/>
  <c r="J482" i="2"/>
  <c r="J483" i="2"/>
  <c r="J484" i="2"/>
  <c r="J485" i="2"/>
  <c r="J486" i="2"/>
  <c r="J301" i="2"/>
  <c r="J302" i="2"/>
  <c r="J303" i="2"/>
  <c r="J305" i="2"/>
  <c r="J306" i="2"/>
  <c r="J307" i="2"/>
  <c r="J309" i="2"/>
  <c r="J487" i="2"/>
  <c r="J489" i="2"/>
  <c r="J490" i="2"/>
  <c r="J491" i="2"/>
  <c r="J492" i="2"/>
  <c r="J493" i="2"/>
  <c r="J494" i="2"/>
  <c r="J495" i="2"/>
  <c r="J314" i="2"/>
  <c r="J496" i="2"/>
  <c r="J497" i="2"/>
  <c r="J498" i="2"/>
  <c r="J499" i="2"/>
  <c r="J317" i="2"/>
  <c r="J319" i="2"/>
  <c r="J320" i="2"/>
  <c r="J500" i="2"/>
  <c r="J322" i="2"/>
  <c r="J323" i="2"/>
  <c r="J324" i="2"/>
  <c r="J325" i="2"/>
  <c r="J501" i="2"/>
  <c r="J326" i="2"/>
  <c r="J329" i="2"/>
  <c r="J506" i="2"/>
  <c r="J507" i="2"/>
  <c r="J508" i="2"/>
  <c r="J509" i="2"/>
  <c r="J330" i="2"/>
  <c r="J510" i="2"/>
  <c r="J511" i="2"/>
  <c r="J512" i="2"/>
  <c r="J513" i="2"/>
  <c r="J514" i="2"/>
  <c r="J515" i="2"/>
  <c r="J335" i="2"/>
  <c r="J517" i="2"/>
  <c r="J337" i="2"/>
  <c r="J518" i="2"/>
  <c r="J338" i="2"/>
  <c r="J340" i="2"/>
  <c r="J519" i="2"/>
  <c r="J520" i="2"/>
  <c r="J342" i="2"/>
  <c r="J344" i="2"/>
  <c r="J346" i="2"/>
  <c r="J347" i="2"/>
  <c r="J349" i="2"/>
  <c r="J522" i="2"/>
  <c r="K65" i="2"/>
  <c r="K103" i="2"/>
  <c r="K112" i="2"/>
  <c r="K116" i="2"/>
  <c r="K147" i="2"/>
  <c r="K160" i="2"/>
  <c r="K169" i="2"/>
  <c r="K170" i="2"/>
  <c r="K173" i="2"/>
  <c r="K174" i="2"/>
  <c r="K175" i="2"/>
  <c r="K177" i="2"/>
  <c r="K187" i="2"/>
  <c r="K202" i="2"/>
  <c r="K222" i="2"/>
  <c r="K225" i="2"/>
  <c r="K234" i="2"/>
  <c r="K239" i="2"/>
  <c r="K245" i="2"/>
  <c r="K253" i="2"/>
  <c r="K254" i="2"/>
  <c r="K257" i="2"/>
  <c r="K261" i="2"/>
  <c r="K268" i="2"/>
  <c r="K281" i="2"/>
  <c r="K283" i="2"/>
  <c r="K298" i="2"/>
  <c r="K310" i="2"/>
  <c r="K331" i="2"/>
  <c r="K333" i="2"/>
  <c r="K345" i="2"/>
  <c r="K18" i="2"/>
  <c r="K33" i="2"/>
  <c r="K84" i="2"/>
  <c r="K168" i="2"/>
  <c r="K223" i="2"/>
  <c r="K227" i="2"/>
  <c r="K236" i="2"/>
  <c r="K266" i="2"/>
  <c r="K300" i="2"/>
  <c r="K339" i="2"/>
  <c r="K348" i="2"/>
  <c r="K2" i="2"/>
  <c r="K352" i="2"/>
  <c r="K5" i="2"/>
  <c r="K10" i="2"/>
  <c r="K19" i="2"/>
  <c r="K364" i="2"/>
  <c r="K365" i="2"/>
  <c r="K28" i="2"/>
  <c r="K29" i="2"/>
  <c r="K32" i="2"/>
  <c r="K35" i="2"/>
  <c r="K39" i="2"/>
  <c r="K40" i="2"/>
  <c r="K51" i="2"/>
  <c r="K53" i="2"/>
  <c r="K55" i="2"/>
  <c r="K57" i="2"/>
  <c r="K58" i="2"/>
  <c r="K59" i="2"/>
  <c r="K62" i="2"/>
  <c r="K378" i="2"/>
  <c r="K66" i="2"/>
  <c r="K68" i="2"/>
  <c r="K70" i="2"/>
  <c r="K71" i="2"/>
  <c r="K72" i="2"/>
  <c r="K382" i="2"/>
  <c r="K74" i="2"/>
  <c r="K75" i="2"/>
  <c r="K387" i="2"/>
  <c r="K79" i="2"/>
  <c r="K98" i="2"/>
  <c r="K397" i="2"/>
  <c r="K110" i="2"/>
  <c r="K411" i="2"/>
  <c r="K412" i="2"/>
  <c r="K123" i="2"/>
  <c r="K124" i="2"/>
  <c r="K125" i="2"/>
  <c r="K415" i="2"/>
  <c r="K130" i="2"/>
  <c r="K141" i="2"/>
  <c r="K142" i="2"/>
  <c r="K148" i="2"/>
  <c r="K149" i="2"/>
  <c r="K152" i="2"/>
  <c r="K167" i="2"/>
  <c r="K179" i="2"/>
  <c r="K188" i="2"/>
  <c r="K427" i="2"/>
  <c r="K193" i="2"/>
  <c r="K197" i="2"/>
  <c r="K435" i="2"/>
  <c r="K214" i="2"/>
  <c r="K215" i="2"/>
  <c r="K216" i="2"/>
  <c r="K231" i="2"/>
  <c r="K445" i="2"/>
  <c r="K238" i="2"/>
  <c r="K452" i="2"/>
  <c r="K243" i="2"/>
  <c r="K247" i="2"/>
  <c r="K248" i="2"/>
  <c r="K454" i="2"/>
  <c r="K269" i="2"/>
  <c r="K274" i="2"/>
  <c r="K277" i="2"/>
  <c r="K467" i="2"/>
  <c r="K280" i="2"/>
  <c r="K286" i="2"/>
  <c r="K471" i="2"/>
  <c r="K478" i="2"/>
  <c r="K304" i="2"/>
  <c r="K308" i="2"/>
  <c r="K311" i="2"/>
  <c r="K312" i="2"/>
  <c r="K313" i="2"/>
  <c r="K315" i="2"/>
  <c r="K318" i="2"/>
  <c r="K321" i="2"/>
  <c r="K503" i="2"/>
  <c r="K327" i="2"/>
  <c r="K328" i="2"/>
  <c r="K505" i="2"/>
  <c r="K341" i="2"/>
  <c r="K343" i="2"/>
  <c r="K3" i="2"/>
  <c r="K4" i="2"/>
  <c r="K7" i="2"/>
  <c r="K8" i="2"/>
  <c r="K11" i="2"/>
  <c r="K12" i="2"/>
  <c r="K16" i="2"/>
  <c r="K17" i="2"/>
  <c r="K20" i="2"/>
  <c r="K21" i="2"/>
  <c r="K23" i="2"/>
  <c r="K26" i="2"/>
  <c r="K34" i="2"/>
  <c r="K36" i="2"/>
  <c r="K37" i="2"/>
  <c r="K54" i="2"/>
  <c r="K379" i="2"/>
  <c r="K69" i="2"/>
  <c r="K381" i="2"/>
  <c r="K73" i="2"/>
  <c r="K76" i="2"/>
  <c r="K393" i="2"/>
  <c r="K115" i="2"/>
  <c r="K120" i="2"/>
  <c r="K131" i="2"/>
  <c r="K140" i="2"/>
  <c r="K150" i="2"/>
  <c r="K151" i="2"/>
  <c r="K422" i="2"/>
  <c r="K158" i="2"/>
  <c r="K159" i="2"/>
  <c r="K181" i="2"/>
  <c r="K183" i="2"/>
  <c r="K185" i="2"/>
  <c r="K208" i="2"/>
  <c r="K218" i="2"/>
  <c r="K219" i="2"/>
  <c r="K228" i="2"/>
  <c r="K229" i="2"/>
  <c r="K449" i="2"/>
  <c r="K451" i="2"/>
  <c r="K460" i="2"/>
  <c r="K273" i="2"/>
  <c r="K278" i="2"/>
  <c r="K289" i="2"/>
  <c r="K292" i="2"/>
  <c r="K488" i="2"/>
  <c r="K502" i="2"/>
  <c r="K504" i="2"/>
  <c r="K516" i="2"/>
  <c r="K521" i="2"/>
  <c r="K13" i="2"/>
  <c r="K15" i="2"/>
  <c r="K63" i="2"/>
  <c r="K82" i="2"/>
  <c r="K89" i="2"/>
  <c r="K94" i="2"/>
  <c r="K127" i="2"/>
  <c r="K129" i="2"/>
  <c r="K132" i="2"/>
  <c r="K153" i="2"/>
  <c r="K220" i="2"/>
  <c r="K221" i="2"/>
  <c r="K226" i="2"/>
  <c r="K242" i="2"/>
  <c r="K255" i="2"/>
  <c r="K272" i="2"/>
  <c r="K285" i="2"/>
  <c r="K290" i="2"/>
  <c r="K316" i="2"/>
  <c r="K332" i="2"/>
  <c r="K334" i="2"/>
  <c r="K336" i="2"/>
  <c r="K350" i="2"/>
  <c r="K351" i="2"/>
  <c r="K353" i="2"/>
  <c r="K354" i="2"/>
  <c r="K355" i="2"/>
  <c r="K6" i="2"/>
  <c r="K356" i="2"/>
  <c r="K357" i="2"/>
  <c r="K358" i="2"/>
  <c r="K9" i="2"/>
  <c r="K359" i="2"/>
  <c r="K14" i="2"/>
  <c r="K360" i="2"/>
  <c r="K361" i="2"/>
  <c r="K362" i="2"/>
  <c r="K363" i="2"/>
  <c r="K22" i="2"/>
  <c r="K24" i="2"/>
  <c r="K25" i="2"/>
  <c r="K27" i="2"/>
  <c r="K366" i="2"/>
  <c r="K367" i="2"/>
  <c r="K30" i="2"/>
  <c r="K368" i="2"/>
  <c r="K369" i="2"/>
  <c r="K31" i="2"/>
  <c r="K370" i="2"/>
  <c r="K371" i="2"/>
  <c r="K372" i="2"/>
  <c r="K41" i="2"/>
  <c r="K42" i="2"/>
  <c r="K373" i="2"/>
  <c r="K43" i="2"/>
  <c r="K44" i="2"/>
  <c r="K45" i="2"/>
  <c r="K46" i="2"/>
  <c r="K47" i="2"/>
  <c r="K48" i="2"/>
  <c r="K49" i="2"/>
  <c r="K50" i="2"/>
  <c r="K374" i="2"/>
  <c r="K52" i="2"/>
  <c r="K375" i="2"/>
  <c r="K56" i="2"/>
  <c r="K376" i="2"/>
  <c r="K60" i="2"/>
  <c r="K377" i="2"/>
  <c r="K61" i="2"/>
  <c r="K64" i="2"/>
  <c r="K67" i="2"/>
  <c r="K380" i="2"/>
  <c r="K383" i="2"/>
  <c r="K384" i="2"/>
  <c r="K385" i="2"/>
  <c r="K386" i="2"/>
  <c r="K77" i="2"/>
  <c r="K78" i="2"/>
  <c r="K388" i="2"/>
  <c r="K389" i="2"/>
  <c r="K390" i="2"/>
  <c r="K80" i="2"/>
  <c r="K81" i="2"/>
  <c r="K391" i="2"/>
  <c r="K83" i="2"/>
  <c r="K392" i="2"/>
  <c r="K85" i="2"/>
  <c r="K86" i="2"/>
  <c r="K87" i="2"/>
  <c r="K394" i="2"/>
  <c r="K88" i="2"/>
  <c r="K90" i="2"/>
  <c r="K395" i="2"/>
  <c r="K91" i="2"/>
  <c r="K92" i="2"/>
  <c r="K396" i="2"/>
  <c r="K93" i="2"/>
  <c r="K95" i="2"/>
  <c r="K96" i="2"/>
  <c r="K97" i="2"/>
  <c r="K99" i="2"/>
  <c r="K100" i="2"/>
  <c r="K398" i="2"/>
  <c r="K101" i="2"/>
  <c r="K399" i="2"/>
  <c r="K400" i="2"/>
  <c r="K102" i="2"/>
  <c r="K104" i="2"/>
  <c r="K105" i="2"/>
  <c r="K106" i="2"/>
  <c r="K107" i="2"/>
  <c r="K108" i="2"/>
  <c r="K109" i="2"/>
  <c r="K111" i="2"/>
  <c r="K401" i="2"/>
  <c r="K402" i="2"/>
  <c r="K403" i="2"/>
  <c r="K404" i="2"/>
  <c r="K405" i="2"/>
  <c r="K113" i="2"/>
  <c r="K406" i="2"/>
  <c r="K407" i="2"/>
  <c r="K114" i="2"/>
  <c r="K408" i="2"/>
  <c r="K117" i="2"/>
  <c r="K409" i="2"/>
  <c r="K118" i="2"/>
  <c r="K410" i="2"/>
  <c r="K119" i="2"/>
  <c r="K121" i="2"/>
  <c r="K413" i="2"/>
  <c r="K122" i="2"/>
  <c r="K414" i="2"/>
  <c r="K126" i="2"/>
  <c r="K416" i="2"/>
  <c r="K417" i="2"/>
  <c r="K128" i="2"/>
  <c r="K133" i="2"/>
  <c r="K134" i="2"/>
  <c r="K135" i="2"/>
  <c r="K136" i="2"/>
  <c r="K418" i="2"/>
  <c r="K137" i="2"/>
  <c r="K419" i="2"/>
  <c r="K138" i="2"/>
  <c r="K139" i="2"/>
  <c r="K420" i="2"/>
  <c r="K143" i="2"/>
  <c r="K144" i="2"/>
  <c r="K145" i="2"/>
  <c r="K146" i="2"/>
  <c r="K421" i="2"/>
  <c r="K154" i="2"/>
  <c r="K155" i="2"/>
  <c r="K423" i="2"/>
  <c r="K156" i="2"/>
  <c r="K157" i="2"/>
  <c r="K424" i="2"/>
  <c r="K161" i="2"/>
  <c r="K425" i="2"/>
  <c r="K162" i="2"/>
  <c r="K163" i="2"/>
  <c r="K164" i="2"/>
  <c r="K165" i="2"/>
  <c r="K166" i="2"/>
  <c r="K171" i="2"/>
  <c r="K172" i="2"/>
  <c r="K176" i="2"/>
  <c r="K178" i="2"/>
  <c r="K180" i="2"/>
  <c r="K182" i="2"/>
  <c r="K184" i="2"/>
  <c r="K186" i="2"/>
  <c r="K189" i="2"/>
  <c r="K426" i="2"/>
  <c r="K190" i="2"/>
  <c r="K428" i="2"/>
  <c r="K191" i="2"/>
  <c r="K192" i="2"/>
  <c r="K194" i="2"/>
  <c r="K195" i="2"/>
  <c r="K196" i="2"/>
  <c r="K429" i="2"/>
  <c r="K430" i="2"/>
  <c r="K198" i="2"/>
  <c r="K431" i="2"/>
  <c r="K432" i="2"/>
  <c r="K433" i="2"/>
  <c r="K199" i="2"/>
  <c r="K434" i="2"/>
  <c r="K200" i="2"/>
  <c r="K201" i="2"/>
  <c r="K203" i="2"/>
  <c r="K204" i="2"/>
  <c r="K205" i="2"/>
  <c r="K206" i="2"/>
  <c r="K207" i="2"/>
  <c r="K209" i="2"/>
  <c r="K210" i="2"/>
  <c r="K436" i="2"/>
  <c r="K211" i="2"/>
  <c r="K212" i="2"/>
  <c r="K213" i="2"/>
  <c r="K437" i="2"/>
  <c r="K438" i="2"/>
  <c r="K217" i="2"/>
  <c r="K439" i="2"/>
  <c r="K440" i="2"/>
  <c r="K441" i="2"/>
  <c r="K442" i="2"/>
  <c r="K443" i="2"/>
  <c r="K224" i="2"/>
  <c r="K444" i="2"/>
  <c r="K230" i="2"/>
  <c r="K232" i="2"/>
  <c r="K233" i="2"/>
  <c r="K235" i="2"/>
  <c r="K237" i="2"/>
  <c r="K446" i="2"/>
  <c r="K447" i="2"/>
  <c r="K448" i="2"/>
  <c r="K450" i="2"/>
  <c r="K240" i="2"/>
  <c r="K241" i="2"/>
  <c r="K453" i="2"/>
  <c r="K244" i="2"/>
  <c r="K246" i="2"/>
  <c r="K249" i="2"/>
  <c r="K250" i="2"/>
  <c r="K455" i="2"/>
  <c r="K456" i="2"/>
  <c r="K251" i="2"/>
  <c r="K252" i="2"/>
  <c r="K457" i="2"/>
  <c r="K256" i="2"/>
  <c r="K258" i="2"/>
  <c r="K259" i="2"/>
  <c r="K260" i="2"/>
  <c r="K262" i="2"/>
  <c r="K263" i="2"/>
  <c r="K458" i="2"/>
  <c r="K264" i="2"/>
  <c r="K265" i="2"/>
  <c r="K459" i="2"/>
  <c r="K267" i="2"/>
  <c r="K461" i="2"/>
  <c r="K462" i="2"/>
  <c r="K463" i="2"/>
  <c r="K270" i="2"/>
  <c r="K271" i="2"/>
  <c r="K275" i="2"/>
  <c r="K276" i="2"/>
  <c r="K464" i="2"/>
  <c r="K465" i="2"/>
  <c r="K466" i="2"/>
  <c r="K279" i="2"/>
  <c r="K282" i="2"/>
  <c r="K468" i="2"/>
  <c r="K469" i="2"/>
  <c r="K284" i="2"/>
  <c r="K287" i="2"/>
  <c r="K288" i="2"/>
  <c r="K291" i="2"/>
  <c r="K470" i="2"/>
  <c r="K472" i="2"/>
  <c r="K473" i="2"/>
  <c r="K293" i="2"/>
  <c r="K294" i="2"/>
  <c r="K474" i="2"/>
  <c r="K295" i="2"/>
  <c r="K475" i="2"/>
  <c r="K476" i="2"/>
  <c r="K477" i="2"/>
  <c r="K479" i="2"/>
  <c r="K480" i="2"/>
  <c r="K296" i="2"/>
  <c r="K297" i="2"/>
  <c r="K299" i="2"/>
  <c r="K481" i="2"/>
  <c r="K482" i="2"/>
  <c r="K483" i="2"/>
  <c r="K484" i="2"/>
  <c r="K485" i="2"/>
  <c r="K486" i="2"/>
  <c r="K301" i="2"/>
  <c r="K302" i="2"/>
  <c r="K303" i="2"/>
  <c r="K305" i="2"/>
  <c r="K306" i="2"/>
  <c r="K307" i="2"/>
  <c r="K309" i="2"/>
  <c r="K487" i="2"/>
  <c r="K489" i="2"/>
  <c r="K490" i="2"/>
  <c r="K491" i="2"/>
  <c r="K492" i="2"/>
  <c r="K493" i="2"/>
  <c r="K494" i="2"/>
  <c r="K495" i="2"/>
  <c r="K314" i="2"/>
  <c r="K496" i="2"/>
  <c r="K497" i="2"/>
  <c r="K498" i="2"/>
  <c r="K499" i="2"/>
  <c r="K317" i="2"/>
  <c r="K319" i="2"/>
  <c r="K320" i="2"/>
  <c r="K500" i="2"/>
  <c r="K322" i="2"/>
  <c r="K323" i="2"/>
  <c r="K324" i="2"/>
  <c r="K325" i="2"/>
  <c r="K501" i="2"/>
  <c r="K326" i="2"/>
  <c r="K329" i="2"/>
  <c r="K506" i="2"/>
  <c r="K507" i="2"/>
  <c r="K508" i="2"/>
  <c r="K509" i="2"/>
  <c r="K330" i="2"/>
  <c r="K510" i="2"/>
  <c r="K511" i="2"/>
  <c r="K512" i="2"/>
  <c r="K513" i="2"/>
  <c r="K514" i="2"/>
  <c r="K515" i="2"/>
  <c r="K335" i="2"/>
  <c r="K517" i="2"/>
  <c r="K337" i="2"/>
  <c r="K518" i="2"/>
  <c r="K338" i="2"/>
  <c r="K340" i="2"/>
  <c r="K519" i="2"/>
  <c r="K520" i="2"/>
  <c r="K342" i="2"/>
  <c r="K344" i="2"/>
  <c r="K346" i="2"/>
  <c r="K347" i="2"/>
  <c r="K349" i="2"/>
  <c r="K522" i="2"/>
  <c r="K38" i="2"/>
  <c r="E2" i="1"/>
  <c r="E463" i="1"/>
  <c r="M61" i="1"/>
  <c r="M79" i="1"/>
  <c r="M100" i="1"/>
  <c r="M102" i="1"/>
  <c r="M106" i="1"/>
  <c r="M120" i="1"/>
  <c r="M126" i="1"/>
  <c r="M127" i="1"/>
  <c r="M129" i="1"/>
  <c r="M150" i="1"/>
  <c r="M169" i="1"/>
  <c r="M170" i="1"/>
  <c r="M171" i="1"/>
  <c r="M173" i="1"/>
  <c r="M186" i="1"/>
  <c r="M188" i="1"/>
  <c r="M194" i="1"/>
  <c r="M198" i="1"/>
  <c r="M200" i="1"/>
  <c r="M201" i="1"/>
  <c r="M210" i="1"/>
  <c r="M222" i="1"/>
  <c r="M228" i="1"/>
  <c r="M250" i="1"/>
  <c r="M253" i="1"/>
  <c r="M258" i="1"/>
  <c r="M263" i="1"/>
  <c r="M264" i="1"/>
  <c r="M274" i="1"/>
  <c r="M276" i="1"/>
  <c r="M288" i="1"/>
  <c r="M290" i="1"/>
  <c r="M294" i="1"/>
  <c r="M296" i="1"/>
  <c r="M298" i="1"/>
  <c r="M300" i="1"/>
  <c r="M302" i="1"/>
  <c r="M304" i="1"/>
  <c r="M305" i="1"/>
  <c r="M314" i="1"/>
  <c r="M330" i="1"/>
  <c r="M332" i="1"/>
  <c r="M334" i="1"/>
  <c r="M338" i="1"/>
  <c r="M339" i="1"/>
  <c r="M342" i="1"/>
  <c r="M343" i="1"/>
  <c r="M344" i="1"/>
  <c r="M348" i="1"/>
  <c r="M350" i="1"/>
  <c r="M352" i="1"/>
  <c r="M358" i="1"/>
  <c r="M359" i="1"/>
  <c r="M360" i="1"/>
  <c r="M364" i="1"/>
  <c r="M370" i="1"/>
  <c r="M371" i="1"/>
  <c r="M372" i="1"/>
  <c r="M374" i="1"/>
  <c r="M376" i="1"/>
  <c r="M377" i="1"/>
  <c r="M378" i="1"/>
  <c r="M379" i="1"/>
  <c r="M380" i="1"/>
  <c r="M382" i="1"/>
  <c r="M383" i="1"/>
  <c r="M387" i="1"/>
  <c r="M388" i="1"/>
  <c r="M393" i="1"/>
  <c r="M394" i="1"/>
  <c r="M396" i="1"/>
  <c r="M402" i="1"/>
  <c r="M403" i="1"/>
  <c r="M404" i="1"/>
  <c r="M405" i="1"/>
  <c r="M406" i="1"/>
  <c r="M408" i="1"/>
  <c r="M409" i="1"/>
  <c r="M410" i="1"/>
  <c r="M413" i="1"/>
  <c r="M414" i="1"/>
  <c r="M416" i="1"/>
  <c r="M422" i="1"/>
  <c r="M424" i="1"/>
  <c r="M426" i="1"/>
  <c r="M427" i="1"/>
  <c r="M428" i="1"/>
  <c r="M433" i="1"/>
  <c r="M434" i="1"/>
  <c r="M436" i="1"/>
  <c r="M437" i="1"/>
  <c r="M438" i="1"/>
  <c r="M439" i="1"/>
  <c r="M440" i="1"/>
  <c r="M441" i="1"/>
  <c r="M442" i="1"/>
  <c r="M443" i="1"/>
  <c r="M444" i="1"/>
  <c r="M445" i="1"/>
  <c r="M446" i="1"/>
  <c r="M448" i="1"/>
  <c r="M449" i="1"/>
  <c r="M450" i="1"/>
  <c r="M451" i="1"/>
  <c r="M456" i="1"/>
  <c r="M460" i="1"/>
  <c r="M462" i="1"/>
  <c r="M465" i="1"/>
  <c r="M466" i="1"/>
  <c r="M468" i="1"/>
  <c r="M469" i="1"/>
  <c r="M470" i="1"/>
  <c r="M473" i="1"/>
  <c r="M474" i="1"/>
  <c r="M475" i="1"/>
  <c r="M476" i="1"/>
  <c r="M478" i="1"/>
  <c r="M480" i="1"/>
  <c r="M484" i="1"/>
  <c r="M486" i="1"/>
  <c r="M488" i="1"/>
  <c r="M489" i="1"/>
  <c r="M490" i="1"/>
  <c r="M493" i="1"/>
  <c r="M494" i="1"/>
  <c r="M495" i="1"/>
  <c r="M496" i="1"/>
  <c r="M497" i="1"/>
  <c r="M498" i="1"/>
  <c r="M500" i="1"/>
  <c r="M501" i="1"/>
  <c r="M502" i="1"/>
  <c r="M503" i="1"/>
  <c r="M504" i="1"/>
  <c r="M505" i="1"/>
  <c r="M506" i="1"/>
  <c r="M507" i="1"/>
  <c r="M508" i="1"/>
  <c r="M510" i="1"/>
  <c r="M512" i="1"/>
  <c r="M513" i="1"/>
  <c r="M514" i="1"/>
  <c r="M515" i="1"/>
  <c r="M516" i="1"/>
  <c r="M517" i="1"/>
  <c r="M518" i="1"/>
  <c r="M519" i="1"/>
  <c r="M520" i="1"/>
  <c r="M522" i="1"/>
  <c r="M464" i="1"/>
  <c r="M432" i="1"/>
  <c r="M390" i="1"/>
  <c r="M368" i="1"/>
  <c r="M366" i="1"/>
  <c r="M362" i="1"/>
  <c r="M356" i="1"/>
  <c r="M318" i="1"/>
  <c r="M316" i="1"/>
  <c r="M272" i="1"/>
  <c r="M270" i="1"/>
  <c r="M268" i="1"/>
  <c r="M266" i="1"/>
  <c r="M262" i="1"/>
  <c r="M260" i="1"/>
  <c r="M246" i="1"/>
  <c r="M216" i="1"/>
  <c r="M206" i="1"/>
  <c r="M202" i="1"/>
  <c r="M84" i="1"/>
  <c r="M398" i="1"/>
  <c r="M521" i="1"/>
  <c r="M499" i="1"/>
  <c r="M491" i="1"/>
  <c r="M485" i="1"/>
  <c r="M483" i="1"/>
  <c r="M479" i="1"/>
  <c r="M467" i="1"/>
  <c r="M463" i="1"/>
  <c r="M461" i="1"/>
  <c r="M459" i="1"/>
  <c r="M447" i="1"/>
  <c r="M429" i="1"/>
  <c r="M407" i="1"/>
  <c r="M399" i="1"/>
  <c r="M397" i="1"/>
  <c r="M395" i="1"/>
  <c r="M381" i="1"/>
  <c r="M373" i="1"/>
  <c r="M369" i="1"/>
  <c r="M367" i="1"/>
  <c r="M365" i="1"/>
  <c r="M363" i="1"/>
  <c r="M361" i="1"/>
  <c r="M353" i="1"/>
  <c r="M349" i="1"/>
  <c r="M337" i="1"/>
  <c r="M335" i="1"/>
  <c r="M333" i="1"/>
  <c r="M331" i="1"/>
  <c r="M325" i="1"/>
  <c r="M319" i="1"/>
  <c r="M315" i="1"/>
  <c r="M289" i="1"/>
  <c r="M287" i="1"/>
  <c r="M277" i="1"/>
  <c r="M269" i="1"/>
  <c r="M267" i="1"/>
  <c r="M265" i="1"/>
  <c r="M261" i="1"/>
  <c r="M259" i="1"/>
  <c r="M257" i="1"/>
  <c r="M219" i="1"/>
  <c r="M199" i="1"/>
  <c r="M155" i="1"/>
  <c r="M153" i="1"/>
  <c r="M125" i="1"/>
  <c r="M492" i="1"/>
  <c r="M482" i="1"/>
  <c r="M472" i="1"/>
  <c r="M458" i="1"/>
  <c r="M454" i="1"/>
  <c r="M452" i="1"/>
  <c r="M430" i="1"/>
  <c r="M420" i="1"/>
  <c r="M418" i="1"/>
  <c r="M412" i="1"/>
  <c r="M400" i="1"/>
  <c r="M392" i="1"/>
  <c r="M386" i="1"/>
  <c r="M384" i="1"/>
  <c r="M354" i="1"/>
  <c r="M346" i="1"/>
  <c r="M340" i="1"/>
  <c r="M336" i="1"/>
  <c r="M328" i="1"/>
  <c r="M326" i="1"/>
  <c r="M324" i="1"/>
  <c r="M322" i="1"/>
  <c r="M320" i="1"/>
  <c r="M312" i="1"/>
  <c r="M310" i="1"/>
  <c r="M308" i="1"/>
  <c r="M306" i="1"/>
  <c r="M292" i="1"/>
  <c r="M286" i="1"/>
  <c r="M284" i="1"/>
  <c r="M282" i="1"/>
  <c r="M280" i="1"/>
  <c r="M278" i="1"/>
  <c r="M254" i="1"/>
  <c r="M252" i="1"/>
  <c r="M240" i="1"/>
  <c r="M238" i="1"/>
  <c r="M230" i="1"/>
  <c r="M212" i="1"/>
  <c r="M196" i="1"/>
  <c r="M192" i="1"/>
  <c r="M182" i="1"/>
  <c r="M178" i="1"/>
  <c r="M176" i="1"/>
  <c r="M172" i="1"/>
  <c r="M166" i="1"/>
  <c r="M148" i="1"/>
  <c r="M146" i="1"/>
  <c r="M144" i="1"/>
  <c r="M142" i="1"/>
  <c r="M138" i="1"/>
  <c r="M136" i="1"/>
  <c r="M124" i="1"/>
  <c r="M110" i="1"/>
  <c r="M92" i="1"/>
  <c r="M82" i="1"/>
  <c r="M78" i="1"/>
  <c r="M56" i="1"/>
  <c r="M54" i="1"/>
  <c r="M46" i="1"/>
  <c r="M44" i="1"/>
  <c r="M24" i="1"/>
  <c r="M8" i="1"/>
  <c r="M511" i="1"/>
  <c r="M509" i="1"/>
  <c r="M487" i="1"/>
  <c r="M481" i="1"/>
  <c r="M477" i="1"/>
  <c r="M471" i="1"/>
  <c r="M457" i="1"/>
  <c r="M455" i="1"/>
  <c r="M453" i="1"/>
  <c r="M435" i="1"/>
  <c r="M431" i="1"/>
  <c r="M425" i="1"/>
  <c r="M423" i="1"/>
  <c r="M421" i="1"/>
  <c r="M419" i="1"/>
  <c r="M417" i="1"/>
  <c r="M415" i="1"/>
  <c r="M411" i="1"/>
  <c r="M401" i="1"/>
  <c r="M391" i="1"/>
  <c r="M389" i="1"/>
  <c r="M385" i="1"/>
  <c r="M375" i="1"/>
  <c r="M357" i="1"/>
  <c r="M355" i="1"/>
  <c r="M351" i="1"/>
  <c r="M347" i="1"/>
  <c r="M345" i="1"/>
  <c r="M341" i="1"/>
  <c r="M329" i="1"/>
  <c r="M327" i="1"/>
  <c r="M323" i="1"/>
  <c r="M321" i="1"/>
  <c r="M317" i="1"/>
  <c r="M313" i="1"/>
  <c r="M311" i="1"/>
  <c r="M309" i="1"/>
  <c r="M307" i="1"/>
  <c r="M303" i="1"/>
  <c r="M301" i="1"/>
  <c r="M299" i="1"/>
  <c r="M297" i="1"/>
  <c r="M295" i="1"/>
  <c r="M293" i="1"/>
  <c r="M291" i="1"/>
  <c r="M285" i="1"/>
  <c r="M283" i="1"/>
  <c r="M281" i="1"/>
  <c r="M279" i="1"/>
  <c r="M275" i="1"/>
  <c r="M273" i="1"/>
  <c r="M271" i="1"/>
  <c r="M249" i="1"/>
  <c r="M231" i="1"/>
  <c r="M229" i="1"/>
  <c r="M227" i="1"/>
  <c r="M223" i="1"/>
  <c r="M217" i="1"/>
  <c r="M203" i="1"/>
  <c r="M193" i="1"/>
  <c r="M189" i="1"/>
  <c r="M185" i="1"/>
  <c r="M179" i="1"/>
  <c r="M177" i="1"/>
  <c r="M165" i="1"/>
  <c r="M151" i="1"/>
  <c r="M147" i="1"/>
  <c r="M143" i="1"/>
  <c r="M139" i="1"/>
  <c r="M137" i="1"/>
  <c r="M135" i="1"/>
  <c r="M133" i="1"/>
  <c r="M121" i="1"/>
  <c r="M115" i="1"/>
  <c r="M109" i="1"/>
  <c r="M103" i="1"/>
  <c r="M95" i="1"/>
  <c r="M87" i="1"/>
  <c r="M83" i="1"/>
  <c r="M69" i="1"/>
  <c r="M47" i="1"/>
  <c r="M35" i="1"/>
  <c r="M33" i="1"/>
  <c r="M256" i="1"/>
  <c r="M248" i="1"/>
  <c r="M244" i="1"/>
  <c r="M242" i="1"/>
  <c r="M236" i="1"/>
  <c r="M234" i="1"/>
  <c r="M232" i="1"/>
  <c r="M226" i="1"/>
  <c r="M224" i="1"/>
  <c r="M220" i="1"/>
  <c r="M218" i="1"/>
  <c r="M214" i="1"/>
  <c r="M208" i="1"/>
  <c r="M204" i="1"/>
  <c r="M190" i="1"/>
  <c r="M184" i="1"/>
  <c r="M180" i="1"/>
  <c r="M174" i="1"/>
  <c r="M168" i="1"/>
  <c r="M164" i="1"/>
  <c r="M162" i="1"/>
  <c r="M160" i="1"/>
  <c r="M158" i="1"/>
  <c r="M156" i="1"/>
  <c r="M154" i="1"/>
  <c r="M152" i="1"/>
  <c r="M140" i="1"/>
  <c r="M134" i="1"/>
  <c r="M132" i="1"/>
  <c r="M130" i="1"/>
  <c r="M128" i="1"/>
  <c r="M122" i="1"/>
  <c r="M118" i="1"/>
  <c r="M116" i="1"/>
  <c r="M114" i="1"/>
  <c r="M112" i="1"/>
  <c r="M108" i="1"/>
  <c r="M104" i="1"/>
  <c r="M98" i="1"/>
  <c r="M96" i="1"/>
  <c r="M94" i="1"/>
  <c r="M90" i="1"/>
  <c r="M88" i="1"/>
  <c r="M86" i="1"/>
  <c r="M80" i="1"/>
  <c r="M76" i="1"/>
  <c r="M74" i="1"/>
  <c r="M72" i="1"/>
  <c r="M70" i="1"/>
  <c r="M68" i="1"/>
  <c r="M66" i="1"/>
  <c r="M64" i="1"/>
  <c r="M62" i="1"/>
  <c r="M60" i="1"/>
  <c r="M58" i="1"/>
  <c r="M52" i="1"/>
  <c r="M50" i="1"/>
  <c r="M48" i="1"/>
  <c r="M42" i="1"/>
  <c r="M40" i="1"/>
  <c r="M38" i="1"/>
  <c r="M36" i="1"/>
  <c r="M34" i="1"/>
  <c r="M32" i="1"/>
  <c r="M30" i="1"/>
  <c r="M28" i="1"/>
  <c r="M26" i="1"/>
  <c r="M22" i="1"/>
  <c r="M20" i="1"/>
  <c r="M18" i="1"/>
  <c r="M16" i="1"/>
  <c r="M14" i="1"/>
  <c r="M12" i="1"/>
  <c r="M10" i="1"/>
  <c r="M6" i="1"/>
  <c r="M4" i="1"/>
  <c r="M255" i="1"/>
  <c r="M251" i="1"/>
  <c r="M247" i="1"/>
  <c r="M245" i="1"/>
  <c r="M243" i="1"/>
  <c r="M241" i="1"/>
  <c r="M239" i="1"/>
  <c r="M237" i="1"/>
  <c r="M235" i="1"/>
  <c r="M233" i="1"/>
  <c r="M225" i="1"/>
  <c r="M221" i="1"/>
  <c r="M215" i="1"/>
  <c r="M213" i="1"/>
  <c r="M211" i="1"/>
  <c r="M209" i="1"/>
  <c r="M207" i="1"/>
  <c r="M205" i="1"/>
  <c r="M197" i="1"/>
  <c r="M195" i="1"/>
  <c r="M191" i="1"/>
  <c r="M187" i="1"/>
  <c r="M183" i="1"/>
  <c r="M181" i="1"/>
  <c r="M175" i="1"/>
  <c r="M167" i="1"/>
  <c r="M163" i="1"/>
  <c r="M161" i="1"/>
  <c r="M159" i="1"/>
  <c r="M157" i="1"/>
  <c r="M149" i="1"/>
  <c r="M145" i="1"/>
  <c r="M141" i="1"/>
  <c r="M131" i="1"/>
  <c r="M123" i="1"/>
  <c r="M119" i="1"/>
  <c r="M117" i="1"/>
  <c r="M113" i="1"/>
  <c r="M111" i="1"/>
  <c r="M107" i="1"/>
  <c r="M105" i="1"/>
  <c r="M101" i="1"/>
  <c r="M99" i="1"/>
  <c r="M97" i="1"/>
  <c r="M93" i="1"/>
  <c r="M91" i="1"/>
  <c r="M89" i="1"/>
  <c r="M85" i="1"/>
  <c r="M81" i="1"/>
  <c r="M77" i="1"/>
  <c r="M75" i="1"/>
  <c r="M73" i="1"/>
  <c r="M71" i="1"/>
  <c r="M67" i="1"/>
  <c r="M65" i="1"/>
  <c r="M63" i="1"/>
  <c r="M59" i="1"/>
  <c r="M57" i="1"/>
  <c r="M55" i="1"/>
  <c r="M53" i="1"/>
  <c r="M51" i="1"/>
  <c r="M49" i="1"/>
  <c r="M45" i="1"/>
  <c r="M43" i="1"/>
  <c r="M41" i="1"/>
  <c r="M39" i="1"/>
  <c r="M37" i="1"/>
  <c r="M31" i="1"/>
  <c r="M29" i="1"/>
  <c r="M27" i="1"/>
  <c r="M25" i="1"/>
  <c r="M23" i="1"/>
  <c r="M21" i="1"/>
  <c r="M19" i="1"/>
  <c r="M17" i="1"/>
  <c r="M15" i="1"/>
  <c r="M13" i="1"/>
  <c r="M11" i="1"/>
  <c r="M9" i="1"/>
  <c r="M7" i="1"/>
  <c r="M5" i="1"/>
  <c r="M3" i="1"/>
  <c r="M2" i="1"/>
  <c r="N2" i="1"/>
</calcChain>
</file>

<file path=xl/sharedStrings.xml><?xml version="1.0" encoding="utf-8"?>
<sst xmlns="http://schemas.openxmlformats.org/spreadsheetml/2006/main" count="6330" uniqueCount="993">
  <si>
    <t>ADRBK1</t>
  </si>
  <si>
    <t>ADRBK2</t>
  </si>
  <si>
    <t>AKT1</t>
  </si>
  <si>
    <t>AKT2</t>
  </si>
  <si>
    <t>AKT3</t>
  </si>
  <si>
    <t>CDC42BPA</t>
  </si>
  <si>
    <t>CDC42BPB</t>
  </si>
  <si>
    <t>CDC42BPG</t>
  </si>
  <si>
    <t>CIT</t>
  </si>
  <si>
    <t>DMPK</t>
  </si>
  <si>
    <t>GRK1</t>
  </si>
  <si>
    <t>GRK4</t>
  </si>
  <si>
    <t>GRK5</t>
  </si>
  <si>
    <t>GRK6</t>
  </si>
  <si>
    <t>GRK7</t>
  </si>
  <si>
    <t>LATS1</t>
  </si>
  <si>
    <t>LATS2</t>
  </si>
  <si>
    <t>MAST1</t>
  </si>
  <si>
    <t>MAST2</t>
  </si>
  <si>
    <t>MAST3</t>
  </si>
  <si>
    <t>MAST4</t>
  </si>
  <si>
    <t>MASTL</t>
  </si>
  <si>
    <t>PDPK1</t>
  </si>
  <si>
    <t>PDPK2</t>
  </si>
  <si>
    <t>PKN1</t>
  </si>
  <si>
    <t>PKN2</t>
  </si>
  <si>
    <t>PKN3</t>
  </si>
  <si>
    <t>PRKACA</t>
  </si>
  <si>
    <t>PRKACB</t>
  </si>
  <si>
    <t>PRKACG</t>
  </si>
  <si>
    <t>PRKCA</t>
  </si>
  <si>
    <t>PRKCB</t>
  </si>
  <si>
    <t>PRKCD</t>
  </si>
  <si>
    <t>PRKCE</t>
  </si>
  <si>
    <t>PRKCG</t>
  </si>
  <si>
    <t>PRKCH</t>
  </si>
  <si>
    <t>PRKCI</t>
  </si>
  <si>
    <t>PRKCQ</t>
  </si>
  <si>
    <t>PRKCZ</t>
  </si>
  <si>
    <t>PRKG1</t>
  </si>
  <si>
    <t>PRKG2</t>
  </si>
  <si>
    <t>PRKX</t>
  </si>
  <si>
    <t>PRKY</t>
  </si>
  <si>
    <t>ROCK1</t>
  </si>
  <si>
    <t>ROCK2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</si>
  <si>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</si>
  <si>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</si>
  <si>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</si>
  <si>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</si>
  <si>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</si>
  <si>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</si>
  <si>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</si>
  <si>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</si>
  <si>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SGK2</t>
  </si>
  <si>
    <t>SGK3</t>
  </si>
  <si>
    <t>STK38</t>
  </si>
  <si>
    <t>STK38L</t>
  </si>
  <si>
    <t>BRSK1</t>
  </si>
  <si>
    <t>BRSK2</t>
  </si>
  <si>
    <t>CAMK1</t>
  </si>
  <si>
    <t>CAMK1D</t>
  </si>
  <si>
    <t>CAMK1G</t>
  </si>
  <si>
    <t>CAMK2A</t>
  </si>
  <si>
    <t>CAMK2B</t>
  </si>
  <si>
    <t>CAMK2D</t>
  </si>
  <si>
    <t>CAMK2G</t>
  </si>
  <si>
    <t>CAMK4</t>
  </si>
  <si>
    <t>CAMKV</t>
  </si>
  <si>
    <t>CASK</t>
  </si>
  <si>
    <t>CHEK1</t>
  </si>
  <si>
    <t>CHEK2</t>
  </si>
  <si>
    <t>DAPK1</t>
  </si>
  <si>
    <t>DAPK2</t>
  </si>
  <si>
    <t>DAPK3</t>
  </si>
  <si>
    <t>DCLK1</t>
  </si>
  <si>
    <t>DCLK2</t>
  </si>
  <si>
    <t>DCLK3</t>
  </si>
  <si>
    <t>Gm4776</t>
  </si>
  <si>
    <t>Gm4922</t>
  </si>
  <si>
    <t>Gm7168</t>
  </si>
  <si>
    <t>HUNK</t>
  </si>
  <si>
    <t>KALRN</t>
  </si>
  <si>
    <t>MAPKAPK2</t>
  </si>
  <si>
    <t>MAPKAPK3</t>
  </si>
  <si>
    <t>MAPKAPK5</t>
  </si>
  <si>
    <t>MARK1</t>
  </si>
  <si>
    <t>MARK2</t>
  </si>
  <si>
    <t>MARK3</t>
  </si>
  <si>
    <t>MARK4</t>
  </si>
  <si>
    <t>MELK</t>
  </si>
  <si>
    <t>MKNK1</t>
  </si>
  <si>
    <t>MKNK2</t>
  </si>
  <si>
    <t>MYLK</t>
  </si>
  <si>
    <t>MYLK2</t>
  </si>
  <si>
    <t>MYLK3</t>
  </si>
  <si>
    <t>MYLK4</t>
  </si>
  <si>
    <t>NIM1</t>
  </si>
  <si>
    <t>NUAK1</t>
  </si>
  <si>
    <t>NUAK2</t>
  </si>
  <si>
    <t>OBSCN</t>
  </si>
  <si>
    <t>PASK</t>
  </si>
  <si>
    <t>PHKG1</t>
  </si>
  <si>
    <t>PHKG2</t>
  </si>
  <si>
    <t>PIM1</t>
  </si>
  <si>
    <t>PIM2</t>
  </si>
  <si>
    <t>PIM3</t>
  </si>
  <si>
    <t>PNCK</t>
  </si>
  <si>
    <t>PRKAA1</t>
  </si>
  <si>
    <t>PRKAA2</t>
  </si>
  <si>
    <t>PRKD1</t>
  </si>
  <si>
    <t>PRKD2</t>
  </si>
  <si>
    <t>PRKD3</t>
  </si>
  <si>
    <t>PSKH1</t>
  </si>
  <si>
    <t>PSKH2</t>
  </si>
  <si>
    <t>SIK1</t>
  </si>
  <si>
    <t>SIK2</t>
  </si>
  <si>
    <t>SIK3</t>
  </si>
  <si>
    <t>SNRK</t>
  </si>
  <si>
    <t>SPEG</t>
  </si>
  <si>
    <t>STK11</t>
  </si>
  <si>
    <t>STK17A</t>
  </si>
  <si>
    <t>STK17B</t>
  </si>
  <si>
    <t>STK33</t>
  </si>
  <si>
    <t>STK40</t>
  </si>
  <si>
    <t>Smok2a</t>
  </si>
  <si>
    <t>Smok2b</t>
  </si>
  <si>
    <t>Smok3a</t>
  </si>
  <si>
    <t>TRIB1</t>
  </si>
  <si>
    <t>TRIB2</t>
  </si>
  <si>
    <t>TRIB3</t>
  </si>
  <si>
    <t>TRIO</t>
  </si>
  <si>
    <t>TSSK1B</t>
  </si>
  <si>
    <t>TSSK2</t>
  </si>
  <si>
    <t>TSSK3</t>
  </si>
  <si>
    <t>TSSK4</t>
  </si>
  <si>
    <t>TSSK6</t>
  </si>
  <si>
    <t>TTN</t>
  </si>
  <si>
    <t>Tssk5</t>
  </si>
  <si>
    <t>CSNK1A1</t>
  </si>
  <si>
    <t>CSNK1A1L</t>
  </si>
  <si>
    <t>CSNK1D</t>
  </si>
  <si>
    <t>CSNK1E</t>
  </si>
  <si>
    <t>CSNK1G1</t>
  </si>
  <si>
    <t>CSNK1G2</t>
  </si>
  <si>
    <t>CSNK1G3</t>
  </si>
  <si>
    <t>TTBK1</t>
  </si>
  <si>
    <t>TTBK2</t>
  </si>
  <si>
    <t>VRK1</t>
  </si>
  <si>
    <t>VRK2</t>
  </si>
  <si>
    <t>VRK3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</si>
  <si>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</si>
  <si>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</si>
  <si>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</si>
  <si>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</si>
  <si>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</si>
  <si>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</si>
  <si>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</si>
  <si>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</si>
  <si>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</si>
  <si>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</si>
  <si>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</si>
  <si>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</si>
  <si>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</si>
  <si>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</si>
  <si>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CDK3</t>
  </si>
  <si>
    <t>CDK4</t>
  </si>
  <si>
    <t>CDK5</t>
  </si>
  <si>
    <t>CDK6</t>
  </si>
  <si>
    <t>CDK7</t>
  </si>
  <si>
    <t>CDK8</t>
  </si>
  <si>
    <t>CDK9</t>
  </si>
  <si>
    <t>CDKL1</t>
  </si>
  <si>
    <t>CDKL2</t>
  </si>
  <si>
    <t>CDKL3</t>
  </si>
  <si>
    <t>CDKL4</t>
  </si>
  <si>
    <t>CDKL5</t>
  </si>
  <si>
    <t>CLK1</t>
  </si>
  <si>
    <t>CLK2</t>
  </si>
  <si>
    <t>CLK3</t>
  </si>
  <si>
    <t>CLK4</t>
  </si>
  <si>
    <t>DYRK1A</t>
  </si>
  <si>
    <t>DYRK1B</t>
  </si>
  <si>
    <t>DYRK2</t>
  </si>
  <si>
    <t>DYRK3</t>
  </si>
  <si>
    <t>DYRK4</t>
  </si>
  <si>
    <t>GSK3A</t>
  </si>
  <si>
    <t>GSK3B</t>
  </si>
  <si>
    <t>HIPK1</t>
  </si>
  <si>
    <t>HIPK2</t>
  </si>
  <si>
    <t>HIPK3</t>
  </si>
  <si>
    <t>HIPK4</t>
  </si>
  <si>
    <t>ICK</t>
  </si>
  <si>
    <t>MAK</t>
  </si>
  <si>
    <t>MAPK1</t>
  </si>
  <si>
    <t>MAPK10</t>
  </si>
  <si>
    <t>MAPK11</t>
  </si>
  <si>
    <t>MAPK12</t>
  </si>
  <si>
    <t>MAPK13</t>
  </si>
  <si>
    <t>MAPK14</t>
  </si>
  <si>
    <t>MAPK15</t>
  </si>
  <si>
    <t>MAPK3</t>
  </si>
  <si>
    <t>MAPK4</t>
  </si>
  <si>
    <t>MAPK6</t>
  </si>
  <si>
    <t>MAPK7</t>
  </si>
  <si>
    <t>MAPK8</t>
  </si>
  <si>
    <t>MAPK9</t>
  </si>
  <si>
    <t>MOK</t>
  </si>
  <si>
    <t>NLK</t>
  </si>
  <si>
    <t>PRPF4B</t>
  </si>
  <si>
    <t>SRPK1</t>
  </si>
  <si>
    <t>SRPK2</t>
  </si>
  <si>
    <t>SRPK3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</si>
  <si>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</si>
  <si>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</si>
  <si>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</si>
  <si>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</si>
  <si>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</si>
  <si>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</si>
  <si>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</si>
  <si>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</si>
  <si>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</si>
  <si>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</si>
  <si>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</si>
  <si>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GUCY2C</t>
  </si>
  <si>
    <t>GUCY2D</t>
  </si>
  <si>
    <t>GUCY2F</t>
  </si>
  <si>
    <t>Gucy2e</t>
  </si>
  <si>
    <t>Gucy2g</t>
  </si>
  <si>
    <t>NPR1</t>
  </si>
  <si>
    <t>NPR2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</si>
  <si>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</si>
  <si>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</si>
  <si>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</si>
  <si>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</si>
  <si>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</si>
  <si>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</si>
  <si>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</si>
  <si>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</si>
  <si>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</si>
  <si>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</si>
  <si>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</si>
  <si>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</si>
  <si>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</si>
  <si>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</si>
  <si>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</si>
  <si>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</si>
  <si>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</si>
  <si>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</si>
  <si>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</si>
  <si>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</si>
  <si>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</si>
  <si>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MAP3K8</t>
  </si>
  <si>
    <t>MAP3K9</t>
  </si>
  <si>
    <t>MAP4K1</t>
  </si>
  <si>
    <t>MAP4K2</t>
  </si>
  <si>
    <t>MAP4K3</t>
  </si>
  <si>
    <t>MAP4K4</t>
  </si>
  <si>
    <t>MAP4K5</t>
  </si>
  <si>
    <t>MINK1</t>
  </si>
  <si>
    <t>MLK4</t>
  </si>
  <si>
    <t>MLTK</t>
  </si>
  <si>
    <t>MST4</t>
  </si>
  <si>
    <t>MYO3A</t>
  </si>
  <si>
    <t>MYO3B</t>
  </si>
  <si>
    <t>NRK</t>
  </si>
  <si>
    <t>OXSR1</t>
  </si>
  <si>
    <t>PAK1</t>
  </si>
  <si>
    <t>PAK2</t>
  </si>
  <si>
    <t>PAK3</t>
  </si>
  <si>
    <t>PAK4</t>
  </si>
  <si>
    <t>PAK6</t>
  </si>
  <si>
    <t>PAK7</t>
  </si>
  <si>
    <t>PBK</t>
  </si>
  <si>
    <t>SLK</t>
  </si>
  <si>
    <t>STK10</t>
  </si>
  <si>
    <t>STK24</t>
  </si>
  <si>
    <t>STK25</t>
  </si>
  <si>
    <t>STK3</t>
  </si>
  <si>
    <t>STK39</t>
  </si>
  <si>
    <t>STK4</t>
  </si>
  <si>
    <t>STRADA</t>
  </si>
  <si>
    <t>STRADB</t>
  </si>
  <si>
    <t>TAOK1</t>
  </si>
  <si>
    <t>TAOK2</t>
  </si>
  <si>
    <t>TAOK3</t>
  </si>
  <si>
    <t>TNIK</t>
  </si>
  <si>
    <t>ACVR1</t>
  </si>
  <si>
    <t>ACVR1B</t>
  </si>
  <si>
    <t>ACVR1C</t>
  </si>
  <si>
    <t>ACVR2A</t>
  </si>
  <si>
    <t>ACVR2B</t>
  </si>
  <si>
    <t>ACVRL1</t>
  </si>
  <si>
    <t>AMHR2</t>
  </si>
  <si>
    <t>ANKK1</t>
  </si>
  <si>
    <t>ARAF</t>
  </si>
  <si>
    <t>BMPR1A</t>
  </si>
  <si>
    <t>BMPR1B</t>
  </si>
  <si>
    <t>BMPR2</t>
  </si>
  <si>
    <t>BRAF</t>
  </si>
  <si>
    <t>ILK</t>
  </si>
  <si>
    <t>IRAK1</t>
  </si>
  <si>
    <t>IRAK2</t>
  </si>
  <si>
    <t>IRAK3</t>
  </si>
  <si>
    <t>IRAK4</t>
  </si>
  <si>
    <t>KSR1</t>
  </si>
  <si>
    <t>KSR2</t>
  </si>
  <si>
    <t>LIMK1</t>
  </si>
  <si>
    <t>LIMK2</t>
  </si>
  <si>
    <t>LRRK1</t>
  </si>
  <si>
    <t>LRRK2</t>
  </si>
  <si>
    <t>RAF1</t>
  </si>
  <si>
    <t>RIPK1</t>
  </si>
  <si>
    <t>RIPK2</t>
  </si>
  <si>
    <t>RIPK3</t>
  </si>
  <si>
    <t>RIPK4</t>
  </si>
  <si>
    <t>TESK1</t>
  </si>
  <si>
    <t>TESK2</t>
  </si>
  <si>
    <t>TGFBR1</t>
  </si>
  <si>
    <t>TGFBR2</t>
  </si>
  <si>
    <t>TNNI3K</t>
  </si>
  <si>
    <t>AATK</t>
  </si>
  <si>
    <t>ABL1</t>
  </si>
  <si>
    <t>ABL2</t>
  </si>
  <si>
    <t>ALK</t>
  </si>
  <si>
    <t>AXL</t>
  </si>
  <si>
    <t>BLK</t>
  </si>
  <si>
    <t>BMX</t>
  </si>
  <si>
    <t>BTK</t>
  </si>
  <si>
    <t>CSF1R</t>
  </si>
  <si>
    <t>CSK</t>
  </si>
  <si>
    <t>DDR1</t>
  </si>
  <si>
    <t>DDR2</t>
  </si>
  <si>
    <t>EGFR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</si>
  <si>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</si>
  <si>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</si>
  <si>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</si>
  <si>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</si>
  <si>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</si>
  <si>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</si>
  <si>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</si>
  <si>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</si>
  <si>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</si>
  <si>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</si>
  <si>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</si>
  <si>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</si>
  <si>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</si>
  <si>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</si>
  <si>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ERBB2</t>
  </si>
  <si>
    <t>ERBB3</t>
  </si>
  <si>
    <t>ERBB4</t>
  </si>
  <si>
    <t>FER</t>
  </si>
  <si>
    <t>FES</t>
  </si>
  <si>
    <t>FGFR1</t>
  </si>
  <si>
    <t>FGFR2</t>
  </si>
  <si>
    <t>FGFR3</t>
  </si>
  <si>
    <t>FGFR4</t>
  </si>
  <si>
    <t>FGR</t>
  </si>
  <si>
    <t>FLT1</t>
  </si>
  <si>
    <t>FLT3</t>
  </si>
  <si>
    <t>FLT4</t>
  </si>
  <si>
    <t>FRK</t>
  </si>
  <si>
    <t>FYN</t>
  </si>
  <si>
    <t>HCK</t>
  </si>
  <si>
    <t>IGF1R</t>
  </si>
  <si>
    <t>INSR</t>
  </si>
  <si>
    <t>INSRR</t>
  </si>
  <si>
    <t>ITK</t>
  </si>
  <si>
    <t>JAK1</t>
  </si>
  <si>
    <t>JAK2</t>
  </si>
  <si>
    <t>JAK3</t>
  </si>
  <si>
    <t>KDR</t>
  </si>
  <si>
    <t>KIT</t>
  </si>
  <si>
    <t>LCK</t>
  </si>
  <si>
    <t>LMTK2</t>
  </si>
  <si>
    <t>LMTK3</t>
  </si>
  <si>
    <t>LTK</t>
  </si>
  <si>
    <t>LYN</t>
  </si>
  <si>
    <t>MATK</t>
  </si>
  <si>
    <t>MERTK</t>
  </si>
  <si>
    <t>MET</t>
  </si>
  <si>
    <t>MST1R</t>
  </si>
  <si>
    <t>MUSK</t>
  </si>
  <si>
    <t>NTRK1</t>
  </si>
  <si>
    <t>NTRK2</t>
  </si>
  <si>
    <t>NTRK3</t>
  </si>
  <si>
    <t>PDGFRA</t>
  </si>
  <si>
    <t>PDGFRB</t>
  </si>
  <si>
    <t>PTK2</t>
  </si>
  <si>
    <t>PTK2B</t>
  </si>
  <si>
    <t>PTK6</t>
  </si>
  <si>
    <t>PTK7</t>
  </si>
  <si>
    <t>RET</t>
  </si>
  <si>
    <t>ROR1</t>
  </si>
  <si>
    <t>ROR2</t>
  </si>
  <si>
    <t>ROS1</t>
  </si>
  <si>
    <t>RYK</t>
  </si>
  <si>
    <t>SRC</t>
  </si>
  <si>
    <t>SRMS</t>
  </si>
  <si>
    <t>STYK1</t>
  </si>
  <si>
    <t>SYK</t>
  </si>
  <si>
    <t>Smok1</t>
  </si>
  <si>
    <t>Smok4a</t>
  </si>
  <si>
    <t>Smoktcr</t>
  </si>
  <si>
    <t>TEC</t>
  </si>
  <si>
    <t>TEK</t>
  </si>
  <si>
    <t>TIE1</t>
  </si>
  <si>
    <t>TNK1</t>
  </si>
  <si>
    <t>TNK2</t>
  </si>
  <si>
    <t>TXK</t>
  </si>
  <si>
    <t>TYK2</t>
  </si>
  <si>
    <t>TYRO3</t>
  </si>
  <si>
    <t>YES1</t>
  </si>
  <si>
    <t>ZAP70</t>
  </si>
  <si>
    <t>AAK1</t>
  </si>
  <si>
    <t>AURKA</t>
  </si>
  <si>
    <t>AURKB</t>
  </si>
  <si>
    <t>AURKC</t>
  </si>
  <si>
    <t>BMP2K</t>
  </si>
  <si>
    <t>BUB1</t>
  </si>
  <si>
    <t>BUB1B</t>
  </si>
  <si>
    <t>CAMKK1</t>
  </si>
  <si>
    <t>CAMKK2</t>
  </si>
  <si>
    <t>CDC7</t>
  </si>
  <si>
    <t>CHUK</t>
  </si>
  <si>
    <t>CSNK2A1</t>
  </si>
  <si>
    <t>CSNK2A2</t>
  </si>
  <si>
    <t>CSNK2A3</t>
  </si>
  <si>
    <t>DSTYK</t>
  </si>
  <si>
    <t>EIF2AK1</t>
  </si>
  <si>
    <t>EIF2AK2</t>
  </si>
  <si>
    <t>EIF2AK3</t>
  </si>
  <si>
    <t>EIF2AK4</t>
  </si>
  <si>
    <t>ERN1</t>
  </si>
  <si>
    <t>ERN2</t>
  </si>
  <si>
    <t>GAK</t>
  </si>
  <si>
    <t>GSG2</t>
  </si>
  <si>
    <t>IKBKB</t>
  </si>
  <si>
    <t>IKBKE</t>
  </si>
  <si>
    <t>MLKL</t>
  </si>
  <si>
    <t>MOS</t>
  </si>
  <si>
    <t>NRBP1</t>
  </si>
  <si>
    <t>NRBP2</t>
  </si>
  <si>
    <t>PAN3</t>
  </si>
  <si>
    <t>PDIK1L</t>
  </si>
  <si>
    <t>PEAK1</t>
  </si>
  <si>
    <t>PIK3R4</t>
  </si>
  <si>
    <t>PINK1</t>
  </si>
  <si>
    <t>PKDCC</t>
  </si>
  <si>
    <t>PKMYT1</t>
  </si>
  <si>
    <t>PLK1</t>
  </si>
  <si>
    <t>PLK2</t>
  </si>
  <si>
    <t>PLK3</t>
  </si>
  <si>
    <t>PLK4</t>
  </si>
  <si>
    <t>PLK5</t>
  </si>
  <si>
    <t>POMK</t>
  </si>
  <si>
    <t>PXK</t>
  </si>
  <si>
    <t>RNASEL</t>
  </si>
  <si>
    <t>RPS6KC1</t>
  </si>
  <si>
    <t>RPS6KL1</t>
  </si>
  <si>
    <t>SBK1</t>
  </si>
  <si>
    <t>SBK2</t>
  </si>
  <si>
    <t>SCYL1</t>
  </si>
  <si>
    <t>SCYL2</t>
  </si>
  <si>
    <t>SCYL3</t>
  </si>
  <si>
    <t>SGK071</t>
  </si>
  <si>
    <t>SGK110</t>
  </si>
  <si>
    <t>SGK223</t>
  </si>
  <si>
    <t>SGK494</t>
  </si>
  <si>
    <t>STK16</t>
  </si>
  <si>
    <t>STK31</t>
  </si>
  <si>
    <t>STK32A</t>
  </si>
  <si>
    <t>STK32B</t>
  </si>
  <si>
    <t>STK32C</t>
  </si>
  <si>
    <t>STK35</t>
  </si>
  <si>
    <t>STK36</t>
  </si>
  <si>
    <t>TBCK</t>
  </si>
  <si>
    <t>TBK1</t>
  </si>
  <si>
    <t>TEX14</t>
  </si>
  <si>
    <t>TLK1</t>
  </si>
  <si>
    <t>TLK2</t>
  </si>
  <si>
    <t>TP53RK</t>
  </si>
  <si>
    <t>TTK</t>
  </si>
  <si>
    <t>UHMK1</t>
  </si>
  <si>
    <t>ULK1</t>
  </si>
  <si>
    <t>ULK2</t>
  </si>
  <si>
    <t>ULK3</t>
  </si>
  <si>
    <t>ULK4</t>
  </si>
  <si>
    <t>WEE1</t>
  </si>
  <si>
    <t>WEE2</t>
  </si>
  <si>
    <t>WNK1</t>
  </si>
  <si>
    <t>WNK2</t>
  </si>
  <si>
    <t>WNK3</t>
  </si>
  <si>
    <t>WNK4</t>
  </si>
  <si>
    <t>ADCK1</t>
  </si>
  <si>
    <t>ADCK2</t>
  </si>
  <si>
    <t>ADCK3</t>
  </si>
  <si>
    <t>ADCK4</t>
  </si>
  <si>
    <t>ADCK5</t>
  </si>
  <si>
    <t>ALPK1</t>
  </si>
  <si>
    <t>ALPK2</t>
  </si>
  <si>
    <t>ALPK3</t>
  </si>
  <si>
    <t>EEF2K</t>
  </si>
  <si>
    <t>TRPM6</t>
  </si>
  <si>
    <t>TRPM7</t>
  </si>
  <si>
    <t>FASTK</t>
  </si>
  <si>
    <t>BCKDK</t>
  </si>
  <si>
    <t>PDK1</t>
  </si>
  <si>
    <t>PDK2</t>
  </si>
  <si>
    <t>PDK3</t>
  </si>
  <si>
    <t>PDK4</t>
  </si>
  <si>
    <t>ATM</t>
  </si>
  <si>
    <t>ATR</t>
  </si>
  <si>
    <t>MTOR</t>
  </si>
  <si>
    <t>PIK3CA</t>
  </si>
  <si>
    <t>PIK3CG</t>
  </si>
  <si>
    <t>PRKDC</t>
  </si>
  <si>
    <t>SMG1</t>
  </si>
  <si>
    <t>RIOK1</t>
  </si>
  <si>
    <t>RIOK2</t>
  </si>
  <si>
    <t>RIOK3</t>
  </si>
  <si>
    <t>PFAM-Gene Name</t>
  </si>
  <si>
    <t>Partial Bayes probability</t>
  </si>
  <si>
    <t>Probability Expressed</t>
  </si>
  <si>
    <t>Family</t>
  </si>
  <si>
    <t>AGC</t>
  </si>
  <si>
    <t>Probability</t>
  </si>
  <si>
    <t>SUM</t>
  </si>
  <si>
    <t>Bayes Probability</t>
  </si>
  <si>
    <t>partial information</t>
  </si>
  <si>
    <t>Information</t>
  </si>
  <si>
    <t>SGK1</t>
  </si>
  <si>
    <t>mpkCCD database</t>
  </si>
  <si>
    <t>Clone 11 Microarray signal</t>
  </si>
  <si>
    <t>Clone11_signal</t>
  </si>
  <si>
    <t>CAMK</t>
  </si>
  <si>
    <t>Tyr</t>
  </si>
  <si>
    <t>Other</t>
  </si>
  <si>
    <t>CMGC</t>
  </si>
  <si>
    <t>CK1</t>
  </si>
  <si>
    <t>TKL</t>
  </si>
  <si>
    <t>STE</t>
  </si>
  <si>
    <t>NEK</t>
  </si>
  <si>
    <t>Atypical</t>
  </si>
  <si>
    <t>RGC</t>
  </si>
  <si>
    <t>mpkCCD proteome</t>
  </si>
  <si>
    <t>Prkci</t>
  </si>
  <si>
    <t>Wnk1</t>
  </si>
  <si>
    <t>Mapk1</t>
  </si>
  <si>
    <t>Gsk3b</t>
  </si>
  <si>
    <t>Mylk</t>
  </si>
  <si>
    <t>Pdk1</t>
  </si>
  <si>
    <t>Mark2</t>
  </si>
  <si>
    <t>Slk</t>
  </si>
  <si>
    <t>Nuak2</t>
  </si>
  <si>
    <t>Stk24</t>
  </si>
  <si>
    <t>Mapk14</t>
  </si>
  <si>
    <t>Map4k5</t>
  </si>
  <si>
    <t>Trio</t>
  </si>
  <si>
    <t>Pak2</t>
  </si>
  <si>
    <t>Prkaca</t>
  </si>
  <si>
    <t>Mapk3</t>
  </si>
  <si>
    <t>Mapk13</t>
  </si>
  <si>
    <t>Clk1</t>
  </si>
  <si>
    <t>Rps6ka1</t>
  </si>
  <si>
    <t>Trpm7</t>
  </si>
  <si>
    <t>Prkcd</t>
  </si>
  <si>
    <t>Mapk12</t>
  </si>
  <si>
    <t>Map3k4</t>
  </si>
  <si>
    <t>Map2k1</t>
  </si>
  <si>
    <t>Prkacb</t>
  </si>
  <si>
    <t>Cdc42bpb</t>
  </si>
  <si>
    <t>Pkn2</t>
  </si>
  <si>
    <t>Prpf4b</t>
  </si>
  <si>
    <t>Rock2</t>
  </si>
  <si>
    <t>Fgfr2</t>
  </si>
  <si>
    <t>Pik3ca</t>
  </si>
  <si>
    <t>Gak</t>
  </si>
  <si>
    <t>Wnk4</t>
  </si>
  <si>
    <t>Pak4</t>
  </si>
  <si>
    <t>Egfr</t>
  </si>
  <si>
    <t>Map4k4</t>
  </si>
  <si>
    <t>Ulk1</t>
  </si>
  <si>
    <t>Pdk3</t>
  </si>
  <si>
    <t>Oxsr1</t>
  </si>
  <si>
    <t>Snrk</t>
  </si>
  <si>
    <t>Prkdc</t>
  </si>
  <si>
    <t>Atr</t>
  </si>
  <si>
    <t>Camk2d</t>
  </si>
  <si>
    <t>Styk1</t>
  </si>
  <si>
    <t>Chek2</t>
  </si>
  <si>
    <t>Map3k1</t>
  </si>
  <si>
    <t>Ephb2</t>
  </si>
  <si>
    <t>Rps6kb2</t>
  </si>
  <si>
    <t>Jak3</t>
  </si>
  <si>
    <t>Nuak1</t>
  </si>
  <si>
    <t>Ptk7</t>
  </si>
  <si>
    <t>Prkca</t>
  </si>
  <si>
    <t>Rps6ka3</t>
  </si>
  <si>
    <t>Dyrk3</t>
  </si>
  <si>
    <t>Tssk6</t>
  </si>
  <si>
    <t>Ttn</t>
  </si>
  <si>
    <t>Nrk</t>
  </si>
  <si>
    <t>Pak3</t>
  </si>
  <si>
    <t>Alk</t>
  </si>
  <si>
    <t>Epha3</t>
  </si>
  <si>
    <t>Insrr</t>
  </si>
  <si>
    <t>Itk</t>
  </si>
  <si>
    <t>Pink1</t>
  </si>
  <si>
    <t>Alpk3</t>
  </si>
  <si>
    <t>Trpm6</t>
  </si>
  <si>
    <t>Expressed Probability</t>
  </si>
  <si>
    <t>Prior Probability</t>
  </si>
  <si>
    <t>Partial Bayes Probability</t>
  </si>
  <si>
    <t>Partial Information</t>
  </si>
  <si>
    <t>Shannon Information</t>
  </si>
  <si>
    <t>Consensus Site Probability</t>
  </si>
  <si>
    <t>Kinase Family</t>
  </si>
  <si>
    <t>Sum</t>
  </si>
  <si>
    <t>Colocalization Probability</t>
  </si>
  <si>
    <t>Prior Bayes Probability</t>
  </si>
  <si>
    <t>Shannon Info</t>
  </si>
  <si>
    <t>Transcriptome</t>
  </si>
  <si>
    <t>Proteome</t>
  </si>
  <si>
    <t>Consensus Site</t>
  </si>
  <si>
    <t>AVP Regulation</t>
  </si>
  <si>
    <t>Aqp2 Colocalization</t>
  </si>
  <si>
    <t>Initial Probability</t>
  </si>
  <si>
    <t>Aak1</t>
  </si>
  <si>
    <t>Acvr2a</t>
  </si>
  <si>
    <t>Akt1</t>
  </si>
  <si>
    <t>Aurka</t>
  </si>
  <si>
    <t>Bub1</t>
  </si>
  <si>
    <t>Bub1b</t>
  </si>
  <si>
    <t>Camk2b</t>
  </si>
  <si>
    <t>Camkk2</t>
  </si>
  <si>
    <t>Cdc42bpg</t>
  </si>
  <si>
    <t>Cdc7</t>
  </si>
  <si>
    <t>Cdk2</t>
  </si>
  <si>
    <t>Cdk4</t>
  </si>
  <si>
    <t>Cdk6</t>
  </si>
  <si>
    <t>Cdk8</t>
  </si>
  <si>
    <t>Cdk9</t>
  </si>
  <si>
    <t>Cdkl1</t>
  </si>
  <si>
    <t>Chek1</t>
  </si>
  <si>
    <t>Clk2</t>
  </si>
  <si>
    <t>Csf1r</t>
  </si>
  <si>
    <t>Csnk1a1</t>
  </si>
  <si>
    <t>Csnk1d</t>
  </si>
  <si>
    <t>Csnk1e</t>
  </si>
  <si>
    <t>Csnk2a1</t>
  </si>
  <si>
    <t>Csnk2a2</t>
  </si>
  <si>
    <t>Dyrk1a</t>
  </si>
  <si>
    <t>Erbb2</t>
  </si>
  <si>
    <t>Frk</t>
  </si>
  <si>
    <t>Igf1r</t>
  </si>
  <si>
    <t>Ikbkb</t>
  </si>
  <si>
    <t>Ilk</t>
  </si>
  <si>
    <t>Jak1</t>
  </si>
  <si>
    <t>Lmtk2</t>
  </si>
  <si>
    <t>Lrrk1</t>
  </si>
  <si>
    <t>Map2k2</t>
  </si>
  <si>
    <t>Map2k3</t>
  </si>
  <si>
    <t>Map2k7</t>
  </si>
  <si>
    <t>Map4k3</t>
  </si>
  <si>
    <t>Mapk6</t>
  </si>
  <si>
    <t>Mark3</t>
  </si>
  <si>
    <t>Melk</t>
  </si>
  <si>
    <t>Mknk2</t>
  </si>
  <si>
    <t>Nek7</t>
  </si>
  <si>
    <t>Nek9</t>
  </si>
  <si>
    <t>Nlk</t>
  </si>
  <si>
    <t>Pbk</t>
  </si>
  <si>
    <t>Pdpk1</t>
  </si>
  <si>
    <t>Pkmyt1</t>
  </si>
  <si>
    <t>Plk1</t>
  </si>
  <si>
    <t>Plk2</t>
  </si>
  <si>
    <t>Ptk2</t>
  </si>
  <si>
    <t>Raf1</t>
  </si>
  <si>
    <t>Riok3</t>
  </si>
  <si>
    <t>Rock1</t>
  </si>
  <si>
    <t>Rps6ka4</t>
  </si>
  <si>
    <t>Srpk1</t>
  </si>
  <si>
    <t>Stk11</t>
  </si>
  <si>
    <t>Stk25</t>
  </si>
  <si>
    <t>Stk3</t>
  </si>
  <si>
    <t>Stk38</t>
  </si>
  <si>
    <t>Stk4</t>
  </si>
  <si>
    <t>Taok1</t>
  </si>
  <si>
    <t>Tbk1</t>
  </si>
  <si>
    <t>Tlk1</t>
  </si>
  <si>
    <t>Tlk2</t>
  </si>
  <si>
    <t>Vrk1</t>
  </si>
  <si>
    <t>Vrk3</t>
  </si>
  <si>
    <t>Abl1</t>
  </si>
  <si>
    <t>Adck5</t>
  </si>
  <si>
    <t>Adrbk1</t>
  </si>
  <si>
    <t>Akt2</t>
  </si>
  <si>
    <t>Akt3</t>
  </si>
  <si>
    <t>Araf</t>
  </si>
  <si>
    <t>Atm</t>
  </si>
  <si>
    <t>Aurkb</t>
  </si>
  <si>
    <t>Bckdk</t>
  </si>
  <si>
    <t>Bmp2k</t>
  </si>
  <si>
    <t>Braf</t>
  </si>
  <si>
    <t>Camk2g</t>
  </si>
  <si>
    <t>Cask</t>
  </si>
  <si>
    <t>Cdc42bpa</t>
  </si>
  <si>
    <t>Cdk5</t>
  </si>
  <si>
    <t>Csk</t>
  </si>
  <si>
    <t>Csnk1g3</t>
  </si>
  <si>
    <t>Dapk3</t>
  </si>
  <si>
    <t>Gsk3a</t>
  </si>
  <si>
    <t>Jak2</t>
  </si>
  <si>
    <t>Limk2</t>
  </si>
  <si>
    <t>Map2k4</t>
  </si>
  <si>
    <t>Map2k5</t>
  </si>
  <si>
    <t>Map3k2</t>
  </si>
  <si>
    <t>Map3k3</t>
  </si>
  <si>
    <t>Mapk8</t>
  </si>
  <si>
    <t>Mapkapk2</t>
  </si>
  <si>
    <t>Mapkapk5</t>
  </si>
  <si>
    <t>Nek1</t>
  </si>
  <si>
    <t>Nrbp1</t>
  </si>
  <si>
    <t>Nrbp2</t>
  </si>
  <si>
    <t>Pak6</t>
  </si>
  <si>
    <t>Pan3</t>
  </si>
  <si>
    <t>Pxk</t>
  </si>
  <si>
    <t>Ripk1</t>
  </si>
  <si>
    <t>Rps6kb1</t>
  </si>
  <si>
    <t>Scyl1</t>
  </si>
  <si>
    <t>Adck1</t>
  </si>
  <si>
    <t>Adrbk2</t>
  </si>
  <si>
    <t>Alpk2</t>
  </si>
  <si>
    <t>Blk</t>
  </si>
  <si>
    <t>Bmpr1b</t>
  </si>
  <si>
    <t>Camk1</t>
  </si>
  <si>
    <t>Camk2a</t>
  </si>
  <si>
    <t>Cdk1</t>
  </si>
  <si>
    <t>Cdk10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</si>
  <si>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</si>
  <si>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</si>
  <si>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</si>
  <si>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</si>
  <si>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</si>
  <si>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</si>
  <si>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</si>
  <si>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</si>
  <si>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Cdk20</t>
  </si>
  <si>
    <t>Cdk7</t>
  </si>
  <si>
    <t>Cdkl3</t>
  </si>
  <si>
    <t>Cdkl5</t>
  </si>
  <si>
    <t>Clk3</t>
  </si>
  <si>
    <t>Dclk3</t>
  </si>
  <si>
    <t>Dyrk1b</t>
  </si>
  <si>
    <t>Dyrk2</t>
  </si>
  <si>
    <t>Eef2k</t>
  </si>
  <si>
    <t>Eif2ak2</t>
  </si>
  <si>
    <t>Eif2ak4</t>
  </si>
  <si>
    <t>Epha1</t>
  </si>
  <si>
    <t>Epha2</t>
  </si>
  <si>
    <t>Epha4</t>
  </si>
  <si>
    <t>Epha6</t>
  </si>
  <si>
    <t>Epha7</t>
  </si>
  <si>
    <t>Ephb1</t>
  </si>
  <si>
    <t>Ephb3</t>
  </si>
  <si>
    <t>Ephb4</t>
  </si>
  <si>
    <t>Ephb6</t>
  </si>
  <si>
    <t>Erbb4</t>
  </si>
  <si>
    <t>Ern1</t>
  </si>
  <si>
    <t>Fastk</t>
  </si>
  <si>
    <t>Fgfr1</t>
  </si>
  <si>
    <t>Fgfr3</t>
  </si>
  <si>
    <t>Fgfr4</t>
  </si>
  <si>
    <t>Fgr</t>
  </si>
  <si>
    <t>Flt1</t>
  </si>
  <si>
    <t>Flt3</t>
  </si>
  <si>
    <t>Flt4</t>
  </si>
  <si>
    <t>Fyn</t>
  </si>
  <si>
    <t>Grk5</t>
  </si>
  <si>
    <t>Gsg2</t>
  </si>
  <si>
    <t>Gucy2d</t>
  </si>
  <si>
    <t>Gucy2f</t>
  </si>
  <si>
    <t>Hck</t>
  </si>
  <si>
    <t>Hipk4</t>
  </si>
  <si>
    <t>Ick</t>
  </si>
  <si>
    <t>Insr</t>
  </si>
  <si>
    <t>Irak4</t>
  </si>
  <si>
    <t>Kalrn</t>
  </si>
  <si>
    <t>Kdr</t>
  </si>
  <si>
    <t>Kit</t>
  </si>
  <si>
    <t>Ksr1</t>
  </si>
  <si>
    <t>Lck</t>
  </si>
  <si>
    <t>Limk1</t>
  </si>
  <si>
    <t>Lrrk2</t>
  </si>
  <si>
    <t>Ltk</t>
  </si>
  <si>
    <t>Lyn</t>
  </si>
  <si>
    <t>Mak</t>
  </si>
  <si>
    <t>Map3k10</t>
  </si>
  <si>
    <t>Map3k11</t>
  </si>
  <si>
    <t>Map3k14</t>
  </si>
  <si>
    <t>Map3k15</t>
  </si>
  <si>
    <t>Map3k5</t>
  </si>
  <si>
    <t>Map3k8</t>
  </si>
  <si>
    <t>Map3k9</t>
  </si>
  <si>
    <t>Map4k1</t>
  </si>
  <si>
    <t>Map4k2</t>
  </si>
  <si>
    <t>Mapk10</t>
  </si>
  <si>
    <t>Mapk11</t>
  </si>
  <si>
    <t>Mapk15</t>
  </si>
  <si>
    <t>Mapk4</t>
  </si>
  <si>
    <t>Mapk7</t>
  </si>
  <si>
    <t>Mapk9</t>
  </si>
  <si>
    <t>Mapkapk3</t>
  </si>
  <si>
    <t>Mark1</t>
  </si>
  <si>
    <t>Mark4</t>
  </si>
  <si>
    <t>Mastl</t>
  </si>
  <si>
    <t>Matk</t>
  </si>
  <si>
    <t>Mertk</t>
  </si>
  <si>
    <t>Met</t>
  </si>
  <si>
    <t>Mink1</t>
  </si>
  <si>
    <t>Mlkl</t>
  </si>
  <si>
    <t>Mst1r</t>
  </si>
  <si>
    <t>Mtor</t>
  </si>
  <si>
    <t>Mylk2</t>
  </si>
  <si>
    <t>Mylk3</t>
  </si>
  <si>
    <t>Mylk4</t>
  </si>
  <si>
    <t>Myo3a</t>
  </si>
  <si>
    <t>Myo3b</t>
  </si>
  <si>
    <t>Nek10</t>
  </si>
  <si>
    <t>Nek4</t>
  </si>
  <si>
    <t>Nek5</t>
  </si>
  <si>
    <t>Nek6</t>
  </si>
  <si>
    <t>Pak1</t>
  </si>
  <si>
    <t>Pask</t>
  </si>
  <si>
    <t>Pdgfra</t>
  </si>
  <si>
    <t>Pdgfrb</t>
  </si>
  <si>
    <t>Pdk2</t>
  </si>
  <si>
    <t>Pdk4</t>
  </si>
  <si>
    <t>Pik3r4</t>
  </si>
  <si>
    <t>Pim2</t>
  </si>
  <si>
    <t>Pkn1</t>
  </si>
  <si>
    <t>Pkn3</t>
  </si>
  <si>
    <t>Plk3</t>
  </si>
  <si>
    <t>Plk5</t>
  </si>
  <si>
    <t>Prkaa1</t>
  </si>
  <si>
    <t>Prkaa2</t>
  </si>
  <si>
    <t>Prkcb</t>
  </si>
  <si>
    <t>Prkce</t>
  </si>
  <si>
    <t>Prkcg</t>
  </si>
  <si>
    <t>Prkch</t>
  </si>
  <si>
    <t>Prkcq</t>
  </si>
  <si>
    <t>Prkcz</t>
  </si>
  <si>
    <t>Prkd2</t>
  </si>
  <si>
    <t>Prkd3</t>
  </si>
  <si>
    <t>Prkg2</t>
  </si>
  <si>
    <t>Ptk2b</t>
  </si>
  <si>
    <t>Ptk6</t>
  </si>
  <si>
    <t>Ret</t>
  </si>
  <si>
    <t>Riok1</t>
  </si>
  <si>
    <t>Rnasel</t>
  </si>
  <si>
    <t>Ror1</t>
  </si>
  <si>
    <t>Rps6ka2</t>
  </si>
  <si>
    <t>Rps6ka5</t>
  </si>
  <si>
    <t>Rps6ka6</t>
  </si>
  <si>
    <t>Scyl2</t>
  </si>
  <si>
    <t>Scyl3</t>
  </si>
  <si>
    <t>Sgk1</t>
  </si>
  <si>
    <t>Sik2</t>
  </si>
  <si>
    <t>Sik3</t>
  </si>
  <si>
    <t>Smg1</t>
  </si>
  <si>
    <t>Speg</t>
  </si>
  <si>
    <t>Src</t>
  </si>
  <si>
    <t>Srms</t>
  </si>
  <si>
    <t>Srpk2</t>
  </si>
  <si>
    <t>Srpk3</t>
  </si>
  <si>
    <t>Stk10</t>
  </si>
  <si>
    <t>Stk16</t>
  </si>
  <si>
    <t>Stk38l</t>
  </si>
  <si>
    <t>Syk</t>
  </si>
  <si>
    <t>Taok2</t>
  </si>
  <si>
    <t>Taok3</t>
  </si>
  <si>
    <t>Tec</t>
  </si>
  <si>
    <t>Tek</t>
  </si>
  <si>
    <t>Tesk1</t>
  </si>
  <si>
    <t>Tesk2</t>
  </si>
  <si>
    <t>Tie1</t>
  </si>
  <si>
    <t>Tnik</t>
  </si>
  <si>
    <t>Ttbk2</t>
  </si>
  <si>
    <t>Tyk2</t>
  </si>
  <si>
    <t>Uhmk1</t>
  </si>
  <si>
    <t>Ulk2</t>
  </si>
  <si>
    <t>Vrk2</t>
  </si>
  <si>
    <t>Wee2</t>
  </si>
  <si>
    <t>Wnk2</t>
  </si>
  <si>
    <t>Yes1</t>
  </si>
  <si>
    <t>Abl2</t>
  </si>
  <si>
    <t>Bmx</t>
  </si>
  <si>
    <t>Brsk1</t>
  </si>
  <si>
    <t>Cit</t>
  </si>
  <si>
    <t>Dclk2</t>
  </si>
  <si>
    <t>Hipk2</t>
  </si>
  <si>
    <t>Lats1</t>
  </si>
  <si>
    <t>Map3k7</t>
  </si>
  <si>
    <t>Mast3</t>
  </si>
  <si>
    <t>Musk</t>
  </si>
  <si>
    <t>Nek11</t>
  </si>
  <si>
    <t>Npr1</t>
  </si>
  <si>
    <t>Rps6kc1</t>
  </si>
  <si>
    <t>Trib3</t>
  </si>
  <si>
    <t>Wnk3</t>
  </si>
  <si>
    <t>348 Kinases</t>
  </si>
  <si>
    <t>Probability @Aqp261p</t>
  </si>
  <si>
    <t>AVP Knowledge Base</t>
  </si>
  <si>
    <t>Known Effect</t>
  </si>
  <si>
    <t>partial info</t>
  </si>
  <si>
    <t>decreases total cellular activity</t>
  </si>
  <si>
    <t>decrease in activity</t>
  </si>
  <si>
    <t xml:space="preserve">Phosphorylation with unkown effect </t>
  </si>
  <si>
    <t xml:space="preserve">decreases  total cellular activity </t>
  </si>
  <si>
    <t>Phosphorylation + increase in activity</t>
  </si>
  <si>
    <t>unkown</t>
  </si>
  <si>
    <t>unknown</t>
  </si>
  <si>
    <t>increases total cellular activity</t>
  </si>
  <si>
    <t xml:space="preserve">allows kinase to be Ca2+/ calmodulin independent </t>
  </si>
  <si>
    <t>decreases total cellular activity(*)</t>
  </si>
  <si>
    <t>Ca2+ &amp; cAMP (-ve) Regulation</t>
  </si>
  <si>
    <t>PTM (-ve) Regulated Probability</t>
  </si>
  <si>
    <t>Combined Proability</t>
  </si>
  <si>
    <t>Title</t>
  </si>
  <si>
    <t>Authors</t>
  </si>
  <si>
    <t>Affiliation</t>
  </si>
  <si>
    <t>Epithelial Systems Biology Laboratory</t>
  </si>
  <si>
    <t>NHLBI, National Institutes of Health,</t>
  </si>
  <si>
    <t>Bethesda, MD 20892‐1603, USA</t>
  </si>
  <si>
    <t>Contents:</t>
  </si>
  <si>
    <t xml:space="preserve">Summary : Ranking of kinases that could phosphorylate Aqp2 @ S261 and their Bayes' Probability </t>
  </si>
  <si>
    <t xml:space="preserve"> AVP Regulation: Application of Bayes rule  on Kinases known to be PTM by AVP,  using the prior probabilities calculated from consensus phopho site &amp;  Ca2+&amp;cAMP: Application of Bayes rule  on kinases known to actvated by Ca2+ or cAMP, prior probabilities calculated from previous analysis</t>
  </si>
  <si>
    <t>Aqp2 colocalization; Application of bayes rule on kinasese cplocalized with Aqp2</t>
  </si>
  <si>
    <t>Proteome: Application of Bayes rule  on mpkCCD protoeme using the prior probabilities calculated from Micro Array</t>
  </si>
  <si>
    <t>Micro Array: Application of Bayes Rule on mpkCCD Micro Array</t>
  </si>
  <si>
    <t>Consensus Phospho Site:  Application of Bayes rule  on mpkCCD protoeme using the prior probabilities obtained from Proteome</t>
  </si>
  <si>
    <t>Deep Proteomic Profiling of</t>
  </si>
  <si>
    <t xml:space="preserve"> Vasopressin-Sensitive Collecting Duct Cells   </t>
  </si>
  <si>
    <t>II. Bioinformatic Analysis of Vasopressin Signaling</t>
  </si>
  <si>
    <t xml:space="preserve">Chin-Rang Yang, Viswanathan Raghuram, Milad Emamian, </t>
  </si>
  <si>
    <t xml:space="preserve">Pablo C. Sandoval and Mark A. Knepper‡ </t>
  </si>
  <si>
    <t>Ddr1</t>
  </si>
  <si>
    <t>Hipk3</t>
  </si>
  <si>
    <t>Tgfbr2</t>
  </si>
  <si>
    <t>Erbb3</t>
  </si>
  <si>
    <t>Plk4</t>
  </si>
  <si>
    <t>Ripk4</t>
  </si>
  <si>
    <t>Bmpr2</t>
  </si>
  <si>
    <t>Hipk1</t>
  </si>
  <si>
    <t>Bmpr1a</t>
  </si>
  <si>
    <t>Pim3</t>
  </si>
  <si>
    <t>Csnk1g2</t>
  </si>
  <si>
    <t>Nek2</t>
  </si>
  <si>
    <t>Acvr1b</t>
  </si>
  <si>
    <t>Sgk3</t>
  </si>
  <si>
    <t>Chuk</t>
  </si>
  <si>
    <t>Ryk</t>
  </si>
  <si>
    <t>Tnk2</t>
  </si>
  <si>
    <t>Irak1</t>
  </si>
  <si>
    <t>Mast2</t>
  </si>
  <si>
    <t>Pdik1l</t>
  </si>
  <si>
    <t>Tgfbr1</t>
  </si>
  <si>
    <t>Wee1</t>
  </si>
  <si>
    <t>Csnk1g1</t>
  </si>
  <si>
    <t>Tnk1</t>
  </si>
  <si>
    <t>Eif2ak3</t>
  </si>
  <si>
    <t>Phkg2</t>
  </si>
  <si>
    <t>Pim1</t>
  </si>
  <si>
    <t>Stk17b</t>
  </si>
  <si>
    <t>Prkx</t>
  </si>
  <si>
    <t>Map3k12</t>
  </si>
  <si>
    <t>Clk4</t>
  </si>
  <si>
    <t>Ttk</t>
  </si>
  <si>
    <t>Eif2ak1</t>
  </si>
  <si>
    <t>Sbk1</t>
  </si>
  <si>
    <t>Axl</t>
  </si>
  <si>
    <t>Acvr1</t>
  </si>
  <si>
    <t>Stk35</t>
  </si>
  <si>
    <t>Trib1</t>
  </si>
  <si>
    <t>Nek3</t>
  </si>
  <si>
    <t>Pskh1</t>
  </si>
  <si>
    <t>Riok2</t>
  </si>
  <si>
    <t>Cdkl2</t>
  </si>
  <si>
    <t>Lats2</t>
  </si>
  <si>
    <t>Irak2</t>
  </si>
  <si>
    <t>Ulk3</t>
  </si>
  <si>
    <t>Map2k6</t>
  </si>
  <si>
    <t>Grk4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</si>
</sst>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.0000"/>
    <numFmt numFmtId="166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Unicode MS"/>
      <family val="2"/>
    </font>
    <font>
      <u/>
      <sz val="7.5"/>
      <color indexed="12"/>
      <name val="Times"/>
    </font>
    <font>
      <b/>
      <sz val="12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0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1" applyAlignment="1" applyProtection="1"/>
    <xf numFmtId="0" fontId="1" fillId="0" borderId="0" xfId="0" applyFont="1"/>
    <xf numFmtId="49" fontId="0" fillId="0" borderId="0" xfId="0" applyNumberFormat="1" applyAlignment="1">
      <alignment wrapText="1"/>
    </xf>
    <xf numFmtId="49" fontId="4" fillId="0" borderId="0" xfId="0" applyNumberFormat="1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1" applyAlignment="1" applyProtection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7" fillId="0" borderId="0" xfId="0" applyFont="1"/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164" fontId="0" fillId="0" borderId="0" xfId="0" applyNumberFormat="1" applyAlignment="1">
      <alignment horizontal="center"/>
    </xf>
    <xf numFmtId="0" fontId="8" fillId="0" borderId="0" xfId="0" applyFont="1"/>
  </cellXfs>
  <cellStyles count="100"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Followed Hyperlink" xfId="70" builtinId="9" hidden="1"/>
    <cellStyle name="Followed Hyperlink" xfId="71" builtinId="9" hidden="1"/>
    <cellStyle name="Followed Hyperlink" xfId="72" builtinId="9" hidden="1"/>
    <cellStyle name="Followed Hyperlink" xfId="73" builtinId="9" hidden="1"/>
    <cellStyle name="Followed Hyperlink" xfId="74" builtinId="9" hidden="1"/>
    <cellStyle name="Followed Hyperlink" xfId="75" builtinId="9" hidden="1"/>
    <cellStyle name="Followed Hyperlink" xfId="76" builtinId="9" hidden="1"/>
    <cellStyle name="Followed Hyperlink" xfId="77" builtinId="9" hidden="1"/>
    <cellStyle name="Followed Hyperlink" xfId="78" builtinId="9" hidden="1"/>
    <cellStyle name="Followed Hyperlink" xfId="79" builtinId="9" hidden="1"/>
    <cellStyle name="Followed Hyperlink" xfId="80" builtinId="9" hidden="1"/>
    <cellStyle name="Followed Hyperlink" xfId="81" builtinId="9" hidden="1"/>
    <cellStyle name="Followed Hyperlink" xfId="82" builtinId="9" hidden="1"/>
    <cellStyle name="Followed Hyperlink" xfId="83" builtinId="9" hidden="1"/>
    <cellStyle name="Followed Hyperlink" xfId="84" builtinId="9" hidden="1"/>
    <cellStyle name="Followed Hyperlink" xfId="85" builtinId="9" hidden="1"/>
    <cellStyle name="Followed Hyperlink" xfId="86" builtinId="9" hidden="1"/>
    <cellStyle name="Followed Hyperlink" xfId="87" builtinId="9" hidden="1"/>
    <cellStyle name="Followed Hyperlink" xfId="88" builtinId="9" hidden="1"/>
    <cellStyle name="Followed Hyperlink" xfId="89" builtinId="9" hidden="1"/>
    <cellStyle name="Followed Hyperlink" xfId="90" builtinId="9" hidden="1"/>
    <cellStyle name="Followed Hyperlink" xfId="91" builtinId="9" hidden="1"/>
    <cellStyle name="Followed Hyperlink" xfId="92" builtinId="9" hidden="1"/>
    <cellStyle name="Followed Hyperlink" xfId="93" builtinId="9" hidden="1"/>
    <cellStyle name="Followed Hyperlink" xfId="94" builtinId="9" hidden="1"/>
    <cellStyle name="Followed Hyperlink" xfId="95" builtinId="9" hidden="1"/>
    <cellStyle name="Followed Hyperlink" xfId="96" builtinId="9" hidden="1"/>
    <cellStyle name="Followed Hyperlink" xfId="97" builtinId="9" hidden="1"/>
    <cellStyle name="Followed Hyperlink" xfId="98" builtinId="9" hidden="1"/>
    <cellStyle name="Followed Hyperlink" xfId="99" builtinId="9" hidden="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Relationship Id="rId11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3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4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6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_rels/sheet7.xml.rels><?xml version="1.0" encoding="UTF-8" standalone="yes"?>
<Relationships xmlns="http://schemas.openxmlformats.org/package/2006/relationships"><Relationship Id="rId11" Type="http://schemas.openxmlformats.org/officeDocument/2006/relationships/hyperlink" Target="http://www.uniprot.org/uniprot/Q8N752" TargetMode="External"/><Relationship Id="rId12" Type="http://schemas.openxmlformats.org/officeDocument/2006/relationships/hyperlink" Target="http://www.uniprot.org/uniprot/Q9UQ88" TargetMode="External"/><Relationship Id="rId13" Type="http://schemas.openxmlformats.org/officeDocument/2006/relationships/hyperlink" Target="http://www.uniprot.org/uniprot/Q02846" TargetMode="External"/><Relationship Id="rId14" Type="http://schemas.openxmlformats.org/officeDocument/2006/relationships/hyperlink" Target="http://www.uniprot.org/uniprot/P52785" TargetMode="External"/><Relationship Id="rId15" Type="http://schemas.openxmlformats.org/officeDocument/2006/relationships/hyperlink" Target="http://www.uniprot.org/uniprot/Q6TL19" TargetMode="External"/><Relationship Id="rId16" Type="http://schemas.openxmlformats.org/officeDocument/2006/relationships/hyperlink" Target="http://www.uniprot.org/uniprot/Q9QYZ4" TargetMode="External"/><Relationship Id="rId17" Type="http://schemas.openxmlformats.org/officeDocument/2006/relationships/hyperlink" Target="http://www.uniprot.org/uniprot/A0JLX3" TargetMode="External"/><Relationship Id="rId18" Type="http://schemas.openxmlformats.org/officeDocument/2006/relationships/hyperlink" Target="http://www.uniprot.org/uniprot/A2KF29" TargetMode="External"/><Relationship Id="rId19" Type="http://schemas.openxmlformats.org/officeDocument/2006/relationships/hyperlink" Target="http://www.uniprot.org/uniprot/Q8NEV1" TargetMode="External"/><Relationship Id="rId1" Type="http://schemas.openxmlformats.org/officeDocument/2006/relationships/hyperlink" Target="http://www.uniprot.org/uniprot/Q8WTQ7" TargetMode="External"/><Relationship Id="rId2" Type="http://schemas.openxmlformats.org/officeDocument/2006/relationships/hyperlink" Target="http://www.uniprot.org/uniprot/Q8C0V7" TargetMode="External"/><Relationship Id="rId3" Type="http://schemas.openxmlformats.org/officeDocument/2006/relationships/hyperlink" Target="http://www.uniprot.org/uniprot/Q8C0N0" TargetMode="External"/><Relationship Id="rId4" Type="http://schemas.openxmlformats.org/officeDocument/2006/relationships/hyperlink" Target="http://www.uniprot.org/uniprot/A0AUV4" TargetMode="External"/><Relationship Id="rId5" Type="http://schemas.openxmlformats.org/officeDocument/2006/relationships/hyperlink" Target="http://www.uniprot.org/uniprot/Q96QS6" TargetMode="External"/><Relationship Id="rId6" Type="http://schemas.openxmlformats.org/officeDocument/2006/relationships/hyperlink" Target="http://www.uniprot.org/uniprot/Q9UEE5" TargetMode="External"/><Relationship Id="rId7" Type="http://schemas.openxmlformats.org/officeDocument/2006/relationships/hyperlink" Target="http://www.uniprot.org/uniprot/Q9QYZ6" TargetMode="External"/><Relationship Id="rId8" Type="http://schemas.openxmlformats.org/officeDocument/2006/relationships/hyperlink" Target="http://www.uniprot.org/uniprot/Q9QYZ3" TargetMode="External"/><Relationship Id="rId9" Type="http://schemas.openxmlformats.org/officeDocument/2006/relationships/hyperlink" Target="http://www.uniprot.org/uniprot/Q9QYZ5" TargetMode="External"/><Relationship Id="rId10" Type="http://schemas.openxmlformats.org/officeDocument/2006/relationships/hyperlink" Target="http://www.uniprot.org/uniprot/Q8C1R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A7" sqref="A7:XFD7"/>
    </sheetView>
  </sheetViews>
  <sheetFormatPr baseColWidth="10" defaultRowHeight="14" x14ac:dyDescent="0"/>
  <sheetData>
    <row r="1" spans="1:2">
      <c r="A1" s="28" t="s">
        <v>928</v>
      </c>
      <c r="B1" s="28" t="s">
        <v>941</v>
      </c>
    </row>
    <row r="2" spans="1:2">
      <c r="A2" s="28"/>
      <c r="B2" s="28" t="s">
        <v>942</v>
      </c>
    </row>
    <row r="3" spans="1:2">
      <c r="A3" s="28"/>
      <c r="B3" s="28" t="s">
        <v>943</v>
      </c>
    </row>
    <row r="4" spans="1:2">
      <c r="A4" s="28"/>
      <c r="B4" s="28"/>
    </row>
    <row r="5" spans="1:2">
      <c r="A5" s="28" t="s">
        <v>929</v>
      </c>
      <c r="B5" s="28" t="s">
        <v>944</v>
      </c>
    </row>
    <row r="6" spans="1:2">
      <c r="A6" s="28"/>
      <c r="B6" s="28" t="s">
        <v>945</v>
      </c>
    </row>
    <row r="7" spans="1:2">
      <c r="A7" s="28"/>
      <c r="B7" s="28"/>
    </row>
    <row r="8" spans="1:2">
      <c r="A8" s="28" t="s">
        <v>930</v>
      </c>
      <c r="B8" s="28" t="s">
        <v>931</v>
      </c>
    </row>
    <row r="9" spans="1:2">
      <c r="A9" s="28"/>
      <c r="B9" s="28" t="s">
        <v>932</v>
      </c>
    </row>
    <row r="10" spans="1:2">
      <c r="A10" s="28"/>
      <c r="B10" s="28" t="s">
        <v>933</v>
      </c>
    </row>
    <row r="11" spans="1:2">
      <c r="A11" s="28"/>
      <c r="B11" s="28"/>
    </row>
    <row r="12" spans="1:2">
      <c r="A12" s="28"/>
      <c r="B12" s="28"/>
    </row>
    <row r="13" spans="1:2">
      <c r="A13" s="28"/>
      <c r="B13" s="28"/>
    </row>
    <row r="14" spans="1:2">
      <c r="A14" s="28"/>
      <c r="B14" s="28"/>
    </row>
    <row r="15" spans="1:2">
      <c r="A15" s="28"/>
      <c r="B15" s="28"/>
    </row>
    <row r="16" spans="1:2">
      <c r="A16" s="28"/>
      <c r="B16" s="28"/>
    </row>
    <row r="17" spans="1:2">
      <c r="A17" s="28" t="s">
        <v>934</v>
      </c>
      <c r="B17" s="28" t="s">
        <v>935</v>
      </c>
    </row>
    <row r="18" spans="1:2">
      <c r="A18" s="28"/>
      <c r="B18" s="28" t="s">
        <v>939</v>
      </c>
    </row>
    <row r="19" spans="1:2">
      <c r="A19" s="28"/>
      <c r="B19" s="28" t="s">
        <v>938</v>
      </c>
    </row>
    <row r="20" spans="1:2">
      <c r="A20" s="28"/>
      <c r="B20" s="28" t="s">
        <v>940</v>
      </c>
    </row>
    <row r="21" spans="1:2">
      <c r="A21" s="28"/>
      <c r="B21" s="28" t="s">
        <v>936</v>
      </c>
    </row>
    <row r="22" spans="1:2">
      <c r="A22" s="28"/>
      <c r="B22" s="28" t="s">
        <v>937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workbookViewId="0">
      <selection activeCell="I1" sqref="I1"/>
    </sheetView>
  </sheetViews>
  <sheetFormatPr baseColWidth="10" defaultRowHeight="14" x14ac:dyDescent="0"/>
  <cols>
    <col min="1" max="1" width="9.83203125" style="17" customWidth="1"/>
    <col min="5" max="5" width="13.6640625" customWidth="1"/>
    <col min="6" max="6" width="14" customWidth="1"/>
    <col min="7" max="7" width="12.33203125" customWidth="1"/>
  </cols>
  <sheetData>
    <row r="1" spans="1:7" s="3" customFormat="1" ht="42">
      <c r="A1" s="13" t="s">
        <v>520</v>
      </c>
      <c r="B1" s="13" t="s">
        <v>626</v>
      </c>
      <c r="C1" s="3" t="s">
        <v>621</v>
      </c>
      <c r="D1" s="3" t="s">
        <v>622</v>
      </c>
      <c r="E1" s="3" t="s">
        <v>623</v>
      </c>
      <c r="F1" s="18" t="s">
        <v>624</v>
      </c>
      <c r="G1" s="19" t="s">
        <v>625</v>
      </c>
    </row>
    <row r="2" spans="1:7" ht="15">
      <c r="A2" s="14" t="s">
        <v>193</v>
      </c>
      <c r="B2" s="20">
        <f t="shared" ref="B2:B65" si="0">1/521</f>
        <v>1.9193857965451055E-3</v>
      </c>
      <c r="C2" s="21">
        <f>VLOOKUP(A2,Transcriptome!B:L,11,FALSE)</f>
        <v>5.0105485232068295E-3</v>
      </c>
      <c r="D2" s="21">
        <f>VLOOKUP(A2,Proteome!B:I,8,FALSE)</f>
        <v>5.5901390566446578E-3</v>
      </c>
      <c r="E2" s="21">
        <f>VLOOKUP(A2,'Consensus Phospho site'!$B$2:$G$522,6,FALSE)</f>
        <v>1.3914227715394386E-2</v>
      </c>
      <c r="F2" s="21">
        <f>VLOOKUP(A2,'AVP Regulation (PTM &amp; Ca-cAMP'!B:K,10,FALSE)</f>
        <v>2.3668124667178544E-2</v>
      </c>
      <c r="G2" s="21">
        <f>VLOOKUP(A2,'AQP2 Colocalization'!A:F,6,FALSE)</f>
        <v>3.931485790419216E-2</v>
      </c>
    </row>
    <row r="3" spans="1:7" ht="15">
      <c r="A3" s="14" t="s">
        <v>200</v>
      </c>
      <c r="B3" s="20">
        <f t="shared" si="0"/>
        <v>1.9193857965451055E-3</v>
      </c>
      <c r="C3" s="21">
        <f>VLOOKUP(A3,Transcriptome!B:L,11,FALSE)</f>
        <v>5.0105485232068295E-3</v>
      </c>
      <c r="D3" s="21">
        <f>VLOOKUP(A3,Proteome!B:I,8,FALSE)</f>
        <v>5.5901390566446578E-3</v>
      </c>
      <c r="E3" s="21">
        <f>VLOOKUP(A3,'Consensus Phospho site'!$B$2:$G$522,6,FALSE)</f>
        <v>1.3914227715394386E-2</v>
      </c>
      <c r="F3" s="21">
        <f>VLOOKUP(A3,'AVP Regulation (PTM &amp; Ca-cAMP'!B:K,10,FALSE)</f>
        <v>2.3668124667178544E-2</v>
      </c>
      <c r="G3" s="21">
        <f>VLOOKUP(A3,'AQP2 Colocalization'!A:F,6,FALSE)</f>
        <v>3.931485790419216E-2</v>
      </c>
    </row>
    <row r="4" spans="1:7" ht="15">
      <c r="A4" s="14" t="s">
        <v>198</v>
      </c>
      <c r="B4" s="20">
        <f t="shared" si="0"/>
        <v>1.9193857965451055E-3</v>
      </c>
      <c r="C4" s="21">
        <f>VLOOKUP(A4,Transcriptome!B:L,11,FALSE)</f>
        <v>5.0105485232068295E-3</v>
      </c>
      <c r="D4" s="21">
        <f>VLOOKUP(A4,Proteome!B:I,8,FALSE)</f>
        <v>5.5901390566446578E-3</v>
      </c>
      <c r="E4" s="21">
        <f>VLOOKUP(A4,'Consensus Phospho site'!$B$2:$G$522,6,FALSE)</f>
        <v>1.3914227715394386E-2</v>
      </c>
      <c r="F4" s="21">
        <f>VLOOKUP(A4,'AVP Regulation (PTM &amp; Ca-cAMP'!B:K,10,FALSE)</f>
        <v>2.3668124667178544E-2</v>
      </c>
      <c r="G4" s="21">
        <f>VLOOKUP(A4,'AQP2 Colocalization'!A:F,6,FALSE)</f>
        <v>3.4946540359281929E-2</v>
      </c>
    </row>
    <row r="5" spans="1:7" ht="15">
      <c r="A5" s="14" t="s">
        <v>185</v>
      </c>
      <c r="B5" s="20">
        <f t="shared" si="0"/>
        <v>1.9193857965451055E-3</v>
      </c>
      <c r="C5" s="21">
        <f>VLOOKUP(A5,Transcriptome!B:L,11,FALSE)</f>
        <v>3.6919831223629265E-3</v>
      </c>
      <c r="D5" s="21">
        <f>VLOOKUP(A5,Proteome!B:I,8,FALSE)</f>
        <v>4.1190498312118524E-3</v>
      </c>
      <c r="E5" s="21">
        <f>VLOOKUP(A5,'Consensus Phospho site'!$B$2:$G$522,6,FALSE)</f>
        <v>1.0252588842922178E-2</v>
      </c>
      <c r="F5" s="21">
        <f>VLOOKUP(A5,'AVP Regulation (PTM &amp; Ca-cAMP'!B:K,10,FALSE)</f>
        <v>1.7439670807394714E-2</v>
      </c>
      <c r="G5" s="21">
        <f>VLOOKUP(A5,'AQP2 Colocalization'!A:F,6,FALSE)</f>
        <v>1.2875041184998602E-2</v>
      </c>
    </row>
    <row r="6" spans="1:7" ht="15">
      <c r="A6" s="14" t="s">
        <v>209</v>
      </c>
      <c r="B6" s="20">
        <f t="shared" si="0"/>
        <v>1.9193857965451055E-3</v>
      </c>
      <c r="C6" s="21">
        <f>VLOOKUP(A6,Transcriptome!B:L,11,FALSE)</f>
        <v>5.0105485232068295E-3</v>
      </c>
      <c r="D6" s="21">
        <f>VLOOKUP(A6,Proteome!B:I,8,FALSE)</f>
        <v>5.5901390566446578E-3</v>
      </c>
      <c r="E6" s="21">
        <f>VLOOKUP(A6,'Consensus Phospho site'!$B$2:$G$522,6,FALSE)</f>
        <v>1.3914227715394386E-2</v>
      </c>
      <c r="F6" s="21">
        <f>VLOOKUP(A6,'AVP Regulation (PTM &amp; Ca-cAMP'!B:K,10,FALSE)</f>
        <v>1.3148958148432524E-2</v>
      </c>
      <c r="G6" s="21">
        <f>VLOOKUP(A6,'AQP2 Colocalization'!A:F,6,FALSE)</f>
        <v>1.9414744644045513E-2</v>
      </c>
    </row>
    <row r="7" spans="1:7" ht="15">
      <c r="A7" s="14" t="s">
        <v>202</v>
      </c>
      <c r="B7" s="20">
        <f t="shared" si="0"/>
        <v>1.9193857965451055E-3</v>
      </c>
      <c r="C7" s="21">
        <f>VLOOKUP(A7,Transcriptome!B:L,11,FALSE)</f>
        <v>5.0105485232068295E-3</v>
      </c>
      <c r="D7" s="21">
        <f>VLOOKUP(A7,Proteome!B:I,8,FALSE)</f>
        <v>5.5901390566446578E-3</v>
      </c>
      <c r="E7" s="21">
        <f>VLOOKUP(A7,'Consensus Phospho site'!$B$2:$G$522,6,FALSE)</f>
        <v>1.3914227715394386E-2</v>
      </c>
      <c r="F7" s="21">
        <f>VLOOKUP(A7,'AVP Regulation (PTM &amp; Ca-cAMP'!B:K,10,FALSE)</f>
        <v>1.3148958148432524E-2</v>
      </c>
      <c r="G7" s="21">
        <f>VLOOKUP(A7,'AQP2 Colocalization'!A:F,6,FALSE)</f>
        <v>9.7073723220227563E-3</v>
      </c>
    </row>
    <row r="8" spans="1:7" ht="15">
      <c r="A8" s="14" t="s">
        <v>162</v>
      </c>
      <c r="B8" s="20">
        <f t="shared" si="0"/>
        <v>1.9193857965451055E-3</v>
      </c>
      <c r="C8" s="21">
        <f>VLOOKUP(A8,Transcriptome!B:L,11,FALSE)</f>
        <v>5.0105485232068295E-3</v>
      </c>
      <c r="D8" s="21">
        <f>VLOOKUP(A8,Proteome!B:I,8,FALSE)</f>
        <v>5.5901390566446578E-3</v>
      </c>
      <c r="E8" s="21">
        <f>VLOOKUP(A8,'Consensus Phospho site'!$B$2:$G$522,6,FALSE)</f>
        <v>1.3914227715394386E-2</v>
      </c>
      <c r="F8" s="21">
        <f>VLOOKUP(A8,'AVP Regulation (PTM &amp; Ca-cAMP'!B:K,10,FALSE)</f>
        <v>1.3148958148432524E-2</v>
      </c>
      <c r="G8" s="21">
        <f>VLOOKUP(A8,'AQP2 Colocalization'!A:F,6,FALSE)</f>
        <v>2.1841587724551199E-2</v>
      </c>
    </row>
    <row r="9" spans="1:7" ht="15">
      <c r="A9" s="14" t="s">
        <v>165</v>
      </c>
      <c r="B9" s="20">
        <f t="shared" si="0"/>
        <v>1.9193857965451055E-3</v>
      </c>
      <c r="C9" s="21">
        <f>VLOOKUP(A9,Transcriptome!B:L,11,FALSE)</f>
        <v>5.0105485232068295E-3</v>
      </c>
      <c r="D9" s="21">
        <f>VLOOKUP(A9,Proteome!B:I,8,FALSE)</f>
        <v>5.5901390566446578E-3</v>
      </c>
      <c r="E9" s="21">
        <f>VLOOKUP(A9,'Consensus Phospho site'!$B$2:$G$522,6,FALSE)</f>
        <v>1.3914227715394386E-2</v>
      </c>
      <c r="F9" s="21">
        <f>VLOOKUP(A9,'AVP Regulation (PTM &amp; Ca-cAMP'!B:K,10,FALSE)</f>
        <v>1.3148958148432524E-2</v>
      </c>
      <c r="G9" s="21">
        <f>VLOOKUP(A9,'AQP2 Colocalization'!A:F,6,FALSE)</f>
        <v>2.1841587724551199E-2</v>
      </c>
    </row>
    <row r="10" spans="1:7" ht="15">
      <c r="A10" s="14" t="s">
        <v>207</v>
      </c>
      <c r="B10" s="20">
        <f t="shared" si="0"/>
        <v>1.9193857965451055E-3</v>
      </c>
      <c r="C10" s="21">
        <f>VLOOKUP(A10,Transcriptome!B:L,11,FALSE)</f>
        <v>5.0105485232068295E-3</v>
      </c>
      <c r="D10" s="21">
        <f>VLOOKUP(A10,Proteome!B:I,8,FALSE)</f>
        <v>5.5901390566446578E-3</v>
      </c>
      <c r="E10" s="21">
        <f>VLOOKUP(A10,'Consensus Phospho site'!$B$2:$G$522,6,FALSE)</f>
        <v>1.3914227715394386E-2</v>
      </c>
      <c r="F10" s="21">
        <f>VLOOKUP(A10,'AVP Regulation (PTM &amp; Ca-cAMP'!B:K,10,FALSE)</f>
        <v>1.3148958148432524E-2</v>
      </c>
      <c r="G10" s="21">
        <f>VLOOKUP(A10,'AQP2 Colocalization'!A:F,6,FALSE)</f>
        <v>1.9414744644045513E-2</v>
      </c>
    </row>
    <row r="11" spans="1:7" ht="15">
      <c r="A11" s="14" t="s">
        <v>186</v>
      </c>
      <c r="B11" s="20">
        <f t="shared" si="0"/>
        <v>1.9193857965451055E-3</v>
      </c>
      <c r="C11" s="21">
        <f>VLOOKUP(A11,Transcriptome!B:L,11,FALSE)</f>
        <v>5.0105485232068295E-3</v>
      </c>
      <c r="D11" s="21">
        <f>VLOOKUP(A11,Proteome!B:I,8,FALSE)</f>
        <v>5.5901390566446578E-3</v>
      </c>
      <c r="E11" s="21">
        <f>VLOOKUP(A11,'Consensus Phospho site'!$B$2:$G$522,6,FALSE)</f>
        <v>1.3914227715394386E-2</v>
      </c>
      <c r="F11" s="21">
        <f>VLOOKUP(A11,'AVP Regulation (PTM &amp; Ca-cAMP'!B:K,10,FALSE)</f>
        <v>1.3148958148432524E-2</v>
      </c>
      <c r="G11" s="21">
        <f>VLOOKUP(A11,'AQP2 Colocalization'!A:F,6,FALSE)</f>
        <v>1.9414744644045513E-2</v>
      </c>
    </row>
    <row r="12" spans="1:7" ht="15">
      <c r="A12" s="14" t="s">
        <v>170</v>
      </c>
      <c r="B12" s="20">
        <f t="shared" si="0"/>
        <v>1.9193857965451055E-3</v>
      </c>
      <c r="C12" s="21">
        <f>VLOOKUP(A12,Transcriptome!B:L,11,FALSE)</f>
        <v>5.0105485232068295E-3</v>
      </c>
      <c r="D12" s="21">
        <f>VLOOKUP(A12,Proteome!B:I,8,FALSE)</f>
        <v>5.5901390566446578E-3</v>
      </c>
      <c r="E12" s="21">
        <f>VLOOKUP(A12,'Consensus Phospho site'!$B$2:$G$522,6,FALSE)</f>
        <v>1.3914227715394386E-2</v>
      </c>
      <c r="F12" s="21">
        <f>VLOOKUP(A12,'AVP Regulation (PTM &amp; Ca-cAMP'!B:K,10,FALSE)</f>
        <v>1.3148958148432524E-2</v>
      </c>
      <c r="G12" s="21">
        <f>VLOOKUP(A12,'AQP2 Colocalization'!A:F,6,FALSE)</f>
        <v>1.9414744644045513E-2</v>
      </c>
    </row>
    <row r="13" spans="1:7" ht="15">
      <c r="A13" s="14" t="s">
        <v>167</v>
      </c>
      <c r="B13" s="20">
        <f t="shared" si="0"/>
        <v>1.9193857965451055E-3</v>
      </c>
      <c r="C13" s="21">
        <f>VLOOKUP(A13,Transcriptome!B:L,11,FALSE)</f>
        <v>5.0105485232068295E-3</v>
      </c>
      <c r="D13" s="21">
        <f>VLOOKUP(A13,Proteome!B:I,8,FALSE)</f>
        <v>5.5901390566446578E-3</v>
      </c>
      <c r="E13" s="21">
        <f>VLOOKUP(A13,'Consensus Phospho site'!$B$2:$G$522,6,FALSE)</f>
        <v>1.3914227715394386E-2</v>
      </c>
      <c r="F13" s="21">
        <f>VLOOKUP(A13,'AVP Regulation (PTM &amp; Ca-cAMP'!B:K,10,FALSE)</f>
        <v>1.3148958148432524E-2</v>
      </c>
      <c r="G13" s="21">
        <f>VLOOKUP(A13,'AQP2 Colocalization'!A:F,6,FALSE)</f>
        <v>1.9414744644045513E-2</v>
      </c>
    </row>
    <row r="14" spans="1:7" ht="15">
      <c r="A14" s="14" t="s">
        <v>196</v>
      </c>
      <c r="B14" s="20">
        <f t="shared" si="0"/>
        <v>1.9193857965451055E-3</v>
      </c>
      <c r="C14" s="21">
        <f>VLOOKUP(A14,Transcriptome!B:L,11,FALSE)</f>
        <v>5.0105485232068295E-3</v>
      </c>
      <c r="D14" s="21">
        <f>VLOOKUP(A14,Proteome!B:I,8,FALSE)</f>
        <v>5.5901390566446578E-3</v>
      </c>
      <c r="E14" s="21">
        <f>VLOOKUP(A14,'Consensus Phospho site'!$B$2:$G$522,6,FALSE)</f>
        <v>1.3914227715394386E-2</v>
      </c>
      <c r="F14" s="21">
        <f>VLOOKUP(A14,'AVP Regulation (PTM &amp; Ca-cAMP'!B:K,10,FALSE)</f>
        <v>1.3148958148432524E-2</v>
      </c>
      <c r="G14" s="21">
        <f>VLOOKUP(A14,'AQP2 Colocalization'!A:F,6,FALSE)</f>
        <v>1.9414744644045513E-2</v>
      </c>
    </row>
    <row r="15" spans="1:7" ht="15">
      <c r="A15" s="14" t="s">
        <v>197</v>
      </c>
      <c r="B15" s="20">
        <f t="shared" si="0"/>
        <v>1.9193857965451055E-3</v>
      </c>
      <c r="C15" s="21">
        <f>VLOOKUP(A15,Transcriptome!B:L,11,FALSE)</f>
        <v>5.0105485232068295E-3</v>
      </c>
      <c r="D15" s="21">
        <f>VLOOKUP(A15,Proteome!B:I,8,FALSE)</f>
        <v>5.5901390566446578E-3</v>
      </c>
      <c r="E15" s="21">
        <f>VLOOKUP(A15,'Consensus Phospho site'!$B$2:$G$522,6,FALSE)</f>
        <v>1.3914227715394386E-2</v>
      </c>
      <c r="F15" s="21">
        <f>VLOOKUP(A15,'AVP Regulation (PTM &amp; Ca-cAMP'!B:K,10,FALSE)</f>
        <v>1.3148958148432524E-2</v>
      </c>
      <c r="G15" s="21">
        <f>VLOOKUP(A15,'AQP2 Colocalization'!A:F,6,FALSE)</f>
        <v>2.1841587724551199E-2</v>
      </c>
    </row>
    <row r="16" spans="1:7" ht="15">
      <c r="A16" s="14" t="s">
        <v>204</v>
      </c>
      <c r="B16" s="20">
        <f t="shared" si="0"/>
        <v>1.9193857965451055E-3</v>
      </c>
      <c r="C16" s="21">
        <f>VLOOKUP(A16,Transcriptome!B:L,11,FALSE)</f>
        <v>3.6919831223629265E-3</v>
      </c>
      <c r="D16" s="21">
        <f>VLOOKUP(A16,Proteome!B:I,8,FALSE)</f>
        <v>4.1190498312118524E-3</v>
      </c>
      <c r="E16" s="21">
        <f>VLOOKUP(A16,'Consensus Phospho site'!$B$2:$G$522,6,FALSE)</f>
        <v>1.0252588842922178E-2</v>
      </c>
      <c r="F16" s="21">
        <f>VLOOKUP(A16,'AVP Regulation (PTM &amp; Ca-cAMP'!B:K,10,FALSE)</f>
        <v>1.2595317805340627E-2</v>
      </c>
      <c r="G16" s="21">
        <f>VLOOKUP(A16,'AQP2 Colocalization'!A:F,6,FALSE)</f>
        <v>1.8597281711664648E-2</v>
      </c>
    </row>
    <row r="17" spans="1:7" ht="15">
      <c r="A17" s="14" t="s">
        <v>171</v>
      </c>
      <c r="B17" s="20">
        <f t="shared" si="0"/>
        <v>1.9193857965451055E-3</v>
      </c>
      <c r="C17" s="21">
        <f>VLOOKUP(A17,Transcriptome!B:L,11,FALSE)</f>
        <v>5.0105485232068295E-3</v>
      </c>
      <c r="D17" s="21">
        <f>VLOOKUP(A17,Proteome!B:I,8,FALSE)</f>
        <v>5.5901390566446578E-3</v>
      </c>
      <c r="E17" s="21">
        <f>VLOOKUP(A17,'Consensus Phospho site'!$B$2:$G$522,6,FALSE)</f>
        <v>1.3914227715394386E-2</v>
      </c>
      <c r="F17" s="21">
        <f>VLOOKUP(A17,'AVP Regulation (PTM &amp; Ca-cAMP'!B:K,10,FALSE)</f>
        <v>1.3148958148432524E-2</v>
      </c>
      <c r="G17" s="21">
        <f>VLOOKUP(A17,'AQP2 Colocalization'!A:F,6,FALSE)</f>
        <v>9.7073723220227563E-3</v>
      </c>
    </row>
    <row r="18" spans="1:7" ht="15">
      <c r="A18" s="14" t="s">
        <v>208</v>
      </c>
      <c r="B18" s="20">
        <f t="shared" si="0"/>
        <v>1.9193857965451055E-3</v>
      </c>
      <c r="C18" s="21">
        <f>VLOOKUP(A18,Transcriptome!B:L,11,FALSE)</f>
        <v>5.0105485232068295E-3</v>
      </c>
      <c r="D18" s="21">
        <f>VLOOKUP(A18,Proteome!B:I,8,FALSE)</f>
        <v>5.5901390566446578E-3</v>
      </c>
      <c r="E18" s="21">
        <f>VLOOKUP(A18,'Consensus Phospho site'!$B$2:$G$522,6,FALSE)</f>
        <v>1.3914227715394386E-2</v>
      </c>
      <c r="F18" s="21">
        <f>VLOOKUP(A18,'AVP Regulation (PTM &amp; Ca-cAMP'!B:K,10,FALSE)</f>
        <v>1.3148958148432524E-2</v>
      </c>
      <c r="G18" s="21">
        <f>VLOOKUP(A18,'AQP2 Colocalization'!A:F,6,FALSE)</f>
        <v>9.7073723220227563E-3</v>
      </c>
    </row>
    <row r="19" spans="1:7" ht="15">
      <c r="A19" s="14" t="s">
        <v>180</v>
      </c>
      <c r="B19" s="20">
        <f t="shared" si="0"/>
        <v>1.9193857965451055E-3</v>
      </c>
      <c r="C19" s="21">
        <f>VLOOKUP(A19,Transcriptome!B:L,11,FALSE)</f>
        <v>5.0105485232068295E-3</v>
      </c>
      <c r="D19" s="21">
        <f>VLOOKUP(A19,Proteome!B:I,8,FALSE)</f>
        <v>5.5901390566446578E-3</v>
      </c>
      <c r="E19" s="21">
        <f>VLOOKUP(A19,'Consensus Phospho site'!$B$2:$G$522,6,FALSE)</f>
        <v>1.3914227715394386E-2</v>
      </c>
      <c r="F19" s="21">
        <f>VLOOKUP(A19,'AVP Regulation (PTM &amp; Ca-cAMP'!B:K,10,FALSE)</f>
        <v>1.3148958148432524E-2</v>
      </c>
      <c r="G19" s="21">
        <f>VLOOKUP(A19,'AQP2 Colocalization'!A:F,6,FALSE)</f>
        <v>9.7073723220227563E-3</v>
      </c>
    </row>
    <row r="20" spans="1:7" ht="15">
      <c r="A20" s="14" t="s">
        <v>166</v>
      </c>
      <c r="B20" s="20">
        <f t="shared" si="0"/>
        <v>1.9193857965451055E-3</v>
      </c>
      <c r="C20" s="21">
        <f>VLOOKUP(A20,Transcriptome!B:L,11,FALSE)</f>
        <v>3.6919831223629265E-3</v>
      </c>
      <c r="D20" s="21">
        <f>VLOOKUP(A20,Proteome!B:I,8,FALSE)</f>
        <v>4.1190498312118524E-3</v>
      </c>
      <c r="E20" s="21">
        <f>VLOOKUP(A20,'Consensus Phospho site'!$B$2:$G$522,6,FALSE)</f>
        <v>1.0252588842922178E-2</v>
      </c>
      <c r="F20" s="21">
        <f>VLOOKUP(A20,'AVP Regulation (PTM &amp; Ca-cAMP'!B:K,10,FALSE)</f>
        <v>9.6887060041081739E-3</v>
      </c>
      <c r="G20" s="21">
        <f>VLOOKUP(A20,'AQP2 Colocalization'!A:F,6,FALSE)</f>
        <v>1.6093801481248251E-2</v>
      </c>
    </row>
    <row r="21" spans="1:7" ht="15">
      <c r="A21" s="14" t="s">
        <v>230</v>
      </c>
      <c r="B21" s="20">
        <f t="shared" si="0"/>
        <v>1.9193857965451055E-3</v>
      </c>
      <c r="C21" s="21">
        <f>VLOOKUP(A21,Transcriptome!B:L,11,FALSE)</f>
        <v>5.0105485232068295E-3</v>
      </c>
      <c r="D21" s="21">
        <f>VLOOKUP(A21,Proteome!B:I,8,FALSE)</f>
        <v>5.5901390566446578E-3</v>
      </c>
      <c r="E21" s="21">
        <f>VLOOKUP(A21,'Consensus Phospho site'!$B$2:$G$522,6,FALSE)</f>
        <v>4.6380759051314622E-3</v>
      </c>
      <c r="F21" s="21">
        <f>VLOOKUP(A21,'AVP Regulation (PTM &amp; Ca-cAMP'!B:K,10,FALSE)</f>
        <v>7.8893748890595146E-3</v>
      </c>
      <c r="G21" s="21">
        <f>VLOOKUP(A21,'AQP2 Colocalization'!A:F,6,FALSE)</f>
        <v>1.1648846786427308E-2</v>
      </c>
    </row>
    <row r="22" spans="1:7" ht="15">
      <c r="A22" s="14" t="s">
        <v>231</v>
      </c>
      <c r="B22" s="20">
        <f t="shared" si="0"/>
        <v>1.9193857965451055E-3</v>
      </c>
      <c r="C22" s="21">
        <f>VLOOKUP(A22,Transcriptome!B:L,11,FALSE)</f>
        <v>5.0105485232068295E-3</v>
      </c>
      <c r="D22" s="21">
        <f>VLOOKUP(A22,Proteome!B:I,8,FALSE)</f>
        <v>5.5901390566446578E-3</v>
      </c>
      <c r="E22" s="21">
        <f>VLOOKUP(A22,'Consensus Phospho site'!$B$2:$G$522,6,FALSE)</f>
        <v>4.6380759051314622E-3</v>
      </c>
      <c r="F22" s="21">
        <f>VLOOKUP(A22,'AVP Regulation (PTM &amp; Ca-cAMP'!B:K,10,FALSE)</f>
        <v>7.8893748890595146E-3</v>
      </c>
      <c r="G22" s="21">
        <f>VLOOKUP(A22,'AQP2 Colocalization'!A:F,6,FALSE)</f>
        <v>1.1648846786427308E-2</v>
      </c>
    </row>
    <row r="23" spans="1:7" ht="15">
      <c r="A23" s="14" t="s">
        <v>434</v>
      </c>
      <c r="B23" s="20">
        <f t="shared" si="0"/>
        <v>1.9193857965451055E-3</v>
      </c>
      <c r="C23" s="21">
        <f>VLOOKUP(A23,Transcriptome!B:L,11,FALSE)</f>
        <v>5.0105485232068295E-3</v>
      </c>
      <c r="D23" s="21">
        <f>VLOOKUP(A23,Proteome!B:I,8,FALSE)</f>
        <v>5.5901390566446578E-3</v>
      </c>
      <c r="E23" s="21">
        <f>VLOOKUP(A23,'Consensus Phospho site'!$B$2:$G$522,6,FALSE)</f>
        <v>7.7301265085524366E-3</v>
      </c>
      <c r="F23" s="21">
        <f>VLOOKUP(A23,'AVP Regulation (PTM &amp; Ca-cAMP'!B:K,10,FALSE)</f>
        <v>7.30497674912918E-3</v>
      </c>
      <c r="G23" s="21">
        <f>VLOOKUP(A23,'AQP2 Colocalization'!A:F,6,FALSE)</f>
        <v>5.3929846233459755E-3</v>
      </c>
    </row>
    <row r="24" spans="1:7" ht="15">
      <c r="A24" s="14" t="s">
        <v>450</v>
      </c>
      <c r="B24" s="20">
        <f t="shared" si="0"/>
        <v>1.9193857965451055E-3</v>
      </c>
      <c r="C24" s="21">
        <f>VLOOKUP(A24,Transcriptome!B:L,11,FALSE)</f>
        <v>5.0105485232068295E-3</v>
      </c>
      <c r="D24" s="21">
        <f>VLOOKUP(A24,Proteome!B:I,8,FALSE)</f>
        <v>5.5901390566446578E-3</v>
      </c>
      <c r="E24" s="21">
        <f>VLOOKUP(A24,'Consensus Phospho site'!$B$2:$G$522,6,FALSE)</f>
        <v>7.7301265085524366E-3</v>
      </c>
      <c r="F24" s="21">
        <f>VLOOKUP(A24,'AVP Regulation (PTM &amp; Ca-cAMP'!B:K,10,FALSE)</f>
        <v>7.30497674912918E-3</v>
      </c>
      <c r="G24" s="21">
        <f>VLOOKUP(A24,'AQP2 Colocalization'!A:F,6,FALSE)</f>
        <v>5.3929846233459755E-3</v>
      </c>
    </row>
    <row r="25" spans="1:7" ht="15">
      <c r="A25" s="14" t="s">
        <v>419</v>
      </c>
      <c r="B25" s="20">
        <f t="shared" si="0"/>
        <v>1.9193857965451055E-3</v>
      </c>
      <c r="C25" s="21">
        <f>VLOOKUP(A25,Transcriptome!B:L,11,FALSE)</f>
        <v>5.0105485232068295E-3</v>
      </c>
      <c r="D25" s="21">
        <f>VLOOKUP(A25,Proteome!B:I,8,FALSE)</f>
        <v>5.5901390566446578E-3</v>
      </c>
      <c r="E25" s="21">
        <f>VLOOKUP(A25,'Consensus Phospho site'!$B$2:$G$522,6,FALSE)</f>
        <v>7.7301265085524366E-3</v>
      </c>
      <c r="F25" s="21">
        <f>VLOOKUP(A25,'AVP Regulation (PTM &amp; Ca-cAMP'!B:K,10,FALSE)</f>
        <v>7.30497674912918E-3</v>
      </c>
      <c r="G25" s="21">
        <f>VLOOKUP(A25,'AQP2 Colocalization'!A:F,6,FALSE)</f>
        <v>8.0894769350189633E-3</v>
      </c>
    </row>
    <row r="26" spans="1:7" ht="15">
      <c r="A26" s="14" t="s">
        <v>424</v>
      </c>
      <c r="B26" s="20">
        <f t="shared" si="0"/>
        <v>1.9193857965451055E-3</v>
      </c>
      <c r="C26" s="21">
        <f>VLOOKUP(A26,Transcriptome!B:L,11,FALSE)</f>
        <v>5.0105485232068295E-3</v>
      </c>
      <c r="D26" s="21">
        <f>VLOOKUP(A26,Proteome!B:I,8,FALSE)</f>
        <v>5.5901390566446578E-3</v>
      </c>
      <c r="E26" s="21">
        <f>VLOOKUP(A26,'Consensus Phospho site'!$B$2:$G$522,6,FALSE)</f>
        <v>7.7301265085524366E-3</v>
      </c>
      <c r="F26" s="21">
        <f>VLOOKUP(A26,'AVP Regulation (PTM &amp; Ca-cAMP'!B:K,10,FALSE)</f>
        <v>7.30497674912918E-3</v>
      </c>
      <c r="G26" s="21">
        <f>VLOOKUP(A26,'AQP2 Colocalization'!A:F,6,FALSE)</f>
        <v>1.2134215402528445E-2</v>
      </c>
    </row>
    <row r="27" spans="1:7" ht="15">
      <c r="A27" s="14" t="s">
        <v>425</v>
      </c>
      <c r="B27" s="20">
        <f t="shared" si="0"/>
        <v>1.9193857965451055E-3</v>
      </c>
      <c r="C27" s="21">
        <f>VLOOKUP(A27,Transcriptome!B:L,11,FALSE)</f>
        <v>5.0105485232068295E-3</v>
      </c>
      <c r="D27" s="21">
        <f>VLOOKUP(A27,Proteome!B:I,8,FALSE)</f>
        <v>5.5901390566446578E-3</v>
      </c>
      <c r="E27" s="21">
        <f>VLOOKUP(A27,'Consensus Phospho site'!$B$2:$G$522,6,FALSE)</f>
        <v>7.7301265085524366E-3</v>
      </c>
      <c r="F27" s="21">
        <f>VLOOKUP(A27,'AVP Regulation (PTM &amp; Ca-cAMP'!B:K,10,FALSE)</f>
        <v>7.30497674912918E-3</v>
      </c>
      <c r="G27" s="21">
        <f>VLOOKUP(A27,'AQP2 Colocalization'!A:F,6,FALSE)</f>
        <v>1.2134215402528445E-2</v>
      </c>
    </row>
    <row r="28" spans="1:7" ht="15">
      <c r="A28" s="14" t="s">
        <v>413</v>
      </c>
      <c r="B28" s="20">
        <f t="shared" si="0"/>
        <v>1.9193857965451055E-3</v>
      </c>
      <c r="C28" s="21">
        <f>VLOOKUP(A28,Transcriptome!B:L,11,FALSE)</f>
        <v>5.0105485232068295E-3</v>
      </c>
      <c r="D28" s="21">
        <f>VLOOKUP(A28,Proteome!B:I,8,FALSE)</f>
        <v>5.5901390566446578E-3</v>
      </c>
      <c r="E28" s="21">
        <f>VLOOKUP(A28,'Consensus Phospho site'!$B$2:$G$522,6,FALSE)</f>
        <v>7.7301265085524366E-3</v>
      </c>
      <c r="F28" s="21">
        <f>VLOOKUP(A28,'AVP Regulation (PTM &amp; Ca-cAMP'!B:K,10,FALSE)</f>
        <v>9.4964697738679337E-3</v>
      </c>
      <c r="G28" s="21">
        <f>VLOOKUP(A28,'AQP2 Colocalization'!A:F,6,FALSE)</f>
        <v>7.0108800103497685E-3</v>
      </c>
    </row>
    <row r="29" spans="1:7" ht="15">
      <c r="A29" s="14" t="s">
        <v>232</v>
      </c>
      <c r="B29" s="20">
        <f t="shared" si="0"/>
        <v>1.9193857965451055E-3</v>
      </c>
      <c r="C29" s="21">
        <f>VLOOKUP(A29,Transcriptome!B:L,11,FALSE)</f>
        <v>5.0105485232068295E-3</v>
      </c>
      <c r="D29" s="21">
        <f>VLOOKUP(A29,Proteome!B:I,8,FALSE)</f>
        <v>5.5901390566446578E-3</v>
      </c>
      <c r="E29" s="21">
        <f>VLOOKUP(A29,'Consensus Phospho site'!$B$2:$G$522,6,FALSE)</f>
        <v>4.6380759051314622E-3</v>
      </c>
      <c r="F29" s="21">
        <f>VLOOKUP(A29,'AVP Regulation (PTM &amp; Ca-cAMP'!B:K,10,FALSE)</f>
        <v>7.8893748890595146E-3</v>
      </c>
      <c r="G29" s="21">
        <f>VLOOKUP(A29,'AQP2 Colocalization'!A:F,6,FALSE)</f>
        <v>5.8244233932136539E-3</v>
      </c>
    </row>
    <row r="30" spans="1:7" ht="15">
      <c r="A30" s="14" t="s">
        <v>310</v>
      </c>
      <c r="B30" s="20">
        <f t="shared" si="0"/>
        <v>1.9193857965451055E-3</v>
      </c>
      <c r="C30" s="21">
        <f>VLOOKUP(A30,Transcriptome!B:L,11,FALSE)</f>
        <v>5.0105485232068295E-3</v>
      </c>
      <c r="D30" s="21">
        <f>VLOOKUP(A30,Proteome!B:I,8,FALSE)</f>
        <v>5.5901390566446578E-3</v>
      </c>
      <c r="E30" s="21">
        <f>VLOOKUP(A30,'Consensus Phospho site'!$B$2:$G$522,6,FALSE)</f>
        <v>4.6380759051314622E-3</v>
      </c>
      <c r="F30" s="21">
        <f>VLOOKUP(A30,'AVP Regulation (PTM &amp; Ca-cAMP'!B:K,10,FALSE)</f>
        <v>7.8893748890595146E-3</v>
      </c>
      <c r="G30" s="21">
        <f>VLOOKUP(A30,'AQP2 Colocalization'!A:F,6,FALSE)</f>
        <v>5.8244233932136539E-3</v>
      </c>
    </row>
    <row r="31" spans="1:7" ht="15">
      <c r="A31" s="14" t="s">
        <v>294</v>
      </c>
      <c r="B31" s="20">
        <f t="shared" si="0"/>
        <v>1.9193857965451055E-3</v>
      </c>
      <c r="C31" s="21">
        <f>VLOOKUP(A31,Transcriptome!B:L,11,FALSE)</f>
        <v>3.6919831223629265E-3</v>
      </c>
      <c r="D31" s="21">
        <f>VLOOKUP(A31,Proteome!B:I,8,FALSE)</f>
        <v>4.1190498312118524E-3</v>
      </c>
      <c r="E31" s="21">
        <f>VLOOKUP(A31,'Consensus Phospho site'!$B$2:$G$522,6,FALSE)</f>
        <v>3.4175296143073922E-3</v>
      </c>
      <c r="F31" s="21">
        <f>VLOOKUP(A31,'AVP Regulation (PTM &amp; Ca-cAMP'!B:K,10,FALSE)</f>
        <v>5.8132236024649037E-3</v>
      </c>
      <c r="G31" s="21">
        <f>VLOOKUP(A31,'AQP2 Colocalization'!A:F,6,FALSE)</f>
        <v>8.5833607899990661E-3</v>
      </c>
    </row>
    <row r="32" spans="1:7" ht="15">
      <c r="A32" s="14" t="s">
        <v>141</v>
      </c>
      <c r="B32" s="20">
        <f t="shared" si="0"/>
        <v>1.9193857965451055E-3</v>
      </c>
      <c r="C32" s="21">
        <f>VLOOKUP(A32,Transcriptome!B:L,11,FALSE)</f>
        <v>5.0105485232068295E-3</v>
      </c>
      <c r="D32" s="21">
        <f>VLOOKUP(A32,Proteome!B:I,8,FALSE)</f>
        <v>5.5901390566446578E-3</v>
      </c>
      <c r="E32" s="21">
        <f>VLOOKUP(A32,'Consensus Phospho site'!$B$2:$G$522,6,FALSE)</f>
        <v>4.6380759051314622E-3</v>
      </c>
      <c r="F32" s="21">
        <f>VLOOKUP(A32,'AVP Regulation (PTM &amp; Ca-cAMP'!B:K,10,FALSE)</f>
        <v>5.6978818643207609E-3</v>
      </c>
      <c r="G32" s="21">
        <f>VLOOKUP(A32,'AQP2 Colocalization'!A:F,6,FALSE)</f>
        <v>6.309792009314791E-3</v>
      </c>
    </row>
    <row r="33" spans="1:7" ht="15">
      <c r="A33" s="14" t="s">
        <v>267</v>
      </c>
      <c r="B33" s="20">
        <f t="shared" si="0"/>
        <v>1.9193857965451055E-3</v>
      </c>
      <c r="C33" s="21">
        <f>VLOOKUP(A33,Transcriptome!B:L,11,FALSE)</f>
        <v>5.0105485232068295E-3</v>
      </c>
      <c r="D33" s="21">
        <f>VLOOKUP(A33,Proteome!B:I,8,FALSE)</f>
        <v>5.5901390566446578E-3</v>
      </c>
      <c r="E33" s="21">
        <f>VLOOKUP(A33,'Consensus Phospho site'!$B$2:$G$522,6,FALSE)</f>
        <v>4.6380759051314622E-3</v>
      </c>
      <c r="F33" s="21">
        <f>VLOOKUP(A33,'AVP Regulation (PTM &amp; Ca-cAMP'!B:K,10,FALSE)</f>
        <v>5.6978818643207609E-3</v>
      </c>
      <c r="G33" s="21">
        <f>VLOOKUP(A33,'AQP2 Colocalization'!A:F,6,FALSE)</f>
        <v>9.4646880139721869E-3</v>
      </c>
    </row>
    <row r="34" spans="1:7" ht="15">
      <c r="A34" s="14" t="s">
        <v>506</v>
      </c>
      <c r="B34" s="20">
        <f t="shared" si="0"/>
        <v>1.9193857965451055E-3</v>
      </c>
      <c r="C34" s="21">
        <f>VLOOKUP(A34,Transcriptome!B:L,11,FALSE)</f>
        <v>5.0105485232068295E-3</v>
      </c>
      <c r="D34" s="21">
        <f>VLOOKUP(A34,Proteome!B:I,8,FALSE)</f>
        <v>5.5901390566446578E-3</v>
      </c>
      <c r="E34" s="21">
        <f>VLOOKUP(A34,'Consensus Phospho site'!$B$2:$G$522,6,FALSE)</f>
        <v>7.7301265085524366E-3</v>
      </c>
      <c r="F34" s="21">
        <f>VLOOKUP(A34,'AVP Regulation (PTM &amp; Ca-cAMP'!B:K,10,FALSE)</f>
        <v>7.30497674912918E-3</v>
      </c>
      <c r="G34" s="21">
        <f>VLOOKUP(A34,'AQP2 Colocalization'!A:F,6,FALSE)</f>
        <v>1.2134215402528445E-2</v>
      </c>
    </row>
    <row r="35" spans="1:7" ht="15">
      <c r="A35" s="14" t="s">
        <v>436</v>
      </c>
      <c r="B35" s="20">
        <f t="shared" si="0"/>
        <v>1.9193857965451055E-3</v>
      </c>
      <c r="C35" s="21">
        <f>VLOOKUP(A35,Transcriptome!B:L,11,FALSE)</f>
        <v>5.0105485232068295E-3</v>
      </c>
      <c r="D35" s="21">
        <f>VLOOKUP(A35,Proteome!B:I,8,FALSE)</f>
        <v>5.5901390566446578E-3</v>
      </c>
      <c r="E35" s="21">
        <f>VLOOKUP(A35,'Consensus Phospho site'!$B$2:$G$522,6,FALSE)</f>
        <v>7.7301265085524366E-3</v>
      </c>
      <c r="F35" s="21">
        <f>VLOOKUP(A35,'AVP Regulation (PTM &amp; Ca-cAMP'!B:K,10,FALSE)</f>
        <v>7.30497674912918E-3</v>
      </c>
      <c r="G35" s="21">
        <f>VLOOKUP(A35,'AQP2 Colocalization'!A:F,6,FALSE)</f>
        <v>5.3929846233459755E-3</v>
      </c>
    </row>
    <row r="36" spans="1:7" ht="15">
      <c r="A36" s="14" t="s">
        <v>449</v>
      </c>
      <c r="B36" s="20">
        <f t="shared" si="0"/>
        <v>1.9193857965451055E-3</v>
      </c>
      <c r="C36" s="21">
        <f>VLOOKUP(A36,Transcriptome!B:L,11,FALSE)</f>
        <v>5.0105485232068295E-3</v>
      </c>
      <c r="D36" s="21">
        <f>VLOOKUP(A36,Proteome!B:I,8,FALSE)</f>
        <v>5.5901390566446578E-3</v>
      </c>
      <c r="E36" s="21">
        <f>VLOOKUP(A36,'Consensus Phospho site'!$B$2:$G$522,6,FALSE)</f>
        <v>7.7301265085524366E-3</v>
      </c>
      <c r="F36" s="21">
        <f>VLOOKUP(A36,'AVP Regulation (PTM &amp; Ca-cAMP'!B:K,10,FALSE)</f>
        <v>7.30497674912918E-3</v>
      </c>
      <c r="G36" s="21">
        <f>VLOOKUP(A36,'AQP2 Colocalization'!A:F,6,FALSE)</f>
        <v>5.3929846233459755E-3</v>
      </c>
    </row>
    <row r="37" spans="1:7" ht="15">
      <c r="A37" s="14" t="s">
        <v>476</v>
      </c>
      <c r="B37" s="20">
        <f t="shared" si="0"/>
        <v>1.9193857965451055E-3</v>
      </c>
      <c r="C37" s="21">
        <f>VLOOKUP(A37,Transcriptome!B:L,11,FALSE)</f>
        <v>5.0105485232068295E-3</v>
      </c>
      <c r="D37" s="21">
        <f>VLOOKUP(A37,Proteome!B:I,8,FALSE)</f>
        <v>5.5901390566446578E-3</v>
      </c>
      <c r="E37" s="21">
        <f>VLOOKUP(A37,'Consensus Phospho site'!$B$2:$G$522,6,FALSE)</f>
        <v>7.7301265085524366E-3</v>
      </c>
      <c r="F37" s="21">
        <f>VLOOKUP(A37,'AVP Regulation (PTM &amp; Ca-cAMP'!B:K,10,FALSE)</f>
        <v>7.30497674912918E-3</v>
      </c>
      <c r="G37" s="21">
        <f>VLOOKUP(A37,'AQP2 Colocalization'!A:F,6,FALSE)</f>
        <v>5.3929846233459755E-3</v>
      </c>
    </row>
    <row r="38" spans="1:7" ht="15">
      <c r="A38" s="14" t="s">
        <v>440</v>
      </c>
      <c r="B38" s="20">
        <f t="shared" si="0"/>
        <v>1.9193857965451055E-3</v>
      </c>
      <c r="C38" s="21">
        <f>VLOOKUP(A38,Transcriptome!B:L,11,FALSE)</f>
        <v>3.6919831223629265E-3</v>
      </c>
      <c r="D38" s="21">
        <f>VLOOKUP(A38,Proteome!B:I,8,FALSE)</f>
        <v>4.1190498312118524E-3</v>
      </c>
      <c r="E38" s="21">
        <f>VLOOKUP(A38,'Consensus Phospho site'!$B$2:$G$522,6,FALSE)</f>
        <v>5.6958826905123211E-3</v>
      </c>
      <c r="F38" s="21">
        <f>VLOOKUP(A38,'AVP Regulation (PTM &amp; Ca-cAMP'!B:K,10,FALSE)</f>
        <v>5.3826144467267632E-3</v>
      </c>
      <c r="G38" s="21">
        <f>VLOOKUP(A38,'AQP2 Colocalization'!A:F,6,FALSE)</f>
        <v>3.9737781435180862E-3</v>
      </c>
    </row>
    <row r="39" spans="1:7" ht="15">
      <c r="A39" s="14" t="s">
        <v>461</v>
      </c>
      <c r="B39" s="20">
        <f t="shared" si="0"/>
        <v>1.9193857965451055E-3</v>
      </c>
      <c r="C39" s="21">
        <f>VLOOKUP(A39,Transcriptome!B:L,11,FALSE)</f>
        <v>3.6919831223629265E-3</v>
      </c>
      <c r="D39" s="21">
        <f>VLOOKUP(A39,Proteome!B:I,8,FALSE)</f>
        <v>4.1190498312118524E-3</v>
      </c>
      <c r="E39" s="21">
        <f>VLOOKUP(A39,'Consensus Phospho site'!$B$2:$G$522,6,FALSE)</f>
        <v>5.6958826905123211E-3</v>
      </c>
      <c r="F39" s="21">
        <f>VLOOKUP(A39,'AVP Regulation (PTM &amp; Ca-cAMP'!B:K,10,FALSE)</f>
        <v>5.3826144467267632E-3</v>
      </c>
      <c r="G39" s="21">
        <f>VLOOKUP(A39,'AQP2 Colocalization'!A:F,6,FALSE)</f>
        <v>3.9737781435180862E-3</v>
      </c>
    </row>
    <row r="40" spans="1:7" ht="15">
      <c r="A40" s="14" t="s">
        <v>489</v>
      </c>
      <c r="B40" s="20">
        <f t="shared" si="0"/>
        <v>1.9193857965451055E-3</v>
      </c>
      <c r="C40" s="21">
        <f>VLOOKUP(A40,Transcriptome!B:L,11,FALSE)</f>
        <v>5.0105485232068295E-3</v>
      </c>
      <c r="D40" s="21">
        <f>VLOOKUP(A40,Proteome!B:I,8,FALSE)</f>
        <v>5.5901390566446578E-3</v>
      </c>
      <c r="E40" s="21">
        <f>VLOOKUP(A40,'Consensus Phospho site'!$B$2:$G$522,6,FALSE)</f>
        <v>7.7301265085524366E-3</v>
      </c>
      <c r="F40" s="21">
        <f>VLOOKUP(A40,'AVP Regulation (PTM &amp; Ca-cAMP'!B:K,10,FALSE)</f>
        <v>7.30497674912918E-3</v>
      </c>
      <c r="G40" s="21">
        <f>VLOOKUP(A40,'AQP2 Colocalization'!A:F,6,FALSE)</f>
        <v>5.3929846233459755E-3</v>
      </c>
    </row>
    <row r="41" spans="1:7" ht="15">
      <c r="A41" s="14" t="s">
        <v>140</v>
      </c>
      <c r="B41" s="20">
        <f t="shared" si="0"/>
        <v>1.9193857965451055E-3</v>
      </c>
      <c r="C41" s="21">
        <f>VLOOKUP(A41,Transcriptome!B:L,11,FALSE)</f>
        <v>5.0105485232068295E-3</v>
      </c>
      <c r="D41" s="21">
        <f>VLOOKUP(A41,Proteome!B:I,8,FALSE)</f>
        <v>5.5901390566446578E-3</v>
      </c>
      <c r="E41" s="21">
        <f>VLOOKUP(A41,'Consensus Phospho site'!$B$2:$G$522,6,FALSE)</f>
        <v>4.6380759051314622E-3</v>
      </c>
      <c r="F41" s="21">
        <f>VLOOKUP(A41,'AVP Regulation (PTM &amp; Ca-cAMP'!B:K,10,FALSE)</f>
        <v>4.3829860494775082E-3</v>
      </c>
      <c r="G41" s="21">
        <f>VLOOKUP(A41,'AQP2 Colocalization'!A:F,6,FALSE)</f>
        <v>5.6626338545132738E-3</v>
      </c>
    </row>
    <row r="42" spans="1:7" ht="15">
      <c r="A42" s="14" t="s">
        <v>276</v>
      </c>
      <c r="B42" s="20">
        <f t="shared" si="0"/>
        <v>1.9193857965451055E-3</v>
      </c>
      <c r="C42" s="21">
        <f>VLOOKUP(A42,Transcriptome!B:L,11,FALSE)</f>
        <v>5.0105485232068295E-3</v>
      </c>
      <c r="D42" s="21">
        <f>VLOOKUP(A42,Proteome!B:I,8,FALSE)</f>
        <v>5.5901390566446578E-3</v>
      </c>
      <c r="E42" s="21">
        <f>VLOOKUP(A42,'Consensus Phospho site'!$B$2:$G$522,6,FALSE)</f>
        <v>4.6380759051314622E-3</v>
      </c>
      <c r="F42" s="21">
        <f>VLOOKUP(A42,'AVP Regulation (PTM &amp; Ca-cAMP'!B:K,10,FALSE)</f>
        <v>4.3829860494775082E-3</v>
      </c>
      <c r="G42" s="21">
        <f>VLOOKUP(A42,'AQP2 Colocalization'!A:F,6,FALSE)</f>
        <v>7.2805292415170668E-3</v>
      </c>
    </row>
    <row r="43" spans="1:7" ht="15">
      <c r="A43" s="14" t="s">
        <v>282</v>
      </c>
      <c r="B43" s="20">
        <f t="shared" si="0"/>
        <v>1.9193857965451055E-3</v>
      </c>
      <c r="C43" s="21">
        <f>VLOOKUP(A43,Transcriptome!B:L,11,FALSE)</f>
        <v>5.0105485232068295E-3</v>
      </c>
      <c r="D43" s="21">
        <f>VLOOKUP(A43,Proteome!B:I,8,FALSE)</f>
        <v>5.5901390566446578E-3</v>
      </c>
      <c r="E43" s="21">
        <f>VLOOKUP(A43,'Consensus Phospho site'!$B$2:$G$522,6,FALSE)</f>
        <v>4.6380759051314622E-3</v>
      </c>
      <c r="F43" s="21">
        <f>VLOOKUP(A43,'AVP Regulation (PTM &amp; Ca-cAMP'!B:K,10,FALSE)</f>
        <v>4.3829860494775082E-3</v>
      </c>
      <c r="G43" s="21">
        <f>VLOOKUP(A43,'AQP2 Colocalization'!A:F,6,FALSE)</f>
        <v>3.2357907740075856E-3</v>
      </c>
    </row>
    <row r="44" spans="1:7" ht="15">
      <c r="A44" s="14" t="s">
        <v>275</v>
      </c>
      <c r="B44" s="20">
        <f t="shared" si="0"/>
        <v>1.9193857965451055E-3</v>
      </c>
      <c r="C44" s="21">
        <f>VLOOKUP(A44,Transcriptome!B:L,11,FALSE)</f>
        <v>5.0105485232068295E-3</v>
      </c>
      <c r="D44" s="21">
        <f>VLOOKUP(A44,Proteome!B:I,8,FALSE)</f>
        <v>5.5901390566446578E-3</v>
      </c>
      <c r="E44" s="21">
        <f>VLOOKUP(A44,'Consensus Phospho site'!$B$2:$G$522,6,FALSE)</f>
        <v>4.6380759051314622E-3</v>
      </c>
      <c r="F44" s="21">
        <f>VLOOKUP(A44,'AVP Regulation (PTM &amp; Ca-cAMP'!B:K,10,FALSE)</f>
        <v>4.3829860494775082E-3</v>
      </c>
      <c r="G44" s="21">
        <f>VLOOKUP(A44,'AQP2 Colocalization'!A:F,6,FALSE)</f>
        <v>7.2805292415170668E-3</v>
      </c>
    </row>
    <row r="45" spans="1:7" ht="15">
      <c r="A45" s="14" t="s">
        <v>299</v>
      </c>
      <c r="B45" s="20">
        <f t="shared" si="0"/>
        <v>1.9193857965451055E-3</v>
      </c>
      <c r="C45" s="21">
        <f>VLOOKUP(A45,Transcriptome!B:L,11,FALSE)</f>
        <v>5.0105485232068295E-3</v>
      </c>
      <c r="D45" s="21">
        <f>VLOOKUP(A45,Proteome!B:I,8,FALSE)</f>
        <v>5.5901390566446578E-3</v>
      </c>
      <c r="E45" s="21">
        <f>VLOOKUP(A45,'Consensus Phospho site'!$B$2:$G$522,6,FALSE)</f>
        <v>4.6380759051314622E-3</v>
      </c>
      <c r="F45" s="21">
        <f>VLOOKUP(A45,'AVP Regulation (PTM &amp; Ca-cAMP'!B:K,10,FALSE)</f>
        <v>4.3829860494775082E-3</v>
      </c>
      <c r="G45" s="21">
        <f>VLOOKUP(A45,'AQP2 Colocalization'!A:F,6,FALSE)</f>
        <v>4.8536861610113781E-3</v>
      </c>
    </row>
    <row r="46" spans="1:7" ht="15">
      <c r="A46" s="14" t="s">
        <v>138</v>
      </c>
      <c r="B46" s="20">
        <f t="shared" si="0"/>
        <v>1.9193857965451055E-3</v>
      </c>
      <c r="C46" s="21">
        <f>VLOOKUP(A46,Transcriptome!B:L,11,FALSE)</f>
        <v>5.0105485232068295E-3</v>
      </c>
      <c r="D46" s="21">
        <f>VLOOKUP(A46,Proteome!B:I,8,FALSE)</f>
        <v>5.5901390566446578E-3</v>
      </c>
      <c r="E46" s="21">
        <f>VLOOKUP(A46,'Consensus Phospho site'!$B$2:$G$522,6,FALSE)</f>
        <v>4.6380759051314622E-3</v>
      </c>
      <c r="F46" s="21">
        <f>VLOOKUP(A46,'AVP Regulation (PTM &amp; Ca-cAMP'!B:K,10,FALSE)</f>
        <v>4.3829860494775082E-3</v>
      </c>
      <c r="G46" s="21">
        <f>VLOOKUP(A46,'AQP2 Colocalization'!A:F,6,FALSE)</f>
        <v>6.4715815480151711E-3</v>
      </c>
    </row>
    <row r="47" spans="1:7" ht="15">
      <c r="A47" s="14" t="s">
        <v>257</v>
      </c>
      <c r="B47" s="20">
        <f t="shared" si="0"/>
        <v>1.9193857965451055E-3</v>
      </c>
      <c r="C47" s="21">
        <f>VLOOKUP(A47,Transcriptome!B:L,11,FALSE)</f>
        <v>5.0105485232068295E-3</v>
      </c>
      <c r="D47" s="21">
        <f>VLOOKUP(A47,Proteome!B:I,8,FALSE)</f>
        <v>5.5901390566446578E-3</v>
      </c>
      <c r="E47" s="21">
        <f>VLOOKUP(A47,'Consensus Phospho site'!$B$2:$G$522,6,FALSE)</f>
        <v>4.6380759051314622E-3</v>
      </c>
      <c r="F47" s="21">
        <f>VLOOKUP(A47,'AVP Regulation (PTM &amp; Ca-cAMP'!B:K,10,FALSE)</f>
        <v>4.3829860494775082E-3</v>
      </c>
      <c r="G47" s="21">
        <f>VLOOKUP(A47,'AQP2 Colocalization'!A:F,6,FALSE)</f>
        <v>3.2357907740075856E-3</v>
      </c>
    </row>
    <row r="48" spans="1:7" ht="15">
      <c r="A48" s="14" t="s">
        <v>220</v>
      </c>
      <c r="B48" s="20">
        <f t="shared" si="0"/>
        <v>1.9193857965451055E-3</v>
      </c>
      <c r="C48" s="21">
        <f>VLOOKUP(A48,Transcriptome!B:L,11,FALSE)</f>
        <v>5.0105485232068295E-3</v>
      </c>
      <c r="D48" s="21">
        <f>VLOOKUP(A48,Proteome!B:I,8,FALSE)</f>
        <v>5.5901390566446578E-3</v>
      </c>
      <c r="E48" s="21">
        <f>VLOOKUP(A48,'Consensus Phospho site'!$B$2:$G$522,6,FALSE)</f>
        <v>4.6380759051314622E-3</v>
      </c>
      <c r="F48" s="21">
        <f>VLOOKUP(A48,'AVP Regulation (PTM &amp; Ca-cAMP'!B:K,10,FALSE)</f>
        <v>4.3829860494775082E-3</v>
      </c>
      <c r="G48" s="21">
        <f>VLOOKUP(A48,'AQP2 Colocalization'!A:F,6,FALSE)</f>
        <v>5.6626338545132738E-3</v>
      </c>
    </row>
    <row r="49" spans="1:7" ht="15">
      <c r="A49" s="14" t="s">
        <v>147</v>
      </c>
      <c r="B49" s="20">
        <f t="shared" si="0"/>
        <v>1.9193857965451055E-3</v>
      </c>
      <c r="C49" s="21">
        <f>VLOOKUP(A49,Transcriptome!B:L,11,FALSE)</f>
        <v>5.0105485232068295E-3</v>
      </c>
      <c r="D49" s="21">
        <f>VLOOKUP(A49,Proteome!B:I,8,FALSE)</f>
        <v>5.5901390566446578E-3</v>
      </c>
      <c r="E49" s="21">
        <f>VLOOKUP(A49,'Consensus Phospho site'!$B$2:$G$522,6,FALSE)</f>
        <v>4.6380759051314622E-3</v>
      </c>
      <c r="F49" s="21">
        <f>VLOOKUP(A49,'AVP Regulation (PTM &amp; Ca-cAMP'!B:K,10,FALSE)</f>
        <v>4.3829860494775082E-3</v>
      </c>
      <c r="G49" s="21">
        <f>VLOOKUP(A49,'AQP2 Colocalization'!A:F,6,FALSE)</f>
        <v>4.8536861610113781E-3</v>
      </c>
    </row>
    <row r="50" spans="1:7" ht="15">
      <c r="A50" s="14" t="s">
        <v>222</v>
      </c>
      <c r="B50" s="20">
        <f t="shared" si="0"/>
        <v>1.9193857965451055E-3</v>
      </c>
      <c r="C50" s="21">
        <f>VLOOKUP(A50,Transcriptome!B:L,11,FALSE)</f>
        <v>5.0105485232068295E-3</v>
      </c>
      <c r="D50" s="21">
        <f>VLOOKUP(A50,Proteome!B:I,8,FALSE)</f>
        <v>5.5901390566446578E-3</v>
      </c>
      <c r="E50" s="21">
        <f>VLOOKUP(A50,'Consensus Phospho site'!$B$2:$G$522,6,FALSE)</f>
        <v>4.6380759051314622E-3</v>
      </c>
      <c r="F50" s="21">
        <f>VLOOKUP(A50,'AVP Regulation (PTM &amp; Ca-cAMP'!B:K,10,FALSE)</f>
        <v>4.3829860494775082E-3</v>
      </c>
      <c r="G50" s="21">
        <f>VLOOKUP(A50,'AQP2 Colocalization'!A:F,6,FALSE)</f>
        <v>3.2357907740075856E-3</v>
      </c>
    </row>
    <row r="51" spans="1:7" ht="15">
      <c r="A51" s="14" t="s">
        <v>277</v>
      </c>
      <c r="B51" s="20">
        <f t="shared" si="0"/>
        <v>1.9193857965451055E-3</v>
      </c>
      <c r="C51" s="21">
        <f>VLOOKUP(A51,Transcriptome!B:L,11,FALSE)</f>
        <v>5.0105485232068295E-3</v>
      </c>
      <c r="D51" s="21">
        <f>VLOOKUP(A51,Proteome!B:I,8,FALSE)</f>
        <v>5.5901390566446578E-3</v>
      </c>
      <c r="E51" s="21">
        <f>VLOOKUP(A51,'Consensus Phospho site'!$B$2:$G$522,6,FALSE)</f>
        <v>4.6380759051314622E-3</v>
      </c>
      <c r="F51" s="21">
        <f>VLOOKUP(A51,'AVP Regulation (PTM &amp; Ca-cAMP'!B:K,10,FALSE)</f>
        <v>4.3829860494775082E-3</v>
      </c>
      <c r="G51" s="21">
        <f>VLOOKUP(A51,'AQP2 Colocalization'!A:F,6,FALSE)</f>
        <v>3.2357907740075856E-3</v>
      </c>
    </row>
    <row r="52" spans="1:7" ht="15">
      <c r="A52" s="14" t="s">
        <v>273</v>
      </c>
      <c r="B52" s="20">
        <f t="shared" si="0"/>
        <v>1.9193857965451055E-3</v>
      </c>
      <c r="C52" s="21">
        <f>VLOOKUP(A52,Transcriptome!B:L,11,FALSE)</f>
        <v>5.0105485232068295E-3</v>
      </c>
      <c r="D52" s="21">
        <f>VLOOKUP(A52,Proteome!B:I,8,FALSE)</f>
        <v>5.5901390566446578E-3</v>
      </c>
      <c r="E52" s="21">
        <f>VLOOKUP(A52,'Consensus Phospho site'!$B$2:$G$522,6,FALSE)</f>
        <v>4.6380759051314622E-3</v>
      </c>
      <c r="F52" s="21">
        <f>VLOOKUP(A52,'AVP Regulation (PTM &amp; Ca-cAMP'!B:K,10,FALSE)</f>
        <v>4.3829860494775082E-3</v>
      </c>
      <c r="G52" s="21">
        <f>VLOOKUP(A52,'AQP2 Colocalization'!A:F,6,FALSE)</f>
        <v>4.8536861610113781E-3</v>
      </c>
    </row>
    <row r="53" spans="1:7" ht="15">
      <c r="A53" s="14" t="s">
        <v>279</v>
      </c>
      <c r="B53" s="20">
        <f t="shared" si="0"/>
        <v>1.9193857965451055E-3</v>
      </c>
      <c r="C53" s="21">
        <f>VLOOKUP(A53,Transcriptome!B:L,11,FALSE)</f>
        <v>5.0105485232068295E-3</v>
      </c>
      <c r="D53" s="21">
        <f>VLOOKUP(A53,Proteome!B:I,8,FALSE)</f>
        <v>5.5901390566446578E-3</v>
      </c>
      <c r="E53" s="21">
        <f>VLOOKUP(A53,'Consensus Phospho site'!$B$2:$G$522,6,FALSE)</f>
        <v>4.6380759051314622E-3</v>
      </c>
      <c r="F53" s="21">
        <f>VLOOKUP(A53,'AVP Regulation (PTM &amp; Ca-cAMP'!B:K,10,FALSE)</f>
        <v>4.3829860494775082E-3</v>
      </c>
      <c r="G53" s="21">
        <f>VLOOKUP(A53,'AQP2 Colocalization'!A:F,6,FALSE)</f>
        <v>3.2357907740075856E-3</v>
      </c>
    </row>
    <row r="54" spans="1:7" ht="15">
      <c r="A54" s="14" t="s">
        <v>515</v>
      </c>
      <c r="B54" s="20">
        <f t="shared" si="0"/>
        <v>1.9193857965451055E-3</v>
      </c>
      <c r="C54" s="21">
        <f>VLOOKUP(A54,Transcriptome!B:L,11,FALSE)</f>
        <v>3.6919831223629265E-3</v>
      </c>
      <c r="D54" s="21">
        <f>VLOOKUP(A54,Proteome!B:I,8,FALSE)</f>
        <v>4.1190498312118524E-3</v>
      </c>
      <c r="E54" s="21">
        <f>VLOOKUP(A54,'Consensus Phospho site'!$B$2:$G$522,6,FALSE)</f>
        <v>5.6958826905123211E-3</v>
      </c>
      <c r="F54" s="21">
        <f>VLOOKUP(A54,'AVP Regulation (PTM &amp; Ca-cAMP'!B:K,10,FALSE)</f>
        <v>5.3826144467267632E-3</v>
      </c>
      <c r="G54" s="21">
        <f>VLOOKUP(A54,'AQP2 Colocalization'!A:F,6,FALSE)</f>
        <v>3.9737781435180862E-3</v>
      </c>
    </row>
    <row r="55" spans="1:7" ht="15">
      <c r="A55" s="14" t="s">
        <v>455</v>
      </c>
      <c r="B55" s="20">
        <f t="shared" si="0"/>
        <v>1.9193857965451055E-3</v>
      </c>
      <c r="C55" s="21">
        <f>VLOOKUP(A55,Transcriptome!B:L,11,FALSE)</f>
        <v>3.6919831223629265E-3</v>
      </c>
      <c r="D55" s="21">
        <f>VLOOKUP(A55,Proteome!B:I,8,FALSE)</f>
        <v>4.1190498312118524E-3</v>
      </c>
      <c r="E55" s="21">
        <f>VLOOKUP(A55,'Consensus Phospho site'!$B$2:$G$522,6,FALSE)</f>
        <v>5.6958826905123211E-3</v>
      </c>
      <c r="F55" s="21">
        <f>VLOOKUP(A55,'AVP Regulation (PTM &amp; Ca-cAMP'!B:K,10,FALSE)</f>
        <v>5.3826144467267632E-3</v>
      </c>
      <c r="G55" s="21">
        <f>VLOOKUP(A55,'AQP2 Colocalization'!A:F,6,FALSE)</f>
        <v>3.9737781435180862E-3</v>
      </c>
    </row>
    <row r="56" spans="1:7" ht="15">
      <c r="A56" s="14" t="s">
        <v>510</v>
      </c>
      <c r="B56" s="20">
        <f t="shared" si="0"/>
        <v>1.9193857965451055E-3</v>
      </c>
      <c r="C56" s="21">
        <f>VLOOKUP(A56,Transcriptome!B:L,11,FALSE)</f>
        <v>3.6919831223629265E-3</v>
      </c>
      <c r="D56" s="21">
        <f>VLOOKUP(A56,Proteome!B:I,8,FALSE)</f>
        <v>4.1190498312118524E-3</v>
      </c>
      <c r="E56" s="21">
        <f>VLOOKUP(A56,'Consensus Phospho site'!$B$2:$G$522,6,FALSE)</f>
        <v>5.6958826905123211E-3</v>
      </c>
      <c r="F56" s="21">
        <f>VLOOKUP(A56,'AVP Regulation (PTM &amp; Ca-cAMP'!B:K,10,FALSE)</f>
        <v>5.3826144467267632E-3</v>
      </c>
      <c r="G56" s="21">
        <f>VLOOKUP(A56,'AQP2 Colocalization'!A:F,6,FALSE)</f>
        <v>3.9737781435180862E-3</v>
      </c>
    </row>
    <row r="57" spans="1:7" ht="15">
      <c r="A57" s="14" t="s">
        <v>442</v>
      </c>
      <c r="B57" s="20">
        <f t="shared" si="0"/>
        <v>1.9193857965451055E-3</v>
      </c>
      <c r="C57" s="21">
        <f>VLOOKUP(A57,Transcriptome!B:L,11,FALSE)</f>
        <v>3.6919831223629265E-3</v>
      </c>
      <c r="D57" s="21">
        <f>VLOOKUP(A57,Proteome!B:I,8,FALSE)</f>
        <v>4.1190498312118524E-3</v>
      </c>
      <c r="E57" s="21">
        <f>VLOOKUP(A57,'Consensus Phospho site'!$B$2:$G$522,6,FALSE)</f>
        <v>5.6958826905123211E-3</v>
      </c>
      <c r="F57" s="21">
        <f>VLOOKUP(A57,'AVP Regulation (PTM &amp; Ca-cAMP'!B:K,10,FALSE)</f>
        <v>5.3826144467267632E-3</v>
      </c>
      <c r="G57" s="21">
        <f>VLOOKUP(A57,'AQP2 Colocalization'!A:F,6,FALSE)</f>
        <v>3.9737781435180862E-3</v>
      </c>
    </row>
    <row r="58" spans="1:7" ht="15">
      <c r="A58" s="14" t="s">
        <v>497</v>
      </c>
      <c r="B58" s="20">
        <f t="shared" si="0"/>
        <v>1.9193857965451055E-3</v>
      </c>
      <c r="C58" s="21">
        <f>VLOOKUP(A58,Transcriptome!B:L,11,FALSE)</f>
        <v>3.6919831223629265E-3</v>
      </c>
      <c r="D58" s="21">
        <f>VLOOKUP(A58,Proteome!B:I,8,FALSE)</f>
        <v>4.1190498312118524E-3</v>
      </c>
      <c r="E58" s="21">
        <f>VLOOKUP(A58,'Consensus Phospho site'!$B$2:$G$522,6,FALSE)</f>
        <v>5.6958826905123211E-3</v>
      </c>
      <c r="F58" s="21">
        <f>VLOOKUP(A58,'AVP Regulation (PTM &amp; Ca-cAMP'!B:K,10,FALSE)</f>
        <v>5.3826144467267632E-3</v>
      </c>
      <c r="G58" s="21">
        <f>VLOOKUP(A58,'AQP2 Colocalization'!A:F,6,FALSE)</f>
        <v>3.9737781435180862E-3</v>
      </c>
    </row>
    <row r="59" spans="1:7" ht="15">
      <c r="A59" s="14" t="s">
        <v>308</v>
      </c>
      <c r="B59" s="20">
        <f t="shared" si="0"/>
        <v>1.9193857965451055E-3</v>
      </c>
      <c r="C59" s="21">
        <f>VLOOKUP(A59,Transcriptome!B:L,11,FALSE)</f>
        <v>5.0105485232068295E-3</v>
      </c>
      <c r="D59" s="21">
        <f>VLOOKUP(A59,Proteome!B:I,8,FALSE)</f>
        <v>5.5901390566446578E-3</v>
      </c>
      <c r="E59" s="21">
        <f>VLOOKUP(A59,'Consensus Phospho site'!$B$2:$G$522,6,FALSE)</f>
        <v>4.6380759051314622E-3</v>
      </c>
      <c r="F59" s="21">
        <f>VLOOKUP(A59,'AVP Regulation (PTM &amp; Ca-cAMP'!B:K,10,FALSE)</f>
        <v>4.3829860494775082E-3</v>
      </c>
      <c r="G59" s="21">
        <f>VLOOKUP(A59,'AQP2 Colocalization'!A:F,6,FALSE)</f>
        <v>3.2357907740075856E-3</v>
      </c>
    </row>
    <row r="60" spans="1:7" ht="15">
      <c r="A60" s="14" t="s">
        <v>272</v>
      </c>
      <c r="B60" s="20">
        <f t="shared" si="0"/>
        <v>1.9193857965451055E-3</v>
      </c>
      <c r="C60" s="21">
        <f>VLOOKUP(A60,Transcriptome!B:L,11,FALSE)</f>
        <v>5.0105485232068295E-3</v>
      </c>
      <c r="D60" s="21">
        <f>VLOOKUP(A60,Proteome!B:I,8,FALSE)</f>
        <v>5.5901390566446578E-3</v>
      </c>
      <c r="E60" s="21">
        <f>VLOOKUP(A60,'Consensus Phospho site'!$B$2:$G$522,6,FALSE)</f>
        <v>4.6380759051314622E-3</v>
      </c>
      <c r="F60" s="21">
        <f>VLOOKUP(A60,'AVP Regulation (PTM &amp; Ca-cAMP'!B:K,10,FALSE)</f>
        <v>4.3829860494775082E-3</v>
      </c>
      <c r="G60" s="21">
        <f>VLOOKUP(A60,'AQP2 Colocalization'!A:F,6,FALSE)</f>
        <v>3.2357907740075856E-3</v>
      </c>
    </row>
    <row r="61" spans="1:7" ht="15">
      <c r="A61" s="14" t="s">
        <v>265</v>
      </c>
      <c r="B61" s="20">
        <f t="shared" si="0"/>
        <v>1.9193857965451055E-3</v>
      </c>
      <c r="C61" s="21">
        <f>VLOOKUP(A61,Transcriptome!B:L,11,FALSE)</f>
        <v>3.6919831223629265E-3</v>
      </c>
      <c r="D61" s="21">
        <f>VLOOKUP(A61,Proteome!B:I,8,FALSE)</f>
        <v>4.1190498312118524E-3</v>
      </c>
      <c r="E61" s="21">
        <f>VLOOKUP(A61,'Consensus Phospho site'!$B$2:$G$522,6,FALSE)</f>
        <v>3.4175296143073922E-3</v>
      </c>
      <c r="F61" s="21">
        <f>VLOOKUP(A61,'AVP Regulation (PTM &amp; Ca-cAMP'!B:K,10,FALSE)</f>
        <v>3.2295686680360574E-3</v>
      </c>
      <c r="G61" s="21">
        <f>VLOOKUP(A61,'AQP2 Colocalization'!A:F,6,FALSE)</f>
        <v>4.1724670506939898E-3</v>
      </c>
    </row>
    <row r="62" spans="1:7" ht="15">
      <c r="A62" s="14" t="s">
        <v>246</v>
      </c>
      <c r="B62" s="20">
        <f t="shared" si="0"/>
        <v>1.9193857965451055E-3</v>
      </c>
      <c r="C62" s="21">
        <f>VLOOKUP(A62,Transcriptome!B:L,11,FALSE)</f>
        <v>3.6919831223629265E-3</v>
      </c>
      <c r="D62" s="21">
        <f>VLOOKUP(A62,Proteome!B:I,8,FALSE)</f>
        <v>4.1190498312118524E-3</v>
      </c>
      <c r="E62" s="21">
        <f>VLOOKUP(A62,'Consensus Phospho site'!$B$2:$G$522,6,FALSE)</f>
        <v>3.4175296143073922E-3</v>
      </c>
      <c r="F62" s="21">
        <f>VLOOKUP(A62,'AVP Regulation (PTM &amp; Ca-cAMP'!B:K,10,FALSE)</f>
        <v>3.2295686680360574E-3</v>
      </c>
      <c r="G62" s="21">
        <f>VLOOKUP(A62,'AQP2 Colocalization'!A:F,6,FALSE)</f>
        <v>2.3842668861108517E-3</v>
      </c>
    </row>
    <row r="63" spans="1:7" ht="15">
      <c r="A63" s="14" t="s">
        <v>269</v>
      </c>
      <c r="B63" s="20">
        <f t="shared" si="0"/>
        <v>1.9193857965451055E-3</v>
      </c>
      <c r="C63" s="21">
        <f>VLOOKUP(A63,Transcriptome!B:L,11,FALSE)</f>
        <v>3.6919831223629265E-3</v>
      </c>
      <c r="D63" s="21">
        <f>VLOOKUP(A63,Proteome!B:I,8,FALSE)</f>
        <v>4.1190498312118524E-3</v>
      </c>
      <c r="E63" s="21">
        <f>VLOOKUP(A63,'Consensus Phospho site'!$B$2:$G$522,6,FALSE)</f>
        <v>3.4175296143073922E-3</v>
      </c>
      <c r="F63" s="21">
        <f>VLOOKUP(A63,'AVP Regulation (PTM &amp; Ca-cAMP'!B:K,10,FALSE)</f>
        <v>3.2295686680360574E-3</v>
      </c>
      <c r="G63" s="21">
        <f>VLOOKUP(A63,'AQP2 Colocalization'!A:F,6,FALSE)</f>
        <v>2.3842668861108517E-3</v>
      </c>
    </row>
    <row r="64" spans="1:7" ht="15">
      <c r="A64" s="14" t="s">
        <v>492</v>
      </c>
      <c r="B64" s="20">
        <f t="shared" si="0"/>
        <v>1.9193857965451055E-3</v>
      </c>
      <c r="C64" s="21">
        <f>VLOOKUP(A64,Transcriptome!B:L,11,FALSE)</f>
        <v>3.6919831223629265E-3</v>
      </c>
      <c r="D64" s="21">
        <f>VLOOKUP(A64,Proteome!B:I,8,FALSE)</f>
        <v>4.1190498312118524E-3</v>
      </c>
      <c r="E64" s="21">
        <f>VLOOKUP(A64,'Consensus Phospho site'!$B$2:$G$522,6,FALSE)</f>
        <v>5.6958826905123211E-3</v>
      </c>
      <c r="F64" s="21">
        <f>VLOOKUP(A64,'AVP Regulation (PTM &amp; Ca-cAMP'!B:K,10,FALSE)</f>
        <v>5.3826144467267632E-3</v>
      </c>
      <c r="G64" s="21">
        <f>VLOOKUP(A64,'AQP2 Colocalization'!A:F,6,FALSE)</f>
        <v>3.9737781435180862E-3</v>
      </c>
    </row>
    <row r="65" spans="1:7" ht="15">
      <c r="A65" s="14" t="s">
        <v>511</v>
      </c>
      <c r="B65" s="20">
        <f t="shared" si="0"/>
        <v>1.9193857965451055E-3</v>
      </c>
      <c r="C65" s="21">
        <f>VLOOKUP(A65,Transcriptome!B:L,11,FALSE)</f>
        <v>3.6919831223629265E-3</v>
      </c>
      <c r="D65" s="21">
        <f>VLOOKUP(A65,Proteome!B:I,8,FALSE)</f>
        <v>4.1190498312118524E-3</v>
      </c>
      <c r="E65" s="21">
        <f>VLOOKUP(A65,'Consensus Phospho site'!$B$2:$G$522,6,FALSE)</f>
        <v>5.6958826905123211E-3</v>
      </c>
      <c r="F65" s="21">
        <f>VLOOKUP(A65,'AVP Regulation (PTM &amp; Ca-cAMP'!B:K,10,FALSE)</f>
        <v>5.3826144467267632E-3</v>
      </c>
      <c r="G65" s="21">
        <f>VLOOKUP(A65,'AQP2 Colocalization'!A:F,6,FALSE)</f>
        <v>1.9868890717590431E-3</v>
      </c>
    </row>
    <row r="66" spans="1:7" ht="15">
      <c r="A66" s="14" t="s">
        <v>176</v>
      </c>
      <c r="B66" s="20">
        <f t="shared" ref="B66:B129" si="1">1/521</f>
        <v>1.9193857965451055E-3</v>
      </c>
      <c r="C66" s="21">
        <f>VLOOKUP(A66,Transcriptome!B:L,11,FALSE)</f>
        <v>5.0105485232068295E-3</v>
      </c>
      <c r="D66" s="21">
        <f>VLOOKUP(A66,Proteome!B:I,8,FALSE)</f>
        <v>5.5901390566446578E-3</v>
      </c>
      <c r="E66" s="21">
        <f>VLOOKUP(A66,'Consensus Phospho site'!$B$2:$G$522,6,FALSE)</f>
        <v>1.3914227715394386E-2</v>
      </c>
      <c r="F66" s="21">
        <f>VLOOKUP(A66,'AVP Regulation (PTM &amp; Ca-cAMP'!B:K,10,FALSE)</f>
        <v>1.3148958148432524E-2</v>
      </c>
      <c r="G66" s="21">
        <f>VLOOKUP(A66,'AQP2 Colocalization'!A:F,6,FALSE)</f>
        <v>9.7073723220227563E-3</v>
      </c>
    </row>
    <row r="67" spans="1:7" ht="15">
      <c r="A67" s="14" t="s">
        <v>169</v>
      </c>
      <c r="B67" s="20">
        <f t="shared" si="1"/>
        <v>1.9193857965451055E-3</v>
      </c>
      <c r="C67" s="21">
        <f>VLOOKUP(A67,Transcriptome!B:L,11,FALSE)</f>
        <v>5.0105485232068295E-3</v>
      </c>
      <c r="D67" s="21">
        <f>VLOOKUP(A67,Proteome!B:I,8,FALSE)</f>
        <v>5.5901390566446578E-3</v>
      </c>
      <c r="E67" s="21">
        <f>VLOOKUP(A67,'Consensus Phospho site'!$B$2:$G$522,6,FALSE)</f>
        <v>1.3914227715394386E-2</v>
      </c>
      <c r="F67" s="21">
        <f>VLOOKUP(A67,'AVP Regulation (PTM &amp; Ca-cAMP'!B:K,10,FALSE)</f>
        <v>1.3148958148432524E-2</v>
      </c>
      <c r="G67" s="21">
        <f>VLOOKUP(A67,'AQP2 Colocalization'!A:F,6,FALSE)</f>
        <v>9.7073723220227563E-3</v>
      </c>
    </row>
    <row r="68" spans="1:7" ht="15">
      <c r="A68" s="14" t="s">
        <v>177</v>
      </c>
      <c r="B68" s="20">
        <f t="shared" si="1"/>
        <v>1.9193857965451055E-3</v>
      </c>
      <c r="C68" s="21">
        <f>VLOOKUP(A68,Transcriptome!B:L,11,FALSE)</f>
        <v>5.0105485232068295E-3</v>
      </c>
      <c r="D68" s="21">
        <f>VLOOKUP(A68,Proteome!B:I,8,FALSE)</f>
        <v>5.5901390566446578E-3</v>
      </c>
      <c r="E68" s="21">
        <f>VLOOKUP(A68,'Consensus Phospho site'!$B$2:$G$522,6,FALSE)</f>
        <v>1.3914227715394386E-2</v>
      </c>
      <c r="F68" s="21">
        <f>VLOOKUP(A68,'AVP Regulation (PTM &amp; Ca-cAMP'!B:K,10,FALSE)</f>
        <v>1.3148958148432524E-2</v>
      </c>
      <c r="G68" s="21">
        <f>VLOOKUP(A68,'AQP2 Colocalization'!A:F,6,FALSE)</f>
        <v>9.7073723220227563E-3</v>
      </c>
    </row>
    <row r="69" spans="1:7" ht="15">
      <c r="A69" s="14" t="s">
        <v>247</v>
      </c>
      <c r="B69" s="20">
        <f t="shared" si="1"/>
        <v>1.9193857965451055E-3</v>
      </c>
      <c r="C69" s="21">
        <f>VLOOKUP(A69,Transcriptome!B:L,11,FALSE)</f>
        <v>5.0105485232068295E-3</v>
      </c>
      <c r="D69" s="21">
        <f>VLOOKUP(A69,Proteome!B:I,8,FALSE)</f>
        <v>5.5901390566446578E-3</v>
      </c>
      <c r="E69" s="21">
        <f>VLOOKUP(A69,'Consensus Phospho site'!$B$2:$G$522,6,FALSE)</f>
        <v>4.6380759051314622E-3</v>
      </c>
      <c r="F69" s="21">
        <f>VLOOKUP(A69,'AVP Regulation (PTM &amp; Ca-cAMP'!B:K,10,FALSE)</f>
        <v>4.3829860494775082E-3</v>
      </c>
      <c r="G69" s="21">
        <f>VLOOKUP(A69,'AQP2 Colocalization'!A:F,6,FALSE)</f>
        <v>1.6178953870037928E-3</v>
      </c>
    </row>
    <row r="70" spans="1:7" ht="15">
      <c r="A70" s="14" t="s">
        <v>255</v>
      </c>
      <c r="B70" s="20">
        <f t="shared" si="1"/>
        <v>1.9193857965451055E-3</v>
      </c>
      <c r="C70" s="21">
        <f>VLOOKUP(A70,Transcriptome!B:L,11,FALSE)</f>
        <v>5.0105485232068295E-3</v>
      </c>
      <c r="D70" s="21">
        <f>VLOOKUP(A70,Proteome!B:I,8,FALSE)</f>
        <v>5.5901390566446578E-3</v>
      </c>
      <c r="E70" s="21">
        <f>VLOOKUP(A70,'Consensus Phospho site'!$B$2:$G$522,6,FALSE)</f>
        <v>4.6380759051314622E-3</v>
      </c>
      <c r="F70" s="21">
        <f>VLOOKUP(A70,'AVP Regulation (PTM &amp; Ca-cAMP'!B:K,10,FALSE)</f>
        <v>4.3829860494775082E-3</v>
      </c>
      <c r="G70" s="21">
        <f>VLOOKUP(A70,'AQP2 Colocalization'!A:F,6,FALSE)</f>
        <v>1.6178953870037928E-3</v>
      </c>
    </row>
    <row r="71" spans="1:7" ht="15">
      <c r="A71" s="14" t="s">
        <v>212</v>
      </c>
      <c r="B71" s="20">
        <f t="shared" si="1"/>
        <v>1.9193857965451055E-3</v>
      </c>
      <c r="C71" s="21">
        <f>VLOOKUP(A71,Transcriptome!B:L,11,FALSE)</f>
        <v>3.6919831223629265E-3</v>
      </c>
      <c r="D71" s="21">
        <f>VLOOKUP(A71,Proteome!B:I,8,FALSE)</f>
        <v>4.1190498312118524E-3</v>
      </c>
      <c r="E71" s="21">
        <f>VLOOKUP(A71,'Consensus Phospho site'!$B$2:$G$522,6,FALSE)</f>
        <v>3.4175296143073922E-3</v>
      </c>
      <c r="F71" s="21">
        <f>VLOOKUP(A71,'AVP Regulation (PTM &amp; Ca-cAMP'!B:K,10,FALSE)</f>
        <v>3.2295686680360574E-3</v>
      </c>
      <c r="G71" s="21">
        <f>VLOOKUP(A71,'AQP2 Colocalization'!A:F,6,FALSE)</f>
        <v>2.3842668861108517E-3</v>
      </c>
    </row>
    <row r="72" spans="1:7" ht="15">
      <c r="A72" s="14" t="s">
        <v>298</v>
      </c>
      <c r="B72" s="20">
        <f t="shared" si="1"/>
        <v>1.9193857965451055E-3</v>
      </c>
      <c r="C72" s="21">
        <f>VLOOKUP(A72,Transcriptome!B:L,11,FALSE)</f>
        <v>3.6919831223629265E-3</v>
      </c>
      <c r="D72" s="21">
        <f>VLOOKUP(A72,Proteome!B:I,8,FALSE)</f>
        <v>4.1190498312118524E-3</v>
      </c>
      <c r="E72" s="21">
        <f>VLOOKUP(A72,'Consensus Phospho site'!$B$2:$G$522,6,FALSE)</f>
        <v>3.4175296143073922E-3</v>
      </c>
      <c r="F72" s="21">
        <f>VLOOKUP(A72,'AVP Regulation (PTM &amp; Ca-cAMP'!B:K,10,FALSE)</f>
        <v>3.2295686680360574E-3</v>
      </c>
      <c r="G72" s="21">
        <f>VLOOKUP(A72,'AQP2 Colocalization'!A:F,6,FALSE)</f>
        <v>2.3842668861108517E-3</v>
      </c>
    </row>
    <row r="73" spans="1:7" ht="15">
      <c r="A73" s="14" t="s">
        <v>256</v>
      </c>
      <c r="B73" s="20">
        <f t="shared" si="1"/>
        <v>1.9193857965451055E-3</v>
      </c>
      <c r="C73" s="21">
        <f>VLOOKUP(A73,Transcriptome!B:L,11,FALSE)</f>
        <v>3.6919831223629265E-3</v>
      </c>
      <c r="D73" s="21">
        <f>VLOOKUP(A73,Proteome!B:I,8,FALSE)</f>
        <v>4.1190498312118524E-3</v>
      </c>
      <c r="E73" s="21">
        <f>VLOOKUP(A73,'Consensus Phospho site'!$B$2:$G$522,6,FALSE)</f>
        <v>3.4175296143073922E-3</v>
      </c>
      <c r="F73" s="21">
        <f>VLOOKUP(A73,'AVP Regulation (PTM &amp; Ca-cAMP'!B:K,10,FALSE)</f>
        <v>3.2295686680360574E-3</v>
      </c>
      <c r="G73" s="21">
        <f>VLOOKUP(A73,'AQP2 Colocalization'!A:F,6,FALSE)</f>
        <v>2.3842668861108517E-3</v>
      </c>
    </row>
    <row r="74" spans="1:7" ht="15">
      <c r="A74" s="14" t="s">
        <v>307</v>
      </c>
      <c r="B74" s="20">
        <f t="shared" si="1"/>
        <v>1.9193857965451055E-3</v>
      </c>
      <c r="C74" s="21">
        <f>VLOOKUP(A74,Transcriptome!B:L,11,FALSE)</f>
        <v>3.6919831223629265E-3</v>
      </c>
      <c r="D74" s="21">
        <f>VLOOKUP(A74,Proteome!B:I,8,FALSE)</f>
        <v>4.1190498312118524E-3</v>
      </c>
      <c r="E74" s="21">
        <f>VLOOKUP(A74,'Consensus Phospho site'!$B$2:$G$522,6,FALSE)</f>
        <v>3.4175296143073922E-3</v>
      </c>
      <c r="F74" s="21">
        <f>VLOOKUP(A74,'AVP Regulation (PTM &amp; Ca-cAMP'!B:K,10,FALSE)</f>
        <v>3.2295686680360574E-3</v>
      </c>
      <c r="G74" s="21">
        <f>VLOOKUP(A74,'AQP2 Colocalization'!A:F,6,FALSE)</f>
        <v>2.3842668861108517E-3</v>
      </c>
    </row>
    <row r="75" spans="1:7" ht="15">
      <c r="A75" s="14" t="s">
        <v>233</v>
      </c>
      <c r="B75" s="20">
        <f t="shared" si="1"/>
        <v>1.9193857965451055E-3</v>
      </c>
      <c r="C75" s="21">
        <f>VLOOKUP(A75,Transcriptome!B:L,11,FALSE)</f>
        <v>3.6919831223629265E-3</v>
      </c>
      <c r="D75" s="21">
        <f>VLOOKUP(A75,Proteome!B:I,8,FALSE)</f>
        <v>4.1190498312118524E-3</v>
      </c>
      <c r="E75" s="21">
        <f>VLOOKUP(A75,'Consensus Phospho site'!$B$2:$G$522,6,FALSE)</f>
        <v>3.4175296143073922E-3</v>
      </c>
      <c r="F75" s="21">
        <f>VLOOKUP(A75,'AVP Regulation (PTM &amp; Ca-cAMP'!B:K,10,FALSE)</f>
        <v>3.2295686680360574E-3</v>
      </c>
      <c r="G75" s="21">
        <f>VLOOKUP(A75,'AQP2 Colocalization'!A:F,6,FALSE)</f>
        <v>2.3842668861108517E-3</v>
      </c>
    </row>
    <row r="76" spans="1:7" ht="15">
      <c r="A76" s="14" t="s">
        <v>236</v>
      </c>
      <c r="B76" s="20">
        <f t="shared" si="1"/>
        <v>1.9193857965451055E-3</v>
      </c>
      <c r="C76" s="21">
        <f>VLOOKUP(A76,Transcriptome!B:L,11,FALSE)</f>
        <v>5.0105485232068295E-3</v>
      </c>
      <c r="D76" s="21">
        <f>VLOOKUP(A76,Proteome!B:I,8,FALSE)</f>
        <v>5.5901390566446578E-3</v>
      </c>
      <c r="E76" s="21">
        <f>VLOOKUP(A76,'Consensus Phospho site'!$B$2:$G$522,6,FALSE)</f>
        <v>4.6380759051314622E-3</v>
      </c>
      <c r="F76" s="21">
        <f>VLOOKUP(A76,'AVP Regulation (PTM &amp; Ca-cAMP'!B:K,10,FALSE)</f>
        <v>4.3829860494775082E-3</v>
      </c>
      <c r="G76" s="21">
        <f>VLOOKUP(A76,'AQP2 Colocalization'!A:F,6,FALSE)</f>
        <v>3.2357907740075856E-3</v>
      </c>
    </row>
    <row r="77" spans="1:7" ht="15">
      <c r="A77" s="14" t="s">
        <v>188</v>
      </c>
      <c r="B77" s="20">
        <f t="shared" si="1"/>
        <v>1.9193857965451055E-3</v>
      </c>
      <c r="C77" s="21">
        <f>VLOOKUP(A77,Transcriptome!B:L,11,FALSE)</f>
        <v>3.6919831223629265E-3</v>
      </c>
      <c r="D77" s="21">
        <f>VLOOKUP(A77,Proteome!B:I,8,FALSE)</f>
        <v>4.1190498312118524E-3</v>
      </c>
      <c r="E77" s="21">
        <f>VLOOKUP(A77,'Consensus Phospho site'!$B$2:$G$522,6,FALSE)</f>
        <v>1.0252588842922178E-2</v>
      </c>
      <c r="F77" s="21">
        <f>VLOOKUP(A77,'AVP Regulation (PTM &amp; Ca-cAMP'!B:K,10,FALSE)</f>
        <v>9.6887060041081739E-3</v>
      </c>
      <c r="G77" s="21">
        <f>VLOOKUP(A77,'AQP2 Colocalization'!A:F,6,FALSE)</f>
        <v>7.152800658332556E-3</v>
      </c>
    </row>
    <row r="78" spans="1:7" ht="15">
      <c r="A78" s="14" t="s">
        <v>32</v>
      </c>
      <c r="B78" s="20">
        <f t="shared" si="1"/>
        <v>1.9193857965451055E-3</v>
      </c>
      <c r="C78" s="21">
        <f>VLOOKUP(A78,Transcriptome!B:L,11,FALSE)</f>
        <v>5.0105485232068295E-3</v>
      </c>
      <c r="D78" s="21">
        <f>VLOOKUP(A78,Proteome!B:I,8,FALSE)</f>
        <v>5.5901390566446578E-3</v>
      </c>
      <c r="E78" s="21">
        <f>VLOOKUP(A78,'Consensus Phospho site'!$B$2:$G$522,6,FALSE)</f>
        <v>1.5460253017104872E-3</v>
      </c>
      <c r="F78" s="21">
        <f>VLOOKUP(A78,'AVP Regulation (PTM &amp; Ca-cAMP'!B:K,10,FALSE)</f>
        <v>1.8992939547735868E-3</v>
      </c>
      <c r="G78" s="21">
        <f>VLOOKUP(A78,'AQP2 Colocalization'!A:F,6,FALSE)</f>
        <v>2.4538080036224188E-3</v>
      </c>
    </row>
    <row r="79" spans="1:7" ht="15">
      <c r="A79" s="14" t="s">
        <v>6</v>
      </c>
      <c r="B79" s="20">
        <f t="shared" si="1"/>
        <v>1.9193857965451055E-3</v>
      </c>
      <c r="C79" s="21">
        <f>VLOOKUP(A79,Transcriptome!B:L,11,FALSE)</f>
        <v>5.0105485232068295E-3</v>
      </c>
      <c r="D79" s="21">
        <f>VLOOKUP(A79,Proteome!B:I,8,FALSE)</f>
        <v>5.5901390566446578E-3</v>
      </c>
      <c r="E79" s="21">
        <f>VLOOKUP(A79,'Consensus Phospho site'!$B$2:$G$522,6,FALSE)</f>
        <v>1.5460253017104872E-3</v>
      </c>
      <c r="F79" s="21">
        <f>VLOOKUP(A79,'AVP Regulation (PTM &amp; Ca-cAMP'!B:K,10,FALSE)</f>
        <v>1.8992939547735868E-3</v>
      </c>
      <c r="G79" s="21">
        <f>VLOOKUP(A79,'AQP2 Colocalization'!A:F,6,FALSE)</f>
        <v>3.1548960046573955E-3</v>
      </c>
    </row>
    <row r="80" spans="1:7" ht="15">
      <c r="A80" s="14" t="s">
        <v>153</v>
      </c>
      <c r="B80" s="20">
        <f t="shared" si="1"/>
        <v>1.9193857965451055E-3</v>
      </c>
      <c r="C80" s="21">
        <f>VLOOKUP(A80,Transcriptome!B:L,11,FALSE)</f>
        <v>5.2742616033756105E-4</v>
      </c>
      <c r="D80" s="21">
        <f>VLOOKUP(A80,Proteome!B:I,8,FALSE)</f>
        <v>5.8843569017312199E-4</v>
      </c>
      <c r="E80" s="21">
        <f>VLOOKUP(A80,'Consensus Phospho site'!$B$2:$G$522,6,FALSE)</f>
        <v>1.4646555489888833E-3</v>
      </c>
      <c r="F80" s="21">
        <f>VLOOKUP(A80,'AVP Regulation (PTM &amp; Ca-cAMP'!B:K,10,FALSE)</f>
        <v>1.7993311150486617E-3</v>
      </c>
      <c r="G80" s="21">
        <f>VLOOKUP(A80,'AQP2 Colocalization'!A:F,6,FALSE)</f>
        <v>1.3283772651189038E-3</v>
      </c>
    </row>
    <row r="81" spans="1:7" ht="15">
      <c r="A81" s="14" t="s">
        <v>160</v>
      </c>
      <c r="B81" s="20">
        <f t="shared" si="1"/>
        <v>1.9193857965451055E-3</v>
      </c>
      <c r="C81" s="21">
        <f>VLOOKUP(A81,Transcriptome!B:L,11,FALSE)</f>
        <v>5.2742616033756105E-4</v>
      </c>
      <c r="D81" s="21">
        <f>VLOOKUP(A81,Proteome!B:I,8,FALSE)</f>
        <v>5.8843569017312199E-4</v>
      </c>
      <c r="E81" s="21">
        <f>VLOOKUP(A81,'Consensus Phospho site'!$B$2:$G$522,6,FALSE)</f>
        <v>1.4646555489888833E-3</v>
      </c>
      <c r="F81" s="21">
        <f>VLOOKUP(A81,'AVP Regulation (PTM &amp; Ca-cAMP'!B:K,10,FALSE)</f>
        <v>1.7993311150486617E-3</v>
      </c>
      <c r="G81" s="21">
        <f>VLOOKUP(A81,'AQP2 Colocalization'!A:F,6,FALSE)</f>
        <v>2.6567545302378075E-3</v>
      </c>
    </row>
    <row r="82" spans="1:7" ht="15">
      <c r="A82" s="14" t="s">
        <v>205</v>
      </c>
      <c r="B82" s="20">
        <f t="shared" si="1"/>
        <v>1.9193857965451055E-3</v>
      </c>
      <c r="C82" s="21">
        <f>VLOOKUP(A82,Transcriptome!B:L,11,FALSE)</f>
        <v>5.2742616033756105E-4</v>
      </c>
      <c r="D82" s="21">
        <f>VLOOKUP(A82,Proteome!B:I,8,FALSE)</f>
        <v>5.8843569017312199E-4</v>
      </c>
      <c r="E82" s="21">
        <f>VLOOKUP(A82,'Consensus Phospho site'!$B$2:$G$522,6,FALSE)</f>
        <v>1.4646555489888833E-3</v>
      </c>
      <c r="F82" s="21">
        <f>VLOOKUP(A82,'AVP Regulation (PTM &amp; Ca-cAMP'!B:K,10,FALSE)</f>
        <v>1.7993311150486617E-3</v>
      </c>
      <c r="G82" s="21">
        <f>VLOOKUP(A82,'AQP2 Colocalization'!A:F,6,FALSE)</f>
        <v>2.6567545302378075E-3</v>
      </c>
    </row>
    <row r="83" spans="1:7" ht="15">
      <c r="A83" s="14" t="s">
        <v>513</v>
      </c>
      <c r="B83" s="20">
        <f t="shared" si="1"/>
        <v>1.9193857965451055E-3</v>
      </c>
      <c r="C83" s="21">
        <f>VLOOKUP(A83,Transcriptome!B:L,11,FALSE)</f>
        <v>5.0105485232068295E-3</v>
      </c>
      <c r="D83" s="21">
        <f>VLOOKUP(A83,Proteome!B:I,8,FALSE)</f>
        <v>5.5901390566446578E-3</v>
      </c>
      <c r="E83" s="21">
        <f>VLOOKUP(A83,'Consensus Phospho site'!$B$2:$G$522,6,FALSE)</f>
        <v>7.7301265085524366E-3</v>
      </c>
      <c r="F83" s="21">
        <f>VLOOKUP(A83,'AVP Regulation (PTM &amp; Ca-cAMP'!B:K,10,FALSE)</f>
        <v>7.30497674912918E-3</v>
      </c>
      <c r="G83" s="21">
        <f>VLOOKUP(A83,'AQP2 Colocalization'!A:F,6,FALSE)</f>
        <v>5.3929846233459755E-3</v>
      </c>
    </row>
    <row r="84" spans="1:7" ht="15">
      <c r="A84" s="14" t="s">
        <v>503</v>
      </c>
      <c r="B84" s="20">
        <f t="shared" si="1"/>
        <v>1.9193857965451055E-3</v>
      </c>
      <c r="C84" s="21">
        <f>VLOOKUP(A84,Transcriptome!B:L,11,FALSE)</f>
        <v>5.0105485232068295E-3</v>
      </c>
      <c r="D84" s="21">
        <f>VLOOKUP(A84,Proteome!B:I,8,FALSE)</f>
        <v>5.5901390566446578E-3</v>
      </c>
      <c r="E84" s="21">
        <f>VLOOKUP(A84,'Consensus Phospho site'!$B$2:$G$522,6,FALSE)</f>
        <v>7.7301265085524366E-3</v>
      </c>
      <c r="F84" s="21">
        <f>VLOOKUP(A84,'AVP Regulation (PTM &amp; Ca-cAMP'!B:K,10,FALSE)</f>
        <v>7.30497674912918E-3</v>
      </c>
      <c r="G84" s="21">
        <f>VLOOKUP(A84,'AQP2 Colocalization'!A:F,6,FALSE)</f>
        <v>5.3929846233459755E-3</v>
      </c>
    </row>
    <row r="85" spans="1:7" ht="15">
      <c r="A85" s="14" t="s">
        <v>479</v>
      </c>
      <c r="B85" s="20">
        <f t="shared" si="1"/>
        <v>1.9193857965451055E-3</v>
      </c>
      <c r="C85" s="21">
        <f>VLOOKUP(A85,Transcriptome!B:L,11,FALSE)</f>
        <v>5.0105485232068295E-3</v>
      </c>
      <c r="D85" s="21">
        <f>VLOOKUP(A85,Proteome!B:I,8,FALSE)</f>
        <v>5.5901390566446578E-3</v>
      </c>
      <c r="E85" s="21">
        <f>VLOOKUP(A85,'Consensus Phospho site'!$B$2:$G$522,6,FALSE)</f>
        <v>7.7301265085524366E-3</v>
      </c>
      <c r="F85" s="21">
        <f>VLOOKUP(A85,'AVP Regulation (PTM &amp; Ca-cAMP'!B:K,10,FALSE)</f>
        <v>7.30497674912918E-3</v>
      </c>
      <c r="G85" s="21">
        <f>VLOOKUP(A85,'AQP2 Colocalization'!A:F,6,FALSE)</f>
        <v>5.3929846233459755E-3</v>
      </c>
    </row>
    <row r="86" spans="1:7" ht="15">
      <c r="A86" s="14" t="s">
        <v>448</v>
      </c>
      <c r="B86" s="20">
        <f t="shared" si="1"/>
        <v>1.9193857965451055E-3</v>
      </c>
      <c r="C86" s="21">
        <f>VLOOKUP(A86,Transcriptome!B:L,11,FALSE)</f>
        <v>5.0105485232068295E-3</v>
      </c>
      <c r="D86" s="21">
        <f>VLOOKUP(A86,Proteome!B:I,8,FALSE)</f>
        <v>5.5901390566446578E-3</v>
      </c>
      <c r="E86" s="21">
        <f>VLOOKUP(A86,'Consensus Phospho site'!$B$2:$G$522,6,FALSE)</f>
        <v>7.7301265085524366E-3</v>
      </c>
      <c r="F86" s="21">
        <f>VLOOKUP(A86,'AVP Regulation (PTM &amp; Ca-cAMP'!B:K,10,FALSE)</f>
        <v>7.30497674912918E-3</v>
      </c>
      <c r="G86" s="21">
        <f>VLOOKUP(A86,'AQP2 Colocalization'!A:F,6,FALSE)</f>
        <v>5.3929846233459755E-3</v>
      </c>
    </row>
    <row r="87" spans="1:7" ht="15">
      <c r="A87" s="14" t="s">
        <v>519</v>
      </c>
      <c r="B87" s="20">
        <f t="shared" si="1"/>
        <v>1.9193857965451055E-3</v>
      </c>
      <c r="C87" s="21">
        <f>VLOOKUP(A87,Transcriptome!B:L,11,FALSE)</f>
        <v>5.0105485232068295E-3</v>
      </c>
      <c r="D87" s="21">
        <f>VLOOKUP(A87,Proteome!B:I,8,FALSE)</f>
        <v>5.5901390566446578E-3</v>
      </c>
      <c r="E87" s="21">
        <f>VLOOKUP(A87,'Consensus Phospho site'!$B$2:$G$522,6,FALSE)</f>
        <v>7.7301265085524366E-3</v>
      </c>
      <c r="F87" s="21">
        <f>VLOOKUP(A87,'AVP Regulation (PTM &amp; Ca-cAMP'!B:K,10,FALSE)</f>
        <v>7.30497674912918E-3</v>
      </c>
      <c r="G87" s="21">
        <f>VLOOKUP(A87,'AQP2 Colocalization'!A:F,6,FALSE)</f>
        <v>5.3929846233459755E-3</v>
      </c>
    </row>
    <row r="88" spans="1:7" ht="15">
      <c r="A88" s="14" t="s">
        <v>478</v>
      </c>
      <c r="B88" s="20">
        <f t="shared" si="1"/>
        <v>1.9193857965451055E-3</v>
      </c>
      <c r="C88" s="21">
        <f>VLOOKUP(A88,Transcriptome!B:L,11,FALSE)</f>
        <v>5.0105485232068295E-3</v>
      </c>
      <c r="D88" s="21">
        <f>VLOOKUP(A88,Proteome!B:I,8,FALSE)</f>
        <v>5.5901390566446578E-3</v>
      </c>
      <c r="E88" s="21">
        <f>VLOOKUP(A88,'Consensus Phospho site'!$B$2:$G$522,6,FALSE)</f>
        <v>7.7301265085524366E-3</v>
      </c>
      <c r="F88" s="21">
        <f>VLOOKUP(A88,'AVP Regulation (PTM &amp; Ca-cAMP'!B:K,10,FALSE)</f>
        <v>7.30497674912918E-3</v>
      </c>
      <c r="G88" s="21">
        <f>VLOOKUP(A88,'AQP2 Colocalization'!A:F,6,FALSE)</f>
        <v>5.3929846233459755E-3</v>
      </c>
    </row>
    <row r="89" spans="1:7" ht="15">
      <c r="A89" s="14" t="s">
        <v>414</v>
      </c>
      <c r="B89" s="20">
        <f t="shared" si="1"/>
        <v>1.9193857965451055E-3</v>
      </c>
      <c r="C89" s="21">
        <f>VLOOKUP(A89,Transcriptome!B:L,11,FALSE)</f>
        <v>5.0105485232068295E-3</v>
      </c>
      <c r="D89" s="21">
        <f>VLOOKUP(A89,Proteome!B:I,8,FALSE)</f>
        <v>5.5901390566446578E-3</v>
      </c>
      <c r="E89" s="21">
        <f>VLOOKUP(A89,'Consensus Phospho site'!$B$2:$G$522,6,FALSE)</f>
        <v>7.7301265085524366E-3</v>
      </c>
      <c r="F89" s="21">
        <f>VLOOKUP(A89,'AVP Regulation (PTM &amp; Ca-cAMP'!B:K,10,FALSE)</f>
        <v>7.30497674912918E-3</v>
      </c>
      <c r="G89" s="21">
        <f>VLOOKUP(A89,'AQP2 Colocalization'!A:F,6,FALSE)</f>
        <v>5.3929846233459755E-3</v>
      </c>
    </row>
    <row r="90" spans="1:7" ht="15">
      <c r="A90" s="14" t="s">
        <v>418</v>
      </c>
      <c r="B90" s="20">
        <f t="shared" si="1"/>
        <v>1.9193857965451055E-3</v>
      </c>
      <c r="C90" s="21">
        <f>VLOOKUP(A90,Transcriptome!B:L,11,FALSE)</f>
        <v>5.0105485232068295E-3</v>
      </c>
      <c r="D90" s="21">
        <f>VLOOKUP(A90,Proteome!B:I,8,FALSE)</f>
        <v>5.5901390566446578E-3</v>
      </c>
      <c r="E90" s="21">
        <f>VLOOKUP(A90,'Consensus Phospho site'!$B$2:$G$522,6,FALSE)</f>
        <v>7.7301265085524366E-3</v>
      </c>
      <c r="F90" s="21">
        <f>VLOOKUP(A90,'AVP Regulation (PTM &amp; Ca-cAMP'!B:K,10,FALSE)</f>
        <v>7.30497674912918E-3</v>
      </c>
      <c r="G90" s="21">
        <f>VLOOKUP(A90,'AQP2 Colocalization'!A:F,6,FALSE)</f>
        <v>5.3929846233459755E-3</v>
      </c>
    </row>
    <row r="91" spans="1:7" ht="15">
      <c r="A91" s="14" t="s">
        <v>422</v>
      </c>
      <c r="B91" s="20">
        <f t="shared" si="1"/>
        <v>1.9193857965451055E-3</v>
      </c>
      <c r="C91" s="21">
        <f>VLOOKUP(A91,Transcriptome!B:L,11,FALSE)</f>
        <v>5.0105485232068295E-3</v>
      </c>
      <c r="D91" s="21">
        <f>VLOOKUP(A91,Proteome!B:I,8,FALSE)</f>
        <v>5.5901390566446578E-3</v>
      </c>
      <c r="E91" s="21">
        <f>VLOOKUP(A91,'Consensus Phospho site'!$B$2:$G$522,6,FALSE)</f>
        <v>7.7301265085524366E-3</v>
      </c>
      <c r="F91" s="21">
        <f>VLOOKUP(A91,'AVP Regulation (PTM &amp; Ca-cAMP'!B:K,10,FALSE)</f>
        <v>7.30497674912918E-3</v>
      </c>
      <c r="G91" s="21">
        <f>VLOOKUP(A91,'AQP2 Colocalization'!A:F,6,FALSE)</f>
        <v>5.3929846233459755E-3</v>
      </c>
    </row>
    <row r="92" spans="1:7" ht="15">
      <c r="A92" s="14" t="s">
        <v>360</v>
      </c>
      <c r="B92" s="20">
        <f t="shared" si="1"/>
        <v>1.9193857965451055E-3</v>
      </c>
      <c r="C92" s="21">
        <f>VLOOKUP(A92,Transcriptome!B:L,11,FALSE)</f>
        <v>5.0105485232068295E-3</v>
      </c>
      <c r="D92" s="21">
        <f>VLOOKUP(A92,Proteome!B:I,8,FALSE)</f>
        <v>5.5901390566446578E-3</v>
      </c>
      <c r="E92" s="21">
        <f>VLOOKUP(A92,'Consensus Phospho site'!$B$2:$G$522,6,FALSE)</f>
        <v>1.5460253017104872E-3</v>
      </c>
      <c r="F92" s="21">
        <f>VLOOKUP(A92,'AVP Regulation (PTM &amp; Ca-cAMP'!B:K,10,FALSE)</f>
        <v>1.4609953498258359E-3</v>
      </c>
      <c r="G92" s="21">
        <f>VLOOKUP(A92,'AQP2 Colocalization'!A:F,6,FALSE)</f>
        <v>2.4268430805056886E-3</v>
      </c>
    </row>
    <row r="93" spans="1:7" ht="15">
      <c r="A93" s="14" t="s">
        <v>86</v>
      </c>
      <c r="B93" s="20">
        <f t="shared" si="1"/>
        <v>1.9193857965451055E-3</v>
      </c>
      <c r="C93" s="21">
        <f>VLOOKUP(A93,Transcriptome!B:L,11,FALSE)</f>
        <v>5.0105485232068295E-3</v>
      </c>
      <c r="D93" s="21">
        <f>VLOOKUP(A93,Proteome!B:I,8,FALSE)</f>
        <v>5.5901390566446578E-3</v>
      </c>
      <c r="E93" s="21">
        <f>VLOOKUP(A93,'Consensus Phospho site'!$B$2:$G$522,6,FALSE)</f>
        <v>1.5460253017104872E-3</v>
      </c>
      <c r="F93" s="21">
        <f>VLOOKUP(A93,'AVP Regulation (PTM &amp; Ca-cAMP'!B:K,10,FALSE)</f>
        <v>1.4609953498258359E-3</v>
      </c>
      <c r="G93" s="21">
        <f>VLOOKUP(A93,'AQP2 Colocalization'!A:F,6,FALSE)</f>
        <v>2.4268430805056886E-3</v>
      </c>
    </row>
    <row r="94" spans="1:7" ht="15">
      <c r="A94" s="14" t="s">
        <v>347</v>
      </c>
      <c r="B94" s="20">
        <f t="shared" si="1"/>
        <v>1.9193857965451055E-3</v>
      </c>
      <c r="C94" s="21">
        <f>VLOOKUP(A94,Transcriptome!B:L,11,FALSE)</f>
        <v>5.0105485232068295E-3</v>
      </c>
      <c r="D94" s="21">
        <f>VLOOKUP(A94,Proteome!B:I,8,FALSE)</f>
        <v>5.5901390566446578E-3</v>
      </c>
      <c r="E94" s="21">
        <f>VLOOKUP(A94,'Consensus Phospho site'!$B$2:$G$522,6,FALSE)</f>
        <v>1.5460253017104872E-3</v>
      </c>
      <c r="F94" s="21">
        <f>VLOOKUP(A94,'AVP Regulation (PTM &amp; Ca-cAMP'!B:K,10,FALSE)</f>
        <v>1.4609953498258359E-3</v>
      </c>
      <c r="G94" s="21">
        <f>VLOOKUP(A94,'AQP2 Colocalization'!A:F,6,FALSE)</f>
        <v>1.887544618171091E-3</v>
      </c>
    </row>
    <row r="95" spans="1:7" ht="15">
      <c r="A95" s="14" t="s">
        <v>87</v>
      </c>
      <c r="B95" s="20">
        <f t="shared" si="1"/>
        <v>1.9193857965451055E-3</v>
      </c>
      <c r="C95" s="21">
        <f>VLOOKUP(A95,Transcriptome!B:L,11,FALSE)</f>
        <v>5.0105485232068295E-3</v>
      </c>
      <c r="D95" s="21">
        <f>VLOOKUP(A95,Proteome!B:I,8,FALSE)</f>
        <v>5.5901390566446578E-3</v>
      </c>
      <c r="E95" s="21">
        <f>VLOOKUP(A95,'Consensus Phospho site'!$B$2:$G$522,6,FALSE)</f>
        <v>1.5460253017104872E-3</v>
      </c>
      <c r="F95" s="21">
        <f>VLOOKUP(A95,'AVP Regulation (PTM &amp; Ca-cAMP'!B:K,10,FALSE)</f>
        <v>1.4609953498258359E-3</v>
      </c>
      <c r="G95" s="21">
        <f>VLOOKUP(A95,'AQP2 Colocalization'!A:F,6,FALSE)</f>
        <v>1.887544618171091E-3</v>
      </c>
    </row>
    <row r="96" spans="1:7" ht="15">
      <c r="A96" s="14" t="s">
        <v>363</v>
      </c>
      <c r="B96" s="20">
        <f t="shared" si="1"/>
        <v>1.9193857965451055E-3</v>
      </c>
      <c r="C96" s="21">
        <f>VLOOKUP(A96,Transcriptome!B:L,11,FALSE)</f>
        <v>5.0105485232068295E-3</v>
      </c>
      <c r="D96" s="21">
        <f>VLOOKUP(A96,Proteome!B:I,8,FALSE)</f>
        <v>5.5901390566446578E-3</v>
      </c>
      <c r="E96" s="21">
        <f>VLOOKUP(A96,'Consensus Phospho site'!$B$2:$G$522,6,FALSE)</f>
        <v>1.5460253017104872E-3</v>
      </c>
      <c r="F96" s="21">
        <f>VLOOKUP(A96,'AVP Regulation (PTM &amp; Ca-cAMP'!B:K,10,FALSE)</f>
        <v>1.4609953498258359E-3</v>
      </c>
      <c r="G96" s="21">
        <f>VLOOKUP(A96,'AQP2 Colocalization'!A:F,6,FALSE)</f>
        <v>1.0785969246691952E-3</v>
      </c>
    </row>
    <row r="97" spans="1:7" ht="15">
      <c r="A97" s="14" t="s">
        <v>367</v>
      </c>
      <c r="B97" s="20">
        <f t="shared" si="1"/>
        <v>1.9193857965451055E-3</v>
      </c>
      <c r="C97" s="21">
        <f>VLOOKUP(A97,Transcriptome!B:L,11,FALSE)</f>
        <v>5.0105485232068295E-3</v>
      </c>
      <c r="D97" s="21">
        <f>VLOOKUP(A97,Proteome!B:I,8,FALSE)</f>
        <v>5.5901390566446578E-3</v>
      </c>
      <c r="E97" s="21">
        <f>VLOOKUP(A97,'Consensus Phospho site'!$B$2:$G$522,6,FALSE)</f>
        <v>1.5460253017104872E-3</v>
      </c>
      <c r="F97" s="21">
        <f>VLOOKUP(A97,'AVP Regulation (PTM &amp; Ca-cAMP'!B:K,10,FALSE)</f>
        <v>1.4609953498258359E-3</v>
      </c>
      <c r="G97" s="21">
        <f>VLOOKUP(A97,'AQP2 Colocalization'!A:F,6,FALSE)</f>
        <v>1.0785969246691952E-3</v>
      </c>
    </row>
    <row r="98" spans="1:7" ht="15">
      <c r="A98" s="14" t="s">
        <v>25</v>
      </c>
      <c r="B98" s="20">
        <f t="shared" si="1"/>
        <v>1.9193857965451055E-3</v>
      </c>
      <c r="C98" s="21">
        <f>VLOOKUP(A98,Transcriptome!B:L,11,FALSE)</f>
        <v>5.0105485232068295E-3</v>
      </c>
      <c r="D98" s="21">
        <f>VLOOKUP(A98,Proteome!B:I,8,FALSE)</f>
        <v>5.5901390566446578E-3</v>
      </c>
      <c r="E98" s="21">
        <f>VLOOKUP(A98,'Consensus Phospho site'!$B$2:$G$522,6,FALSE)</f>
        <v>1.5460253017104872E-3</v>
      </c>
      <c r="F98" s="21">
        <f>VLOOKUP(A98,'AVP Regulation (PTM &amp; Ca-cAMP'!B:K,10,FALSE)</f>
        <v>1.4609953498258359E-3</v>
      </c>
      <c r="G98" s="21">
        <f>VLOOKUP(A98,'AQP2 Colocalization'!A:F,6,FALSE)</f>
        <v>1.6178953870037923E-3</v>
      </c>
    </row>
    <row r="99" spans="1:7" ht="15">
      <c r="A99" s="14" t="s">
        <v>48</v>
      </c>
      <c r="B99" s="20">
        <f t="shared" si="1"/>
        <v>1.9193857965451055E-3</v>
      </c>
      <c r="C99" s="21">
        <f>VLOOKUP(A99,Transcriptome!B:L,11,FALSE)</f>
        <v>5.0105485232068295E-3</v>
      </c>
      <c r="D99" s="21">
        <f>VLOOKUP(A99,Proteome!B:I,8,FALSE)</f>
        <v>5.5901390566446578E-3</v>
      </c>
      <c r="E99" s="21">
        <f>VLOOKUP(A99,'Consensus Phospho site'!$B$2:$G$522,6,FALSE)</f>
        <v>1.5460253017104872E-3</v>
      </c>
      <c r="F99" s="21">
        <f>VLOOKUP(A99,'AVP Regulation (PTM &amp; Ca-cAMP'!B:K,10,FALSE)</f>
        <v>1.4609953498258359E-3</v>
      </c>
      <c r="G99" s="21">
        <f>VLOOKUP(A99,'AQP2 Colocalization'!A:F,6,FALSE)</f>
        <v>1.0785969246691952E-3</v>
      </c>
    </row>
    <row r="100" spans="1:7" ht="15">
      <c r="A100" s="14" t="s">
        <v>36</v>
      </c>
      <c r="B100" s="20">
        <f t="shared" si="1"/>
        <v>1.9193857965451055E-3</v>
      </c>
      <c r="C100" s="21">
        <f>VLOOKUP(A100,Transcriptome!B:L,11,FALSE)</f>
        <v>5.0105485232068295E-3</v>
      </c>
      <c r="D100" s="21">
        <f>VLOOKUP(A100,Proteome!B:I,8,FALSE)</f>
        <v>5.5901390566446578E-3</v>
      </c>
      <c r="E100" s="21">
        <f>VLOOKUP(A100,'Consensus Phospho site'!$B$2:$G$522,6,FALSE)</f>
        <v>1.5460253017104872E-3</v>
      </c>
      <c r="F100" s="21">
        <f>VLOOKUP(A100,'AVP Regulation (PTM &amp; Ca-cAMP'!B:K,10,FALSE)</f>
        <v>1.4609953498258359E-3</v>
      </c>
      <c r="G100" s="21">
        <f>VLOOKUP(A100,'AQP2 Colocalization'!A:F,6,FALSE)</f>
        <v>2.1571938493383904E-3</v>
      </c>
    </row>
    <row r="101" spans="1:7" ht="15">
      <c r="A101" s="14" t="s">
        <v>353</v>
      </c>
      <c r="B101" s="20">
        <f t="shared" si="1"/>
        <v>1.9193857965451055E-3</v>
      </c>
      <c r="C101" s="21">
        <f>VLOOKUP(A101,Transcriptome!B:L,11,FALSE)</f>
        <v>5.0105485232068295E-3</v>
      </c>
      <c r="D101" s="21">
        <f>VLOOKUP(A101,Proteome!B:I,8,FALSE)</f>
        <v>5.5901390566446578E-3</v>
      </c>
      <c r="E101" s="21">
        <f>VLOOKUP(A101,'Consensus Phospho site'!$B$2:$G$522,6,FALSE)</f>
        <v>1.5460253017104872E-3</v>
      </c>
      <c r="F101" s="21">
        <f>VLOOKUP(A101,'AVP Regulation (PTM &amp; Ca-cAMP'!B:K,10,FALSE)</f>
        <v>1.4609953498258359E-3</v>
      </c>
      <c r="G101" s="21">
        <f>VLOOKUP(A101,'AQP2 Colocalization'!A:F,6,FALSE)</f>
        <v>1.6178953870037923E-3</v>
      </c>
    </row>
    <row r="102" spans="1:7" ht="15">
      <c r="A102" s="14" t="s">
        <v>45</v>
      </c>
      <c r="B102" s="20">
        <f t="shared" si="1"/>
        <v>1.9193857965451055E-3</v>
      </c>
      <c r="C102" s="21">
        <f>VLOOKUP(A102,Transcriptome!B:L,11,FALSE)</f>
        <v>5.0105485232068295E-3</v>
      </c>
      <c r="D102" s="21">
        <f>VLOOKUP(A102,Proteome!B:I,8,FALSE)</f>
        <v>5.5901390566446578E-3</v>
      </c>
      <c r="E102" s="21">
        <f>VLOOKUP(A102,'Consensus Phospho site'!$B$2:$G$522,6,FALSE)</f>
        <v>1.5460253017104872E-3</v>
      </c>
      <c r="F102" s="21">
        <f>VLOOKUP(A102,'AVP Regulation (PTM &amp; Ca-cAMP'!B:K,10,FALSE)</f>
        <v>1.4609953498258359E-3</v>
      </c>
      <c r="G102" s="21">
        <f>VLOOKUP(A102,'AQP2 Colocalization'!A:F,6,FALSE)</f>
        <v>1.0785969246691952E-3</v>
      </c>
    </row>
    <row r="103" spans="1:7" ht="15">
      <c r="A103" s="14" t="s">
        <v>55</v>
      </c>
      <c r="B103" s="20">
        <f t="shared" si="1"/>
        <v>1.9193857965451055E-3</v>
      </c>
      <c r="C103" s="21">
        <f>VLOOKUP(A103,Transcriptome!B:L,11,FALSE)</f>
        <v>5.0105485232068295E-3</v>
      </c>
      <c r="D103" s="21">
        <f>VLOOKUP(A103,Proteome!B:I,8,FALSE)</f>
        <v>5.5901390566446578E-3</v>
      </c>
      <c r="E103" s="21">
        <f>VLOOKUP(A103,'Consensus Phospho site'!$B$2:$G$522,6,FALSE)</f>
        <v>1.5460253017104872E-3</v>
      </c>
      <c r="F103" s="21">
        <f>VLOOKUP(A103,'AVP Regulation (PTM &amp; Ca-cAMP'!B:K,10,FALSE)</f>
        <v>1.4609953498258359E-3</v>
      </c>
      <c r="G103" s="21">
        <f>VLOOKUP(A103,'AQP2 Colocalization'!A:F,6,FALSE)</f>
        <v>1.0785969246691952E-3</v>
      </c>
    </row>
    <row r="104" spans="1:7" ht="15">
      <c r="A104" s="14" t="s">
        <v>44</v>
      </c>
      <c r="B104" s="20">
        <f t="shared" si="1"/>
        <v>1.9193857965451055E-3</v>
      </c>
      <c r="C104" s="21">
        <f>VLOOKUP(A104,Transcriptome!B:L,11,FALSE)</f>
        <v>5.0105485232068295E-3</v>
      </c>
      <c r="D104" s="21">
        <f>VLOOKUP(A104,Proteome!B:I,8,FALSE)</f>
        <v>5.5901390566446578E-3</v>
      </c>
      <c r="E104" s="21">
        <f>VLOOKUP(A104,'Consensus Phospho site'!$B$2:$G$522,6,FALSE)</f>
        <v>1.5460253017104872E-3</v>
      </c>
      <c r="F104" s="21">
        <f>VLOOKUP(A104,'AVP Regulation (PTM &amp; Ca-cAMP'!B:K,10,FALSE)</f>
        <v>1.4609953498258359E-3</v>
      </c>
      <c r="G104" s="21">
        <f>VLOOKUP(A104,'AQP2 Colocalization'!A:F,6,FALSE)</f>
        <v>1.0785969246691952E-3</v>
      </c>
    </row>
    <row r="105" spans="1:7" ht="15">
      <c r="A105" s="14" t="s">
        <v>43</v>
      </c>
      <c r="B105" s="20">
        <f t="shared" si="1"/>
        <v>1.9193857965451055E-3</v>
      </c>
      <c r="C105" s="21">
        <f>VLOOKUP(A105,Transcriptome!B:L,11,FALSE)</f>
        <v>5.0105485232068295E-3</v>
      </c>
      <c r="D105" s="21">
        <f>VLOOKUP(A105,Proteome!B:I,8,FALSE)</f>
        <v>5.5901390566446578E-3</v>
      </c>
      <c r="E105" s="21">
        <f>VLOOKUP(A105,'Consensus Phospho site'!$B$2:$G$522,6,FALSE)</f>
        <v>1.5460253017104872E-3</v>
      </c>
      <c r="F105" s="21">
        <f>VLOOKUP(A105,'AVP Regulation (PTM &amp; Ca-cAMP'!B:K,10,FALSE)</f>
        <v>1.4609953498258359E-3</v>
      </c>
      <c r="G105" s="21">
        <f>VLOOKUP(A105,'AQP2 Colocalization'!A:F,6,FALSE)</f>
        <v>1.0785969246691952E-3</v>
      </c>
    </row>
    <row r="106" spans="1:7" ht="15">
      <c r="A106" s="14" t="s">
        <v>189</v>
      </c>
      <c r="B106" s="20">
        <f t="shared" si="1"/>
        <v>1.9193857965451055E-3</v>
      </c>
      <c r="C106" s="21">
        <f>VLOOKUP(A106,Transcriptome!B:L,11,FALSE)</f>
        <v>5.0105485232068295E-3</v>
      </c>
      <c r="D106" s="21">
        <f>VLOOKUP(A106,Proteome!B:I,8,FALSE)</f>
        <v>2.9421784508656093E-3</v>
      </c>
      <c r="E106" s="21">
        <f>VLOOKUP(A106,'Consensus Phospho site'!$B$2:$G$522,6,FALSE)</f>
        <v>7.3232777449444139E-3</v>
      </c>
      <c r="F106" s="21">
        <f>VLOOKUP(A106,'AVP Regulation (PTM &amp; Ca-cAMP'!B:K,10,FALSE)</f>
        <v>6.920504288648697E-3</v>
      </c>
      <c r="G106" s="21">
        <f>VLOOKUP(A106,'AQP2 Colocalization'!A:F,6,FALSE)</f>
        <v>5.109143327380398E-3</v>
      </c>
    </row>
    <row r="107" spans="1:7" ht="15">
      <c r="A107" s="14" t="s">
        <v>187</v>
      </c>
      <c r="B107" s="20">
        <f t="shared" si="1"/>
        <v>1.9193857965451055E-3</v>
      </c>
      <c r="C107" s="21">
        <f>VLOOKUP(A107,Transcriptome!B:L,11,FALSE)</f>
        <v>5.0105485232068295E-3</v>
      </c>
      <c r="D107" s="21">
        <f>VLOOKUP(A107,Proteome!B:I,8,FALSE)</f>
        <v>2.9421784508656093E-3</v>
      </c>
      <c r="E107" s="21">
        <f>VLOOKUP(A107,'Consensus Phospho site'!$B$2:$G$522,6,FALSE)</f>
        <v>7.3232777449444139E-3</v>
      </c>
      <c r="F107" s="21">
        <f>VLOOKUP(A107,'AVP Regulation (PTM &amp; Ca-cAMP'!B:K,10,FALSE)</f>
        <v>6.920504288648697E-3</v>
      </c>
      <c r="G107" s="21">
        <f>VLOOKUP(A107,'AQP2 Colocalization'!A:F,6,FALSE)</f>
        <v>5.109143327380398E-3</v>
      </c>
    </row>
    <row r="108" spans="1:7" ht="15">
      <c r="A108" s="14" t="s">
        <v>373</v>
      </c>
      <c r="B108" s="20">
        <f t="shared" si="1"/>
        <v>1.9193857965451055E-3</v>
      </c>
      <c r="C108" s="21">
        <f>VLOOKUP(A108,Transcriptome!B:L,11,FALSE)</f>
        <v>5.0105485232068295E-3</v>
      </c>
      <c r="D108" s="21">
        <f>VLOOKUP(A108,Proteome!B:I,8,FALSE)</f>
        <v>5.5901390566446578E-3</v>
      </c>
      <c r="E108" s="21">
        <f>VLOOKUP(A108,'Consensus Phospho site'!$B$2:$G$522,6,FALSE)</f>
        <v>1.5460253017104872E-3</v>
      </c>
      <c r="F108" s="21">
        <f>VLOOKUP(A108,'AVP Regulation (PTM &amp; Ca-cAMP'!B:K,10,FALSE)</f>
        <v>1.8992939547735868E-3</v>
      </c>
      <c r="G108" s="21">
        <f>VLOOKUP(A108,'AQP2 Colocalization'!A:F,6,FALSE)</f>
        <v>1.4021760020699536E-3</v>
      </c>
    </row>
    <row r="109" spans="1:7" ht="15">
      <c r="A109" s="14" t="s">
        <v>387</v>
      </c>
      <c r="B109" s="20">
        <f t="shared" si="1"/>
        <v>1.9193857965451055E-3</v>
      </c>
      <c r="C109" s="21">
        <f>VLOOKUP(A109,Transcriptome!B:L,11,FALSE)</f>
        <v>5.0105485232068295E-3</v>
      </c>
      <c r="D109" s="21">
        <f>VLOOKUP(A109,Proteome!B:I,8,FALSE)</f>
        <v>5.5901390566446578E-3</v>
      </c>
      <c r="E109" s="21">
        <f>VLOOKUP(A109,'Consensus Phospho site'!$B$2:$G$522,6,FALSE)</f>
        <v>1.5460253017104872E-3</v>
      </c>
      <c r="F109" s="21">
        <f>VLOOKUP(A109,'AVP Regulation (PTM &amp; Ca-cAMP'!B:K,10,FALSE)</f>
        <v>1.8992939547735868E-3</v>
      </c>
      <c r="G109" s="21">
        <f>VLOOKUP(A109,'AQP2 Colocalization'!A:F,6,FALSE)</f>
        <v>1.4021760020699536E-3</v>
      </c>
    </row>
    <row r="110" spans="1:7" ht="15">
      <c r="A110" s="14" t="s">
        <v>210</v>
      </c>
      <c r="B110" s="20">
        <f t="shared" si="1"/>
        <v>1.9193857965451055E-3</v>
      </c>
      <c r="C110" s="21">
        <f>VLOOKUP(A110,Transcriptome!B:L,11,FALSE)</f>
        <v>5.2742616033756105E-4</v>
      </c>
      <c r="D110" s="21">
        <f>VLOOKUP(A110,Proteome!B:I,8,FALSE)</f>
        <v>5.8843569017312199E-4</v>
      </c>
      <c r="E110" s="21">
        <f>VLOOKUP(A110,'Consensus Phospho site'!$B$2:$G$522,6,FALSE)</f>
        <v>1.4646555489888833E-3</v>
      </c>
      <c r="F110" s="21">
        <f>VLOOKUP(A110,'AVP Regulation (PTM &amp; Ca-cAMP'!B:K,10,FALSE)</f>
        <v>1.3841008577297398E-3</v>
      </c>
      <c r="G110" s="21">
        <f>VLOOKUP(A110,'AQP2 Colocalization'!A:F,6,FALSE)</f>
        <v>1.7882001645831396E-3</v>
      </c>
    </row>
    <row r="111" spans="1:7" ht="15">
      <c r="A111" s="14" t="s">
        <v>211</v>
      </c>
      <c r="B111" s="20">
        <f t="shared" si="1"/>
        <v>1.9193857965451055E-3</v>
      </c>
      <c r="C111" s="21">
        <f>VLOOKUP(A111,Transcriptome!B:L,11,FALSE)</f>
        <v>5.2742616033756105E-4</v>
      </c>
      <c r="D111" s="21">
        <f>VLOOKUP(A111,Proteome!B:I,8,FALSE)</f>
        <v>5.8843569017312199E-4</v>
      </c>
      <c r="E111" s="21">
        <f>VLOOKUP(A111,'Consensus Phospho site'!$B$2:$G$522,6,FALSE)</f>
        <v>1.4646555489888833E-3</v>
      </c>
      <c r="F111" s="21">
        <f>VLOOKUP(A111,'AVP Regulation (PTM &amp; Ca-cAMP'!B:K,10,FALSE)</f>
        <v>1.3841008577297398E-3</v>
      </c>
      <c r="G111" s="21">
        <f>VLOOKUP(A111,'AQP2 Colocalization'!A:F,6,FALSE)</f>
        <v>1.5327429982141198E-3</v>
      </c>
    </row>
    <row r="112" spans="1:7" ht="15">
      <c r="A112" s="14" t="s">
        <v>201</v>
      </c>
      <c r="B112" s="20">
        <f t="shared" si="1"/>
        <v>1.9193857965451055E-3</v>
      </c>
      <c r="C112" s="21">
        <f>VLOOKUP(A112,Transcriptome!B:L,11,FALSE)</f>
        <v>5.2742616033756105E-4</v>
      </c>
      <c r="D112" s="21">
        <f>VLOOKUP(A112,Proteome!B:I,8,FALSE)</f>
        <v>5.8843569017312199E-4</v>
      </c>
      <c r="E112" s="21">
        <f>VLOOKUP(A112,'Consensus Phospho site'!$B$2:$G$522,6,FALSE)</f>
        <v>1.4646555489888833E-3</v>
      </c>
      <c r="F112" s="21">
        <f>VLOOKUP(A112,'AVP Regulation (PTM &amp; Ca-cAMP'!B:K,10,FALSE)</f>
        <v>1.3841008577297398E-3</v>
      </c>
      <c r="G112" s="21">
        <f>VLOOKUP(A112,'AQP2 Colocalization'!A:F,6,FALSE)</f>
        <v>1.0218286654760799E-3</v>
      </c>
    </row>
    <row r="113" spans="1:7" ht="15">
      <c r="A113" s="14" t="s">
        <v>150</v>
      </c>
      <c r="B113" s="20">
        <f t="shared" si="1"/>
        <v>1.9193857965451055E-3</v>
      </c>
      <c r="C113" s="21">
        <f>VLOOKUP(A113,Transcriptome!B:L,11,FALSE)</f>
        <v>5.2742616033756105E-4</v>
      </c>
      <c r="D113" s="21">
        <f>VLOOKUP(A113,Proteome!B:I,8,FALSE)</f>
        <v>5.8843569017312199E-4</v>
      </c>
      <c r="E113" s="21">
        <f>VLOOKUP(A113,'Consensus Phospho site'!$B$2:$G$522,6,FALSE)</f>
        <v>1.4646555489888833E-3</v>
      </c>
      <c r="F113" s="21">
        <f>VLOOKUP(A113,'AVP Regulation (PTM &amp; Ca-cAMP'!B:K,10,FALSE)</f>
        <v>1.3841008577297398E-3</v>
      </c>
      <c r="G113" s="21">
        <f>VLOOKUP(A113,'AQP2 Colocalization'!A:F,6,FALSE)</f>
        <v>2.29911449732118E-3</v>
      </c>
    </row>
    <row r="114" spans="1:7" ht="15">
      <c r="A114" s="14" t="s">
        <v>199</v>
      </c>
      <c r="B114" s="20">
        <f t="shared" si="1"/>
        <v>1.9193857965451055E-3</v>
      </c>
      <c r="C114" s="21">
        <f>VLOOKUP(A114,Transcriptome!B:L,11,FALSE)</f>
        <v>5.2742616033756105E-4</v>
      </c>
      <c r="D114" s="21">
        <f>VLOOKUP(A114,Proteome!B:I,8,FALSE)</f>
        <v>5.8843569017312199E-4</v>
      </c>
      <c r="E114" s="21">
        <f>VLOOKUP(A114,'Consensus Phospho site'!$B$2:$G$522,6,FALSE)</f>
        <v>1.4646555489888833E-3</v>
      </c>
      <c r="F114" s="21">
        <f>VLOOKUP(A114,'AVP Regulation (PTM &amp; Ca-cAMP'!B:K,10,FALSE)</f>
        <v>1.3841008577297398E-3</v>
      </c>
      <c r="G114" s="21">
        <f>VLOOKUP(A114,'AQP2 Colocalization'!A:F,6,FALSE)</f>
        <v>1.7882001645831396E-3</v>
      </c>
    </row>
    <row r="115" spans="1:7" ht="15">
      <c r="A115" s="14" t="s">
        <v>191</v>
      </c>
      <c r="B115" s="20">
        <f t="shared" si="1"/>
        <v>1.9193857965451055E-3</v>
      </c>
      <c r="C115" s="21">
        <f>VLOOKUP(A115,Transcriptome!B:L,11,FALSE)</f>
        <v>5.2742616033756105E-4</v>
      </c>
      <c r="D115" s="21">
        <f>VLOOKUP(A115,Proteome!B:I,8,FALSE)</f>
        <v>5.8843569017312199E-4</v>
      </c>
      <c r="E115" s="21">
        <f>VLOOKUP(A115,'Consensus Phospho site'!$B$2:$G$522,6,FALSE)</f>
        <v>1.4646555489888833E-3</v>
      </c>
      <c r="F115" s="21">
        <f>VLOOKUP(A115,'AVP Regulation (PTM &amp; Ca-cAMP'!B:K,10,FALSE)</f>
        <v>1.3841008577297398E-3</v>
      </c>
      <c r="G115" s="21">
        <f>VLOOKUP(A115,'AQP2 Colocalization'!A:F,6,FALSE)</f>
        <v>1.5327429982141198E-3</v>
      </c>
    </row>
    <row r="116" spans="1:7" ht="15">
      <c r="A116" s="14" t="s">
        <v>154</v>
      </c>
      <c r="B116" s="20">
        <f t="shared" si="1"/>
        <v>1.9193857965451055E-3</v>
      </c>
      <c r="C116" s="21">
        <f>VLOOKUP(A116,Transcriptome!B:L,11,FALSE)</f>
        <v>5.2742616033756105E-4</v>
      </c>
      <c r="D116" s="21">
        <f>VLOOKUP(A116,Proteome!B:I,8,FALSE)</f>
        <v>5.8843569017312199E-4</v>
      </c>
      <c r="E116" s="21">
        <f>VLOOKUP(A116,'Consensus Phospho site'!$B$2:$G$522,6,FALSE)</f>
        <v>1.4646555489888833E-3</v>
      </c>
      <c r="F116" s="21">
        <f>VLOOKUP(A116,'AVP Regulation (PTM &amp; Ca-cAMP'!B:K,10,FALSE)</f>
        <v>1.3841008577297398E-3</v>
      </c>
      <c r="G116" s="21">
        <f>VLOOKUP(A116,'AQP2 Colocalization'!A:F,6,FALSE)</f>
        <v>1.0218286654760799E-3</v>
      </c>
    </row>
    <row r="117" spans="1:7" ht="15">
      <c r="A117" s="14" t="s">
        <v>155</v>
      </c>
      <c r="B117" s="20">
        <f t="shared" si="1"/>
        <v>1.9193857965451055E-3</v>
      </c>
      <c r="C117" s="21">
        <f>VLOOKUP(A117,Transcriptome!B:L,11,FALSE)</f>
        <v>5.2742616033756105E-4</v>
      </c>
      <c r="D117" s="21">
        <f>VLOOKUP(A117,Proteome!B:I,8,FALSE)</f>
        <v>5.8843569017312199E-4</v>
      </c>
      <c r="E117" s="21">
        <f>VLOOKUP(A117,'Consensus Phospho site'!$B$2:$G$522,6,FALSE)</f>
        <v>1.4646555489888833E-3</v>
      </c>
      <c r="F117" s="21">
        <f>VLOOKUP(A117,'AVP Regulation (PTM &amp; Ca-cAMP'!B:K,10,FALSE)</f>
        <v>1.3841008577297398E-3</v>
      </c>
      <c r="G117" s="21">
        <f>VLOOKUP(A117,'AQP2 Colocalization'!A:F,6,FALSE)</f>
        <v>1.0218286654760799E-3</v>
      </c>
    </row>
    <row r="118" spans="1:7" ht="15">
      <c r="A118" s="14" t="s">
        <v>156</v>
      </c>
      <c r="B118" s="20">
        <f t="shared" si="1"/>
        <v>1.9193857965451055E-3</v>
      </c>
      <c r="C118" s="21">
        <f>VLOOKUP(A118,Transcriptome!B:L,11,FALSE)</f>
        <v>5.2742616033756105E-4</v>
      </c>
      <c r="D118" s="21">
        <f>VLOOKUP(A118,Proteome!B:I,8,FALSE)</f>
        <v>5.8843569017312199E-4</v>
      </c>
      <c r="E118" s="21">
        <f>VLOOKUP(A118,'Consensus Phospho site'!$B$2:$G$522,6,FALSE)</f>
        <v>1.4646555489888833E-3</v>
      </c>
      <c r="F118" s="21">
        <f>VLOOKUP(A118,'AVP Regulation (PTM &amp; Ca-cAMP'!B:K,10,FALSE)</f>
        <v>1.3841008577297398E-3</v>
      </c>
      <c r="G118" s="21">
        <f>VLOOKUP(A118,'AQP2 Colocalization'!A:F,6,FALSE)</f>
        <v>1.7882001645831396E-3</v>
      </c>
    </row>
    <row r="119" spans="1:7" ht="15">
      <c r="A119" s="14" t="s">
        <v>157</v>
      </c>
      <c r="B119" s="20">
        <f t="shared" si="1"/>
        <v>1.9193857965451055E-3</v>
      </c>
      <c r="C119" s="21">
        <f>VLOOKUP(A119,Transcriptome!B:L,11,FALSE)</f>
        <v>5.2742616033756105E-4</v>
      </c>
      <c r="D119" s="21">
        <f>VLOOKUP(A119,Proteome!B:I,8,FALSE)</f>
        <v>5.8843569017312199E-4</v>
      </c>
      <c r="E119" s="21">
        <f>VLOOKUP(A119,'Consensus Phospho site'!$B$2:$G$522,6,FALSE)</f>
        <v>1.4646555489888833E-3</v>
      </c>
      <c r="F119" s="21">
        <f>VLOOKUP(A119,'AVP Regulation (PTM &amp; Ca-cAMP'!B:K,10,FALSE)</f>
        <v>1.3841008577297398E-3</v>
      </c>
      <c r="G119" s="21">
        <f>VLOOKUP(A119,'AQP2 Colocalization'!A:F,6,FALSE)</f>
        <v>1.7882001645831396E-3</v>
      </c>
    </row>
    <row r="120" spans="1:7" ht="15">
      <c r="A120" s="14" t="s">
        <v>158</v>
      </c>
      <c r="B120" s="20">
        <f t="shared" si="1"/>
        <v>1.9193857965451055E-3</v>
      </c>
      <c r="C120" s="21">
        <f>VLOOKUP(A120,Transcriptome!B:L,11,FALSE)</f>
        <v>5.2742616033756105E-4</v>
      </c>
      <c r="D120" s="21">
        <f>VLOOKUP(A120,Proteome!B:I,8,FALSE)</f>
        <v>5.8843569017312199E-4</v>
      </c>
      <c r="E120" s="21">
        <f>VLOOKUP(A120,'Consensus Phospho site'!$B$2:$G$522,6,FALSE)</f>
        <v>1.4646555489888833E-3</v>
      </c>
      <c r="F120" s="21">
        <f>VLOOKUP(A120,'AVP Regulation (PTM &amp; Ca-cAMP'!B:K,10,FALSE)</f>
        <v>1.3841008577297398E-3</v>
      </c>
      <c r="G120" s="21">
        <f>VLOOKUP(A120,'AQP2 Colocalization'!A:F,6,FALSE)</f>
        <v>1.7882001645831396E-3</v>
      </c>
    </row>
    <row r="121" spans="1:7" ht="15">
      <c r="A121" s="14" t="s">
        <v>159</v>
      </c>
      <c r="B121" s="20">
        <f t="shared" si="1"/>
        <v>1.9193857965451055E-3</v>
      </c>
      <c r="C121" s="21">
        <f>VLOOKUP(A121,Transcriptome!B:L,11,FALSE)</f>
        <v>5.2742616033756105E-4</v>
      </c>
      <c r="D121" s="21">
        <f>VLOOKUP(A121,Proteome!B:I,8,FALSE)</f>
        <v>5.8843569017312199E-4</v>
      </c>
      <c r="E121" s="21">
        <f>VLOOKUP(A121,'Consensus Phospho site'!$B$2:$G$522,6,FALSE)</f>
        <v>1.4646555489888833E-3</v>
      </c>
      <c r="F121" s="21">
        <f>VLOOKUP(A121,'AVP Regulation (PTM &amp; Ca-cAMP'!B:K,10,FALSE)</f>
        <v>1.3841008577297398E-3</v>
      </c>
      <c r="G121" s="21">
        <f>VLOOKUP(A121,'AQP2 Colocalization'!A:F,6,FALSE)</f>
        <v>1.7882001645831396E-3</v>
      </c>
    </row>
    <row r="122" spans="1:7" ht="15">
      <c r="A122" s="14" t="s">
        <v>163</v>
      </c>
      <c r="B122" s="20">
        <f t="shared" si="1"/>
        <v>1.9193857965451055E-3</v>
      </c>
      <c r="C122" s="21">
        <f>VLOOKUP(A122,Transcriptome!B:L,11,FALSE)</f>
        <v>5.2742616033756105E-4</v>
      </c>
      <c r="D122" s="21">
        <f>VLOOKUP(A122,Proteome!B:I,8,FALSE)</f>
        <v>5.8843569017312199E-4</v>
      </c>
      <c r="E122" s="21">
        <f>VLOOKUP(A122,'Consensus Phospho site'!$B$2:$G$522,6,FALSE)</f>
        <v>1.4646555489888833E-3</v>
      </c>
      <c r="F122" s="21">
        <f>VLOOKUP(A122,'AVP Regulation (PTM &amp; Ca-cAMP'!B:K,10,FALSE)</f>
        <v>1.3841008577297398E-3</v>
      </c>
      <c r="G122" s="21">
        <f>VLOOKUP(A122,'AQP2 Colocalization'!A:F,6,FALSE)</f>
        <v>2.0436573309521597E-3</v>
      </c>
    </row>
    <row r="123" spans="1:7" ht="15">
      <c r="A123" s="14" t="s">
        <v>192</v>
      </c>
      <c r="B123" s="20">
        <f t="shared" si="1"/>
        <v>1.9193857965451055E-3</v>
      </c>
      <c r="C123" s="21">
        <f>VLOOKUP(A123,Transcriptome!B:L,11,FALSE)</f>
        <v>5.2742616033756105E-4</v>
      </c>
      <c r="D123" s="21">
        <f>VLOOKUP(A123,Proteome!B:I,8,FALSE)</f>
        <v>5.8843569017312199E-4</v>
      </c>
      <c r="E123" s="21">
        <f>VLOOKUP(A123,'Consensus Phospho site'!$B$2:$G$522,6,FALSE)</f>
        <v>1.4646555489888833E-3</v>
      </c>
      <c r="F123" s="21">
        <f>VLOOKUP(A123,'AVP Regulation (PTM &amp; Ca-cAMP'!B:K,10,FALSE)</f>
        <v>1.3841008577297398E-3</v>
      </c>
      <c r="G123" s="21">
        <f>VLOOKUP(A123,'AQP2 Colocalization'!A:F,6,FALSE)</f>
        <v>1.7882001645831396E-3</v>
      </c>
    </row>
    <row r="124" spans="1:7" ht="15">
      <c r="A124" s="14" t="s">
        <v>194</v>
      </c>
      <c r="B124" s="20">
        <f t="shared" si="1"/>
        <v>1.9193857965451055E-3</v>
      </c>
      <c r="C124" s="21">
        <f>VLOOKUP(A124,Transcriptome!B:L,11,FALSE)</f>
        <v>5.2742616033756105E-4</v>
      </c>
      <c r="D124" s="21">
        <f>VLOOKUP(A124,Proteome!B:I,8,FALSE)</f>
        <v>5.8843569017312199E-4</v>
      </c>
      <c r="E124" s="21">
        <f>VLOOKUP(A124,'Consensus Phospho site'!$B$2:$G$522,6,FALSE)</f>
        <v>1.4646555489888833E-3</v>
      </c>
      <c r="F124" s="21">
        <f>VLOOKUP(A124,'AVP Regulation (PTM &amp; Ca-cAMP'!B:K,10,FALSE)</f>
        <v>1.3841008577297398E-3</v>
      </c>
      <c r="G124" s="21">
        <f>VLOOKUP(A124,'AQP2 Colocalization'!A:F,6,FALSE)</f>
        <v>1.7882001645831396E-3</v>
      </c>
    </row>
    <row r="125" spans="1:7" ht="15">
      <c r="A125" s="14" t="s">
        <v>195</v>
      </c>
      <c r="B125" s="20">
        <f t="shared" si="1"/>
        <v>1.9193857965451055E-3</v>
      </c>
      <c r="C125" s="21">
        <f>VLOOKUP(A125,Transcriptome!B:L,11,FALSE)</f>
        <v>5.2742616033756105E-4</v>
      </c>
      <c r="D125" s="21">
        <f>VLOOKUP(A125,Proteome!B:I,8,FALSE)</f>
        <v>5.8843569017312199E-4</v>
      </c>
      <c r="E125" s="21">
        <f>VLOOKUP(A125,'Consensus Phospho site'!$B$2:$G$522,6,FALSE)</f>
        <v>1.4646555489888833E-3</v>
      </c>
      <c r="F125" s="21">
        <f>VLOOKUP(A125,'AVP Regulation (PTM &amp; Ca-cAMP'!B:K,10,FALSE)</f>
        <v>1.3841008577297398E-3</v>
      </c>
      <c r="G125" s="21">
        <f>VLOOKUP(A125,'AQP2 Colocalization'!A:F,6,FALSE)</f>
        <v>2.0436573309521597E-3</v>
      </c>
    </row>
    <row r="126" spans="1:7" ht="15">
      <c r="A126" s="14" t="s">
        <v>234</v>
      </c>
      <c r="B126" s="20">
        <f t="shared" si="1"/>
        <v>1.9193857965451055E-3</v>
      </c>
      <c r="C126" s="21">
        <f>VLOOKUP(A126,Transcriptome!B:L,11,FALSE)</f>
        <v>3.6919831223629265E-3</v>
      </c>
      <c r="D126" s="21">
        <f>VLOOKUP(A126,Proteome!B:I,8,FALSE)</f>
        <v>4.1190498312118524E-3</v>
      </c>
      <c r="E126" s="21">
        <f>VLOOKUP(A126,'Consensus Phospho site'!$B$2:$G$522,6,FALSE)</f>
        <v>3.4175296143073922E-3</v>
      </c>
      <c r="F126" s="21">
        <f>VLOOKUP(A126,'AVP Regulation (PTM &amp; Ca-cAMP'!B:K,10,FALSE)</f>
        <v>5.8132236024649037E-3</v>
      </c>
      <c r="G126" s="21">
        <f>VLOOKUP(A126,'AQP2 Colocalization'!A:F,6,FALSE)</f>
        <v>4.2916803949995331E-3</v>
      </c>
    </row>
    <row r="127" spans="1:7" ht="15">
      <c r="A127" s="14" t="s">
        <v>508</v>
      </c>
      <c r="B127" s="20">
        <f t="shared" si="1"/>
        <v>1.9193857965451055E-3</v>
      </c>
      <c r="C127" s="21">
        <f>VLOOKUP(A127,Transcriptome!B:L,11,FALSE)</f>
        <v>3.6919831223629265E-3</v>
      </c>
      <c r="D127" s="21">
        <f>VLOOKUP(A127,Proteome!B:I,8,FALSE)</f>
        <v>4.1190498312118524E-3</v>
      </c>
      <c r="E127" s="21">
        <f>VLOOKUP(A127,'Consensus Phospho site'!$B$2:$G$522,6,FALSE)</f>
        <v>5.6958826905123211E-3</v>
      </c>
      <c r="F127" s="21">
        <f>VLOOKUP(A127,'AVP Regulation (PTM &amp; Ca-cAMP'!B:K,10,FALSE)</f>
        <v>5.3826144467267632E-3</v>
      </c>
      <c r="G127" s="21">
        <f>VLOOKUP(A127,'AQP2 Colocalization'!A:F,6,FALSE)</f>
        <v>7.9475562870361723E-3</v>
      </c>
    </row>
    <row r="128" spans="1:7" ht="15">
      <c r="A128" s="14" t="s">
        <v>483</v>
      </c>
      <c r="B128" s="20">
        <f t="shared" si="1"/>
        <v>1.9193857965451055E-3</v>
      </c>
      <c r="C128" s="21">
        <f>VLOOKUP(A128,Transcriptome!B:L,11,FALSE)</f>
        <v>3.6919831223629265E-3</v>
      </c>
      <c r="D128" s="21">
        <f>VLOOKUP(A128,Proteome!B:I,8,FALSE)</f>
        <v>4.1190498312118524E-3</v>
      </c>
      <c r="E128" s="21">
        <f>VLOOKUP(A128,'Consensus Phospho site'!$B$2:$G$522,6,FALSE)</f>
        <v>5.6958826905123211E-3</v>
      </c>
      <c r="F128" s="21">
        <f>VLOOKUP(A128,'AVP Regulation (PTM &amp; Ca-cAMP'!B:K,10,FALSE)</f>
        <v>5.3826144467267632E-3</v>
      </c>
      <c r="G128" s="21">
        <f>VLOOKUP(A128,'AQP2 Colocalization'!A:F,6,FALSE)</f>
        <v>3.9737781435180862E-3</v>
      </c>
    </row>
    <row r="129" spans="1:7" ht="15">
      <c r="A129" s="14" t="s">
        <v>505</v>
      </c>
      <c r="B129" s="20">
        <f t="shared" si="1"/>
        <v>1.9193857965451055E-3</v>
      </c>
      <c r="C129" s="21">
        <f>VLOOKUP(A129,Transcriptome!B:L,11,FALSE)</f>
        <v>3.6919831223629265E-3</v>
      </c>
      <c r="D129" s="21">
        <f>VLOOKUP(A129,Proteome!B:I,8,FALSE)</f>
        <v>4.1190498312118524E-3</v>
      </c>
      <c r="E129" s="21">
        <f>VLOOKUP(A129,'Consensus Phospho site'!$B$2:$G$522,6,FALSE)</f>
        <v>5.6958826905123211E-3</v>
      </c>
      <c r="F129" s="21">
        <f>VLOOKUP(A129,'AVP Regulation (PTM &amp; Ca-cAMP'!B:K,10,FALSE)</f>
        <v>5.3826144467267632E-3</v>
      </c>
      <c r="G129" s="21">
        <f>VLOOKUP(A129,'AQP2 Colocalization'!A:F,6,FALSE)</f>
        <v>3.9737781435180862E-3</v>
      </c>
    </row>
    <row r="130" spans="1:7" ht="15">
      <c r="A130" s="14" t="s">
        <v>415</v>
      </c>
      <c r="B130" s="20">
        <f t="shared" ref="B130:B193" si="2">1/521</f>
        <v>1.9193857965451055E-3</v>
      </c>
      <c r="C130" s="21">
        <f>VLOOKUP(A130,Transcriptome!B:L,11,FALSE)</f>
        <v>3.6919831223629265E-3</v>
      </c>
      <c r="D130" s="21">
        <f>VLOOKUP(A130,Proteome!B:I,8,FALSE)</f>
        <v>4.1190498312118524E-3</v>
      </c>
      <c r="E130" s="21">
        <f>VLOOKUP(A130,'Consensus Phospho site'!$B$2:$G$522,6,FALSE)</f>
        <v>5.6958826905123211E-3</v>
      </c>
      <c r="F130" s="21">
        <f>VLOOKUP(A130,'AVP Regulation (PTM &amp; Ca-cAMP'!B:K,10,FALSE)</f>
        <v>5.3826144467267632E-3</v>
      </c>
      <c r="G130" s="21">
        <f>VLOOKUP(A130,'AQP2 Colocalization'!A:F,6,FALSE)</f>
        <v>3.9737781435180862E-3</v>
      </c>
    </row>
    <row r="131" spans="1:7" ht="15">
      <c r="A131" s="14" t="s">
        <v>417</v>
      </c>
      <c r="B131" s="20">
        <f t="shared" si="2"/>
        <v>1.9193857965451055E-3</v>
      </c>
      <c r="C131" s="21">
        <f>VLOOKUP(A131,Transcriptome!B:L,11,FALSE)</f>
        <v>3.6919831223629265E-3</v>
      </c>
      <c r="D131" s="21">
        <f>VLOOKUP(A131,Proteome!B:I,8,FALSE)</f>
        <v>4.1190498312118524E-3</v>
      </c>
      <c r="E131" s="21">
        <f>VLOOKUP(A131,'Consensus Phospho site'!$B$2:$G$522,6,FALSE)</f>
        <v>5.6958826905123211E-3</v>
      </c>
      <c r="F131" s="21">
        <f>VLOOKUP(A131,'AVP Regulation (PTM &amp; Ca-cAMP'!B:K,10,FALSE)</f>
        <v>5.3826144467267632E-3</v>
      </c>
      <c r="G131" s="21">
        <f>VLOOKUP(A131,'AQP2 Colocalization'!A:F,6,FALSE)</f>
        <v>3.9737781435180862E-3</v>
      </c>
    </row>
    <row r="132" spans="1:7" ht="15">
      <c r="A132" s="14" t="s">
        <v>441</v>
      </c>
      <c r="B132" s="20">
        <f t="shared" si="2"/>
        <v>1.9193857965451055E-3</v>
      </c>
      <c r="C132" s="21">
        <f>VLOOKUP(A132,Transcriptome!B:L,11,FALSE)</f>
        <v>3.6919831223629265E-3</v>
      </c>
      <c r="D132" s="21">
        <f>VLOOKUP(A132,Proteome!B:I,8,FALSE)</f>
        <v>4.1190498312118524E-3</v>
      </c>
      <c r="E132" s="21">
        <f>VLOOKUP(A132,'Consensus Phospho site'!$B$2:$G$522,6,FALSE)</f>
        <v>5.6958826905123211E-3</v>
      </c>
      <c r="F132" s="21">
        <f>VLOOKUP(A132,'AVP Regulation (PTM &amp; Ca-cAMP'!B:K,10,FALSE)</f>
        <v>5.3826144467267632E-3</v>
      </c>
      <c r="G132" s="21">
        <f>VLOOKUP(A132,'AQP2 Colocalization'!A:F,6,FALSE)</f>
        <v>1.9868890717590431E-3</v>
      </c>
    </row>
    <row r="133" spans="1:7" ht="15">
      <c r="A133" s="14" t="s">
        <v>91</v>
      </c>
      <c r="B133" s="20">
        <f t="shared" si="2"/>
        <v>1.9193857965451055E-3</v>
      </c>
      <c r="C133" s="21">
        <f>VLOOKUP(A133,Transcriptome!B:L,11,FALSE)</f>
        <v>5.0105485232068295E-3</v>
      </c>
      <c r="D133" s="21">
        <f>VLOOKUP(A133,Proteome!B:I,8,FALSE)</f>
        <v>5.5901390566446578E-3</v>
      </c>
      <c r="E133" s="21">
        <f>VLOOKUP(A133,'Consensus Phospho site'!$B$2:$G$522,6,FALSE)</f>
        <v>1.5460253017104872E-3</v>
      </c>
      <c r="F133" s="21">
        <f>VLOOKUP(A133,'AVP Regulation (PTM &amp; Ca-cAMP'!B:K,10,FALSE)</f>
        <v>1.4609953498258359E-3</v>
      </c>
      <c r="G133" s="21">
        <f>VLOOKUP(A133,'AQP2 Colocalization'!A:F,6,FALSE)</f>
        <v>1.0785969246691952E-3</v>
      </c>
    </row>
    <row r="134" spans="1:7" ht="15">
      <c r="A134" s="14" t="s">
        <v>7</v>
      </c>
      <c r="B134" s="20">
        <f t="shared" si="2"/>
        <v>1.9193857965451055E-3</v>
      </c>
      <c r="C134" s="21">
        <f>VLOOKUP(A134,Transcriptome!B:L,11,FALSE)</f>
        <v>5.0105485232068295E-3</v>
      </c>
      <c r="D134" s="21">
        <f>VLOOKUP(A134,Proteome!B:I,8,FALSE)</f>
        <v>5.5901390566446578E-3</v>
      </c>
      <c r="E134" s="21">
        <f>VLOOKUP(A134,'Consensus Phospho site'!$B$2:$G$522,6,FALSE)</f>
        <v>1.5460253017104872E-3</v>
      </c>
      <c r="F134" s="21">
        <f>VLOOKUP(A134,'AVP Regulation (PTM &amp; Ca-cAMP'!B:K,10,FALSE)</f>
        <v>1.4609953498258359E-3</v>
      </c>
      <c r="G134" s="21">
        <f>VLOOKUP(A134,'AQP2 Colocalization'!A:F,6,FALSE)</f>
        <v>1.0785969246691952E-3</v>
      </c>
    </row>
    <row r="135" spans="1:7" ht="15">
      <c r="A135" s="14" t="s">
        <v>69</v>
      </c>
      <c r="B135" s="20">
        <f t="shared" si="2"/>
        <v>1.9193857965451055E-3</v>
      </c>
      <c r="C135" s="21">
        <f>VLOOKUP(A135,Transcriptome!B:L,11,FALSE)</f>
        <v>5.0105485232068295E-3</v>
      </c>
      <c r="D135" s="21">
        <f>VLOOKUP(A135,Proteome!B:I,8,FALSE)</f>
        <v>5.5901390566446578E-3</v>
      </c>
      <c r="E135" s="21">
        <f>VLOOKUP(A135,'Consensus Phospho site'!$B$2:$G$522,6,FALSE)</f>
        <v>1.5460253017104872E-3</v>
      </c>
      <c r="F135" s="21">
        <f>VLOOKUP(A135,'AVP Regulation (PTM &amp; Ca-cAMP'!B:K,10,FALSE)</f>
        <v>1.4609953498258359E-3</v>
      </c>
      <c r="G135" s="21">
        <f>VLOOKUP(A135,'AQP2 Colocalization'!A:F,6,FALSE)</f>
        <v>1.0785969246691952E-3</v>
      </c>
    </row>
    <row r="136" spans="1:7" ht="15">
      <c r="A136" s="14" t="s">
        <v>119</v>
      </c>
      <c r="B136" s="20">
        <f t="shared" si="2"/>
        <v>1.9193857965451055E-3</v>
      </c>
      <c r="C136" s="21">
        <f>VLOOKUP(A136,Transcriptome!B:L,11,FALSE)</f>
        <v>5.0105485232068295E-3</v>
      </c>
      <c r="D136" s="21">
        <f>VLOOKUP(A136,Proteome!B:I,8,FALSE)</f>
        <v>5.5901390566446578E-3</v>
      </c>
      <c r="E136" s="21">
        <f>VLOOKUP(A136,'Consensus Phospho site'!$B$2:$G$522,6,FALSE)</f>
        <v>1.5460253017104872E-3</v>
      </c>
      <c r="F136" s="21">
        <f>VLOOKUP(A136,'AVP Regulation (PTM &amp; Ca-cAMP'!B:K,10,FALSE)</f>
        <v>1.4609953498258359E-3</v>
      </c>
      <c r="G136" s="21">
        <f>VLOOKUP(A136,'AQP2 Colocalization'!A:F,6,FALSE)</f>
        <v>1.0785969246691952E-3</v>
      </c>
    </row>
    <row r="137" spans="1:7" ht="15">
      <c r="A137" s="14" t="s">
        <v>68</v>
      </c>
      <c r="B137" s="20">
        <f t="shared" si="2"/>
        <v>1.9193857965451055E-3</v>
      </c>
      <c r="C137" s="21">
        <f>VLOOKUP(A137,Transcriptome!B:L,11,FALSE)</f>
        <v>3.6919831223629265E-3</v>
      </c>
      <c r="D137" s="21">
        <f>VLOOKUP(A137,Proteome!B:I,8,FALSE)</f>
        <v>4.1190498312118524E-3</v>
      </c>
      <c r="E137" s="21">
        <f>VLOOKUP(A137,'Consensus Phospho site'!$B$2:$G$522,6,FALSE)</f>
        <v>1.1391765381024643E-3</v>
      </c>
      <c r="F137" s="21">
        <f>VLOOKUP(A137,'AVP Regulation (PTM &amp; Ca-cAMP'!B:K,10,FALSE)</f>
        <v>1.0765228893453527E-3</v>
      </c>
      <c r="G137" s="21">
        <f>VLOOKUP(A137,'AQP2 Colocalization'!A:F,6,FALSE)</f>
        <v>1.3908223502313302E-3</v>
      </c>
    </row>
    <row r="138" spans="1:7" ht="15">
      <c r="A138" s="14" t="s">
        <v>332</v>
      </c>
      <c r="B138" s="20">
        <f t="shared" si="2"/>
        <v>1.9193857965451055E-3</v>
      </c>
      <c r="C138" s="21">
        <f>VLOOKUP(A138,Transcriptome!B:L,11,FALSE)</f>
        <v>3.6919831223629265E-3</v>
      </c>
      <c r="D138" s="21">
        <f>VLOOKUP(A138,Proteome!B:I,8,FALSE)</f>
        <v>4.1190498312118524E-3</v>
      </c>
      <c r="E138" s="21">
        <f>VLOOKUP(A138,'Consensus Phospho site'!$B$2:$G$522,6,FALSE)</f>
        <v>1.1391765381024643E-3</v>
      </c>
      <c r="F138" s="21">
        <f>VLOOKUP(A138,'AVP Regulation (PTM &amp; Ca-cAMP'!B:K,10,FALSE)</f>
        <v>1.0765228893453527E-3</v>
      </c>
      <c r="G138" s="21">
        <f>VLOOKUP(A138,'AQP2 Colocalization'!A:F,6,FALSE)</f>
        <v>1.5895112574072347E-3</v>
      </c>
    </row>
    <row r="139" spans="1:7" ht="15">
      <c r="A139" s="14" t="s">
        <v>5</v>
      </c>
      <c r="B139" s="20">
        <f t="shared" si="2"/>
        <v>1.9193857965451055E-3</v>
      </c>
      <c r="C139" s="21">
        <f>VLOOKUP(A139,Transcriptome!B:L,11,FALSE)</f>
        <v>3.6919831223629265E-3</v>
      </c>
      <c r="D139" s="21">
        <f>VLOOKUP(A139,Proteome!B:I,8,FALSE)</f>
        <v>4.1190498312118524E-3</v>
      </c>
      <c r="E139" s="21">
        <f>VLOOKUP(A139,'Consensus Phospho site'!$B$2:$G$522,6,FALSE)</f>
        <v>1.1391765381024643E-3</v>
      </c>
      <c r="F139" s="21">
        <f>VLOOKUP(A139,'AVP Regulation (PTM &amp; Ca-cAMP'!B:K,10,FALSE)</f>
        <v>1.0765228893453527E-3</v>
      </c>
      <c r="G139" s="21">
        <f>VLOOKUP(A139,'AQP2 Colocalization'!A:F,6,FALSE)</f>
        <v>7.9475562870361734E-4</v>
      </c>
    </row>
    <row r="140" spans="1:7" ht="15">
      <c r="A140" s="14" t="s">
        <v>329</v>
      </c>
      <c r="B140" s="20">
        <f t="shared" si="2"/>
        <v>1.9193857965451055E-3</v>
      </c>
      <c r="C140" s="21">
        <f>VLOOKUP(A140,Transcriptome!B:L,11,FALSE)</f>
        <v>3.6919831223629265E-3</v>
      </c>
      <c r="D140" s="21">
        <f>VLOOKUP(A140,Proteome!B:I,8,FALSE)</f>
        <v>4.1190498312118524E-3</v>
      </c>
      <c r="E140" s="21">
        <f>VLOOKUP(A140,'Consensus Phospho site'!$B$2:$G$522,6,FALSE)</f>
        <v>1.1391765381024643E-3</v>
      </c>
      <c r="F140" s="21">
        <f>VLOOKUP(A140,'AVP Regulation (PTM &amp; Ca-cAMP'!B:K,10,FALSE)</f>
        <v>1.0765228893453527E-3</v>
      </c>
      <c r="G140" s="21">
        <f>VLOOKUP(A140,'AQP2 Colocalization'!A:F,6,FALSE)</f>
        <v>1.1921334430554258E-3</v>
      </c>
    </row>
    <row r="141" spans="1:7" ht="15">
      <c r="A141" s="14" t="s">
        <v>0</v>
      </c>
      <c r="B141" s="20">
        <f t="shared" si="2"/>
        <v>1.9193857965451055E-3</v>
      </c>
      <c r="C141" s="21">
        <f>VLOOKUP(A141,Transcriptome!B:L,11,FALSE)</f>
        <v>3.6919831223629265E-3</v>
      </c>
      <c r="D141" s="21">
        <f>VLOOKUP(A141,Proteome!B:I,8,FALSE)</f>
        <v>4.1190498312118524E-3</v>
      </c>
      <c r="E141" s="21">
        <f>VLOOKUP(A141,'Consensus Phospho site'!$B$2:$G$522,6,FALSE)</f>
        <v>1.1391765381024643E-3</v>
      </c>
      <c r="F141" s="21">
        <f>VLOOKUP(A141,'AVP Regulation (PTM &amp; Ca-cAMP'!B:K,10,FALSE)</f>
        <v>1.0765228893453527E-3</v>
      </c>
      <c r="G141" s="21">
        <f>VLOOKUP(A141,'AQP2 Colocalization'!A:F,6,FALSE)</f>
        <v>7.9475562870361734E-4</v>
      </c>
    </row>
    <row r="142" spans="1:7" ht="15">
      <c r="A142" s="14" t="s">
        <v>179</v>
      </c>
      <c r="B142" s="20">
        <f t="shared" si="2"/>
        <v>1.9193857965451055E-3</v>
      </c>
      <c r="C142" s="21">
        <f>VLOOKUP(A142,Transcriptome!B:L,11,FALSE)</f>
        <v>3.6919831223629265E-3</v>
      </c>
      <c r="D142" s="21">
        <f>VLOOKUP(A142,Proteome!B:I,8,FALSE)</f>
        <v>2.1679209637957119E-3</v>
      </c>
      <c r="E142" s="21">
        <f>VLOOKUP(A142,'Consensus Phospho site'!$B$2:$G$522,6,FALSE)</f>
        <v>5.3960993910116732E-3</v>
      </c>
      <c r="F142" s="21">
        <f>VLOOKUP(A142,'AVP Regulation (PTM &amp; Ca-cAMP'!B:K,10,FALSE)</f>
        <v>5.0993189495306184E-3</v>
      </c>
      <c r="G142" s="21">
        <f>VLOOKUP(A142,'AQP2 Colocalization'!A:F,6,FALSE)</f>
        <v>3.7646319254381879E-3</v>
      </c>
    </row>
    <row r="143" spans="1:7" ht="15">
      <c r="A143" s="14" t="s">
        <v>168</v>
      </c>
      <c r="B143" s="20">
        <f t="shared" si="2"/>
        <v>1.9193857965451055E-3</v>
      </c>
      <c r="C143" s="21">
        <f>VLOOKUP(A143,Transcriptome!B:L,11,FALSE)</f>
        <v>5.2742616033756105E-4</v>
      </c>
      <c r="D143" s="21">
        <f>VLOOKUP(A143,Proteome!B:I,8,FALSE)</f>
        <v>5.8843569017312199E-4</v>
      </c>
      <c r="E143" s="21">
        <f>VLOOKUP(A143,'Consensus Phospho site'!$B$2:$G$522,6,FALSE)</f>
        <v>1.4646555489888833E-3</v>
      </c>
      <c r="F143" s="21">
        <f>VLOOKUP(A143,'AVP Regulation (PTM &amp; Ca-cAMP'!B:K,10,FALSE)</f>
        <v>1.3841008577297398E-3</v>
      </c>
      <c r="G143" s="21">
        <f>VLOOKUP(A143,'AQP2 Colocalization'!A:F,6,FALSE)</f>
        <v>1.0218286654760799E-3</v>
      </c>
    </row>
    <row r="144" spans="1:7" ht="15">
      <c r="A144" s="14" t="s">
        <v>181</v>
      </c>
      <c r="B144" s="20">
        <f t="shared" si="2"/>
        <v>1.9193857965451055E-3</v>
      </c>
      <c r="C144" s="21">
        <f>VLOOKUP(A144,Transcriptome!B:L,11,FALSE)</f>
        <v>5.2742616033756105E-4</v>
      </c>
      <c r="D144" s="21">
        <f>VLOOKUP(A144,Proteome!B:I,8,FALSE)</f>
        <v>5.8843569017312199E-4</v>
      </c>
      <c r="E144" s="21">
        <f>VLOOKUP(A144,'Consensus Phospho site'!$B$2:$G$522,6,FALSE)</f>
        <v>1.4646555489888833E-3</v>
      </c>
      <c r="F144" s="21">
        <f>VLOOKUP(A144,'AVP Regulation (PTM &amp; Ca-cAMP'!B:K,10,FALSE)</f>
        <v>1.3841008577297398E-3</v>
      </c>
      <c r="G144" s="21">
        <f>VLOOKUP(A144,'AQP2 Colocalization'!A:F,6,FALSE)</f>
        <v>1.0218286654760799E-3</v>
      </c>
    </row>
    <row r="145" spans="1:7" ht="15">
      <c r="A145" s="14" t="s">
        <v>149</v>
      </c>
      <c r="B145" s="20">
        <f t="shared" si="2"/>
        <v>1.9193857965451055E-3</v>
      </c>
      <c r="C145" s="21">
        <f>VLOOKUP(A145,Transcriptome!B:L,11,FALSE)</f>
        <v>5.0105485232068295E-3</v>
      </c>
      <c r="D145" s="21">
        <f>VLOOKUP(A145,Proteome!B:I,8,FALSE)</f>
        <v>5.5901390566446578E-3</v>
      </c>
      <c r="E145" s="21">
        <f>VLOOKUP(A145,'Consensus Phospho site'!$B$2:$G$522,6,FALSE)</f>
        <v>4.6380759051314622E-3</v>
      </c>
      <c r="F145" s="21">
        <f>VLOOKUP(A145,'AVP Regulation (PTM &amp; Ca-cAMP'!B:K,10,FALSE)</f>
        <v>4.3829860494775082E-3</v>
      </c>
      <c r="G145" s="21">
        <f>VLOOKUP(A145,'AQP2 Colocalization'!A:F,6,FALSE)</f>
        <v>3.2357907740075856E-3</v>
      </c>
    </row>
    <row r="146" spans="1:7" ht="15">
      <c r="A146" s="14" t="s">
        <v>289</v>
      </c>
      <c r="B146" s="20">
        <f t="shared" si="2"/>
        <v>1.9193857965451055E-3</v>
      </c>
      <c r="C146" s="21">
        <f>VLOOKUP(A146,Transcriptome!B:L,11,FALSE)</f>
        <v>5.0105485232068295E-3</v>
      </c>
      <c r="D146" s="21">
        <f>VLOOKUP(A146,Proteome!B:I,8,FALSE)</f>
        <v>5.5901390566446578E-3</v>
      </c>
      <c r="E146" s="21">
        <f>VLOOKUP(A146,'Consensus Phospho site'!$B$2:$G$522,6,FALSE)</f>
        <v>4.6380759051314622E-3</v>
      </c>
      <c r="F146" s="21">
        <f>VLOOKUP(A146,'AVP Regulation (PTM &amp; Ca-cAMP'!B:K,10,FALSE)</f>
        <v>4.3829860494775082E-3</v>
      </c>
      <c r="G146" s="21">
        <f>VLOOKUP(A146,'AQP2 Colocalization'!A:F,6,FALSE)</f>
        <v>3.2357907740075856E-3</v>
      </c>
    </row>
    <row r="147" spans="1:7" ht="15">
      <c r="A147" s="14" t="s">
        <v>245</v>
      </c>
      <c r="B147" s="20">
        <f t="shared" si="2"/>
        <v>1.9193857965451055E-3</v>
      </c>
      <c r="C147" s="21">
        <f>VLOOKUP(A147,Transcriptome!B:L,11,FALSE)</f>
        <v>3.6919831223629265E-3</v>
      </c>
      <c r="D147" s="21">
        <f>VLOOKUP(A147,Proteome!B:I,8,FALSE)</f>
        <v>4.1190498312118524E-3</v>
      </c>
      <c r="E147" s="21">
        <f>VLOOKUP(A147,'Consensus Phospho site'!$B$2:$G$522,6,FALSE)</f>
        <v>3.4175296143073922E-3</v>
      </c>
      <c r="F147" s="21">
        <f>VLOOKUP(A147,'AVP Regulation (PTM &amp; Ca-cAMP'!B:K,10,FALSE)</f>
        <v>4.198439268446875E-3</v>
      </c>
      <c r="G147" s="21">
        <f>VLOOKUP(A147,'AQP2 Colocalization'!A:F,6,FALSE)</f>
        <v>1.5497734759720536E-3</v>
      </c>
    </row>
    <row r="148" spans="1:7" ht="15">
      <c r="A148" s="14" t="s">
        <v>423</v>
      </c>
      <c r="B148" s="20">
        <f t="shared" si="2"/>
        <v>1.9193857965451055E-3</v>
      </c>
      <c r="C148" s="21">
        <f>VLOOKUP(A148,Transcriptome!B:L,11,FALSE)</f>
        <v>5.0105485232068295E-3</v>
      </c>
      <c r="D148" s="21">
        <f>VLOOKUP(A148,Proteome!B:I,8,FALSE)</f>
        <v>2.9421784508656093E-3</v>
      </c>
      <c r="E148" s="21">
        <f>VLOOKUP(A148,'Consensus Phospho site'!$B$2:$G$522,6,FALSE)</f>
        <v>4.0684876360802301E-3</v>
      </c>
      <c r="F148" s="21">
        <f>VLOOKUP(A148,'AVP Regulation (PTM &amp; Ca-cAMP'!B:K,10,FALSE)</f>
        <v>3.8447246048048315E-3</v>
      </c>
      <c r="G148" s="21">
        <f>VLOOKUP(A148,'AQP2 Colocalization'!A:F,6,FALSE)</f>
        <v>2.8384129596557769E-3</v>
      </c>
    </row>
    <row r="149" spans="1:7" ht="15">
      <c r="A149" s="14" t="s">
        <v>443</v>
      </c>
      <c r="B149" s="20">
        <f t="shared" si="2"/>
        <v>1.9193857965451055E-3</v>
      </c>
      <c r="C149" s="21">
        <f>VLOOKUP(A149,Transcriptome!B:L,11,FALSE)</f>
        <v>5.0105485232068295E-3</v>
      </c>
      <c r="D149" s="21">
        <f>VLOOKUP(A149,Proteome!B:I,8,FALSE)</f>
        <v>2.9421784508656093E-3</v>
      </c>
      <c r="E149" s="21">
        <f>VLOOKUP(A149,'Consensus Phospho site'!$B$2:$G$522,6,FALSE)</f>
        <v>4.0684876360802301E-3</v>
      </c>
      <c r="F149" s="21">
        <f>VLOOKUP(A149,'AVP Regulation (PTM &amp; Ca-cAMP'!B:K,10,FALSE)</f>
        <v>3.8447246048048315E-3</v>
      </c>
      <c r="G149" s="21">
        <f>VLOOKUP(A149,'AQP2 Colocalization'!A:F,6,FALSE)</f>
        <v>2.8384129596557769E-3</v>
      </c>
    </row>
    <row r="150" spans="1:7" ht="15">
      <c r="A150" s="14" t="s">
        <v>452</v>
      </c>
      <c r="B150" s="20">
        <f t="shared" si="2"/>
        <v>1.9193857965451055E-3</v>
      </c>
      <c r="C150" s="21">
        <f>VLOOKUP(A150,Transcriptome!B:L,11,FALSE)</f>
        <v>5.0105485232068295E-3</v>
      </c>
      <c r="D150" s="21">
        <f>VLOOKUP(A150,Proteome!B:I,8,FALSE)</f>
        <v>2.9421784508656093E-3</v>
      </c>
      <c r="E150" s="21">
        <f>VLOOKUP(A150,'Consensus Phospho site'!$B$2:$G$522,6,FALSE)</f>
        <v>4.0684876360802301E-3</v>
      </c>
      <c r="F150" s="21">
        <f>VLOOKUP(A150,'AVP Regulation (PTM &amp; Ca-cAMP'!B:K,10,FALSE)</f>
        <v>3.8447246048048315E-3</v>
      </c>
      <c r="G150" s="21">
        <f>VLOOKUP(A150,'AQP2 Colocalization'!A:F,6,FALSE)</f>
        <v>2.8384129596557769E-3</v>
      </c>
    </row>
    <row r="151" spans="1:7" ht="15">
      <c r="A151" s="14" t="s">
        <v>3</v>
      </c>
      <c r="B151" s="20">
        <f t="shared" si="2"/>
        <v>1.9193857965451055E-3</v>
      </c>
      <c r="C151" s="21">
        <f>VLOOKUP(A151,Transcriptome!B:L,11,FALSE)</f>
        <v>3.6919831223629265E-3</v>
      </c>
      <c r="D151" s="21">
        <f>VLOOKUP(A151,Proteome!B:I,8,FALSE)</f>
        <v>4.1190498312118524E-3</v>
      </c>
      <c r="E151" s="21">
        <f>VLOOKUP(A151,'Consensus Phospho site'!$B$2:$G$522,6,FALSE)</f>
        <v>1.1391765381024643E-3</v>
      </c>
      <c r="F151" s="21">
        <f>VLOOKUP(A151,'AVP Regulation (PTM &amp; Ca-cAMP'!B:K,10,FALSE)</f>
        <v>1.0765228893453527E-3</v>
      </c>
      <c r="G151" s="21">
        <f>VLOOKUP(A151,'AQP2 Colocalization'!A:F,6,FALSE)</f>
        <v>7.9475562870361734E-4</v>
      </c>
    </row>
    <row r="152" spans="1:7" ht="15">
      <c r="A152" s="14" t="s">
        <v>4</v>
      </c>
      <c r="B152" s="20">
        <f t="shared" si="2"/>
        <v>1.9193857965451055E-3</v>
      </c>
      <c r="C152" s="21">
        <f>VLOOKUP(A152,Transcriptome!B:L,11,FALSE)</f>
        <v>3.6919831223629265E-3</v>
      </c>
      <c r="D152" s="21">
        <f>VLOOKUP(A152,Proteome!B:I,8,FALSE)</f>
        <v>4.1190498312118524E-3</v>
      </c>
      <c r="E152" s="21">
        <f>VLOOKUP(A152,'Consensus Phospho site'!$B$2:$G$522,6,FALSE)</f>
        <v>1.1391765381024643E-3</v>
      </c>
      <c r="F152" s="21">
        <f>VLOOKUP(A152,'AVP Regulation (PTM &amp; Ca-cAMP'!B:K,10,FALSE)</f>
        <v>1.0765228893453527E-3</v>
      </c>
      <c r="G152" s="21">
        <f>VLOOKUP(A152,'AQP2 Colocalization'!A:F,6,FALSE)</f>
        <v>7.9475562870361734E-4</v>
      </c>
    </row>
    <row r="153" spans="1:7" ht="15">
      <c r="A153" s="14" t="s">
        <v>73</v>
      </c>
      <c r="B153" s="20">
        <f t="shared" si="2"/>
        <v>1.9193857965451055E-3</v>
      </c>
      <c r="C153" s="21">
        <f>VLOOKUP(A153,Transcriptome!B:L,11,FALSE)</f>
        <v>3.6919831223629265E-3</v>
      </c>
      <c r="D153" s="21">
        <f>VLOOKUP(A153,Proteome!B:I,8,FALSE)</f>
        <v>4.1190498312118524E-3</v>
      </c>
      <c r="E153" s="21">
        <f>VLOOKUP(A153,'Consensus Phospho site'!$B$2:$G$522,6,FALSE)</f>
        <v>1.1391765381024643E-3</v>
      </c>
      <c r="F153" s="21">
        <f>VLOOKUP(A153,'AVP Regulation (PTM &amp; Ca-cAMP'!B:K,10,FALSE)</f>
        <v>1.0765228893453527E-3</v>
      </c>
      <c r="G153" s="21">
        <f>VLOOKUP(A153,'AQP2 Colocalization'!A:F,6,FALSE)</f>
        <v>7.9475562870361734E-4</v>
      </c>
    </row>
    <row r="154" spans="1:7" ht="15">
      <c r="A154" s="14" t="s">
        <v>130</v>
      </c>
      <c r="B154" s="20">
        <f t="shared" si="2"/>
        <v>1.9193857965451055E-3</v>
      </c>
      <c r="C154" s="21">
        <f>VLOOKUP(A154,Transcriptome!B:L,11,FALSE)</f>
        <v>5.0105485232068295E-3</v>
      </c>
      <c r="D154" s="21">
        <f>VLOOKUP(A154,Proteome!B:I,8,FALSE)</f>
        <v>5.5901390566446578E-3</v>
      </c>
      <c r="E154" s="21">
        <f>VLOOKUP(A154,'Consensus Phospho site'!$B$2:$G$522,6,FALSE)</f>
        <v>1.5460253017104872E-3</v>
      </c>
      <c r="F154" s="21">
        <f>VLOOKUP(A154,'AVP Regulation (PTM &amp; Ca-cAMP'!B:K,10,FALSE)</f>
        <v>1.4609953498258359E-3</v>
      </c>
      <c r="G154" s="21">
        <f>VLOOKUP(A154,'AQP2 Colocalization'!A:F,6,FALSE)</f>
        <v>1.0785969246691952E-3</v>
      </c>
    </row>
    <row r="155" spans="1:7" ht="15">
      <c r="A155" s="14" t="s">
        <v>429</v>
      </c>
      <c r="B155" s="20">
        <f t="shared" si="2"/>
        <v>1.9193857965451055E-3</v>
      </c>
      <c r="C155" s="21">
        <f>VLOOKUP(A155,Transcriptome!B:L,11,FALSE)</f>
        <v>5.2742616033756105E-4</v>
      </c>
      <c r="D155" s="21">
        <f>VLOOKUP(A155,Proteome!B:I,8,FALSE)</f>
        <v>5.8843569017312199E-4</v>
      </c>
      <c r="E155" s="21">
        <f>VLOOKUP(A155,'Consensus Phospho site'!$B$2:$G$522,6,FALSE)</f>
        <v>8.1369752721604616E-4</v>
      </c>
      <c r="F155" s="21">
        <f>VLOOKUP(A155,'AVP Regulation (PTM &amp; Ca-cAMP'!B:K,10,FALSE)</f>
        <v>7.6894492096096648E-4</v>
      </c>
      <c r="G155" s="21">
        <f>VLOOKUP(A155,'AQP2 Colocalization'!A:F,6,FALSE)</f>
        <v>1.135365183862311E-3</v>
      </c>
    </row>
    <row r="156" spans="1:7" ht="15">
      <c r="A156" s="14" t="s">
        <v>512</v>
      </c>
      <c r="B156" s="20">
        <f t="shared" si="2"/>
        <v>1.9193857965451055E-3</v>
      </c>
      <c r="C156" s="21">
        <f>VLOOKUP(A156,Transcriptome!B:L,11,FALSE)</f>
        <v>5.2742616033756105E-4</v>
      </c>
      <c r="D156" s="21">
        <f>VLOOKUP(A156,Proteome!B:I,8,FALSE)</f>
        <v>5.8843569017312199E-4</v>
      </c>
      <c r="E156" s="21">
        <f>VLOOKUP(A156,'Consensus Phospho site'!$B$2:$G$522,6,FALSE)</f>
        <v>8.1369752721604616E-4</v>
      </c>
      <c r="F156" s="21">
        <f>VLOOKUP(A156,'AVP Regulation (PTM &amp; Ca-cAMP'!B:K,10,FALSE)</f>
        <v>7.6894492096096648E-4</v>
      </c>
      <c r="G156" s="21">
        <f>VLOOKUP(A156,'AQP2 Colocalization'!A:F,6,FALSE)</f>
        <v>5.6768259193115548E-4</v>
      </c>
    </row>
    <row r="157" spans="1:7" ht="15">
      <c r="A157" s="14" t="s">
        <v>445</v>
      </c>
      <c r="B157" s="20">
        <f t="shared" si="2"/>
        <v>1.9193857965451055E-3</v>
      </c>
      <c r="C157" s="21">
        <f>VLOOKUP(A157,Transcriptome!B:L,11,FALSE)</f>
        <v>5.2742616033756105E-4</v>
      </c>
      <c r="D157" s="21">
        <f>VLOOKUP(A157,Proteome!B:I,8,FALSE)</f>
        <v>5.8843569017312199E-4</v>
      </c>
      <c r="E157" s="21">
        <f>VLOOKUP(A157,'Consensus Phospho site'!$B$2:$G$522,6,FALSE)</f>
        <v>8.1369752721604616E-4</v>
      </c>
      <c r="F157" s="21">
        <f>VLOOKUP(A157,'AVP Regulation (PTM &amp; Ca-cAMP'!B:K,10,FALSE)</f>
        <v>7.6894492096096648E-4</v>
      </c>
      <c r="G157" s="21">
        <f>VLOOKUP(A157,'AQP2 Colocalization'!A:F,6,FALSE)</f>
        <v>5.6768259193115548E-4</v>
      </c>
    </row>
    <row r="158" spans="1:7" ht="15">
      <c r="A158" s="14" t="s">
        <v>493</v>
      </c>
      <c r="B158" s="20">
        <f t="shared" si="2"/>
        <v>1.9193857965451055E-3</v>
      </c>
      <c r="C158" s="21">
        <f>VLOOKUP(A158,Transcriptome!B:L,11,FALSE)</f>
        <v>5.2742616033756105E-4</v>
      </c>
      <c r="D158" s="21">
        <f>VLOOKUP(A158,Proteome!B:I,8,FALSE)</f>
        <v>5.8843569017312199E-4</v>
      </c>
      <c r="E158" s="21">
        <f>VLOOKUP(A158,'Consensus Phospho site'!$B$2:$G$522,6,FALSE)</f>
        <v>8.1369752721604616E-4</v>
      </c>
      <c r="F158" s="21">
        <f>VLOOKUP(A158,'AVP Regulation (PTM &amp; Ca-cAMP'!B:K,10,FALSE)</f>
        <v>7.6894492096096648E-4</v>
      </c>
      <c r="G158" s="21">
        <f>VLOOKUP(A158,'AQP2 Colocalization'!A:F,6,FALSE)</f>
        <v>5.6768259193115548E-4</v>
      </c>
    </row>
    <row r="159" spans="1:7" ht="15">
      <c r="A159" s="14" t="s">
        <v>462</v>
      </c>
      <c r="B159" s="20">
        <f t="shared" si="2"/>
        <v>1.9193857965451055E-3</v>
      </c>
      <c r="C159" s="21">
        <f>VLOOKUP(A159,Transcriptome!B:L,11,FALSE)</f>
        <v>5.2742616033756105E-4</v>
      </c>
      <c r="D159" s="21">
        <f>VLOOKUP(A159,Proteome!B:I,8,FALSE)</f>
        <v>5.8843569017312199E-4</v>
      </c>
      <c r="E159" s="21">
        <f>VLOOKUP(A159,'Consensus Phospho site'!$B$2:$G$522,6,FALSE)</f>
        <v>8.1369752721604616E-4</v>
      </c>
      <c r="F159" s="21">
        <f>VLOOKUP(A159,'AVP Regulation (PTM &amp; Ca-cAMP'!B:K,10,FALSE)</f>
        <v>7.6894492096096648E-4</v>
      </c>
      <c r="G159" s="21">
        <f>VLOOKUP(A159,'AQP2 Colocalization'!A:F,6,FALSE)</f>
        <v>8.5152388789673311E-4</v>
      </c>
    </row>
    <row r="160" spans="1:7" ht="15">
      <c r="A160" s="14" t="s">
        <v>203</v>
      </c>
      <c r="B160" s="20">
        <f t="shared" si="2"/>
        <v>1.9193857965451055E-3</v>
      </c>
      <c r="C160" s="21">
        <f>VLOOKUP(A160,Transcriptome!B:L,11,FALSE)</f>
        <v>5.2742616033756105E-4</v>
      </c>
      <c r="D160" s="21">
        <f>VLOOKUP(A160,Proteome!B:I,8,FALSE)</f>
        <v>5.8843569017312199E-4</v>
      </c>
      <c r="E160" s="21">
        <f>VLOOKUP(A160,'Consensus Phospho site'!$B$2:$G$522,6,FALSE)</f>
        <v>1.4646555489888833E-3</v>
      </c>
      <c r="F160" s="21">
        <f>VLOOKUP(A160,'AVP Regulation (PTM &amp; Ca-cAMP'!B:K,10,FALSE)</f>
        <v>1.3841008577297398E-3</v>
      </c>
      <c r="G160" s="21">
        <f>VLOOKUP(A160,'AQP2 Colocalization'!A:F,6,FALSE)</f>
        <v>1.0218286654760799E-3</v>
      </c>
    </row>
    <row r="161" spans="1:7" ht="15">
      <c r="A161" s="14" t="s">
        <v>144</v>
      </c>
      <c r="B161" s="20">
        <f t="shared" si="2"/>
        <v>1.9193857965451055E-3</v>
      </c>
      <c r="C161" s="21">
        <f>VLOOKUP(A161,Transcriptome!B:L,11,FALSE)</f>
        <v>3.6919831223629265E-3</v>
      </c>
      <c r="D161" s="21">
        <f>VLOOKUP(A161,Proteome!B:I,8,FALSE)</f>
        <v>4.1190498312118524E-3</v>
      </c>
      <c r="E161" s="21">
        <f>VLOOKUP(A161,'Consensus Phospho site'!$B$2:$G$522,6,FALSE)</f>
        <v>3.4175296143073922E-3</v>
      </c>
      <c r="F161" s="21">
        <f>VLOOKUP(A161,'AVP Regulation (PTM &amp; Ca-cAMP'!B:K,10,FALSE)</f>
        <v>3.2295686680360574E-3</v>
      </c>
      <c r="G161" s="21">
        <f>VLOOKUP(A161,'AQP2 Colocalization'!A:F,6,FALSE)</f>
        <v>2.3842668861108517E-3</v>
      </c>
    </row>
    <row r="162" spans="1:7" ht="15">
      <c r="A162" s="14" t="s">
        <v>270</v>
      </c>
      <c r="B162" s="20">
        <f t="shared" si="2"/>
        <v>1.9193857965451055E-3</v>
      </c>
      <c r="C162" s="21">
        <f>VLOOKUP(A162,Transcriptome!B:L,11,FALSE)</f>
        <v>3.6919831223629265E-3</v>
      </c>
      <c r="D162" s="21">
        <f>VLOOKUP(A162,Proteome!B:I,8,FALSE)</f>
        <v>4.1190498312118524E-3</v>
      </c>
      <c r="E162" s="21">
        <f>VLOOKUP(A162,'Consensus Phospho site'!$B$2:$G$522,6,FALSE)</f>
        <v>3.4175296143073922E-3</v>
      </c>
      <c r="F162" s="21">
        <f>VLOOKUP(A162,'AVP Regulation (PTM &amp; Ca-cAMP'!B:K,10,FALSE)</f>
        <v>3.2295686680360574E-3</v>
      </c>
      <c r="G162" s="21">
        <f>VLOOKUP(A162,'AQP2 Colocalization'!A:F,6,FALSE)</f>
        <v>2.3842668861108517E-3</v>
      </c>
    </row>
    <row r="163" spans="1:7" ht="15">
      <c r="A163" s="14" t="s">
        <v>311</v>
      </c>
      <c r="B163" s="20">
        <f t="shared" si="2"/>
        <v>1.9193857965451055E-3</v>
      </c>
      <c r="C163" s="21">
        <f>VLOOKUP(A163,Transcriptome!B:L,11,FALSE)</f>
        <v>3.6919831223629265E-3</v>
      </c>
      <c r="D163" s="21">
        <f>VLOOKUP(A163,Proteome!B:I,8,FALSE)</f>
        <v>4.1190498312118524E-3</v>
      </c>
      <c r="E163" s="21">
        <f>VLOOKUP(A163,'Consensus Phospho site'!$B$2:$G$522,6,FALSE)</f>
        <v>3.4175296143073922E-3</v>
      </c>
      <c r="F163" s="21">
        <f>VLOOKUP(A163,'AVP Regulation (PTM &amp; Ca-cAMP'!B:K,10,FALSE)</f>
        <v>3.2295686680360574E-3</v>
      </c>
      <c r="G163" s="21">
        <f>VLOOKUP(A163,'AQP2 Colocalization'!A:F,6,FALSE)</f>
        <v>1.1921334430554258E-3</v>
      </c>
    </row>
    <row r="164" spans="1:7" ht="15">
      <c r="A164" s="14" t="s">
        <v>430</v>
      </c>
      <c r="B164" s="20">
        <f t="shared" si="2"/>
        <v>1.9193857965451055E-3</v>
      </c>
      <c r="C164" s="21">
        <f>VLOOKUP(A164,Transcriptome!B:L,11,FALSE)</f>
        <v>3.6919831223629265E-3</v>
      </c>
      <c r="D164" s="21">
        <f>VLOOKUP(A164,Proteome!B:I,8,FALSE)</f>
        <v>2.1679209637957119E-3</v>
      </c>
      <c r="E164" s="21">
        <f>VLOOKUP(A164,'Consensus Phospho site'!$B$2:$G$522,6,FALSE)</f>
        <v>2.9978329950064849E-3</v>
      </c>
      <c r="F164" s="21">
        <f>VLOOKUP(A164,'AVP Regulation (PTM &amp; Ca-cAMP'!B:K,10,FALSE)</f>
        <v>2.8329549719614544E-3</v>
      </c>
      <c r="G164" s="21">
        <f>VLOOKUP(A164,'AQP2 Colocalization'!A:F,6,FALSE)</f>
        <v>2.0914621807989931E-3</v>
      </c>
    </row>
    <row r="165" spans="1:7" ht="15">
      <c r="A165" s="14" t="s">
        <v>487</v>
      </c>
      <c r="B165" s="20">
        <f t="shared" si="2"/>
        <v>1.9193857965451055E-3</v>
      </c>
      <c r="C165" s="21">
        <f>VLOOKUP(A165,Transcriptome!B:L,11,FALSE)</f>
        <v>3.6919831223629265E-3</v>
      </c>
      <c r="D165" s="21">
        <f>VLOOKUP(A165,Proteome!B:I,8,FALSE)</f>
        <v>2.1679209637957119E-3</v>
      </c>
      <c r="E165" s="21">
        <f>VLOOKUP(A165,'Consensus Phospho site'!$B$2:$G$522,6,FALSE)</f>
        <v>2.9978329950064849E-3</v>
      </c>
      <c r="F165" s="21">
        <f>VLOOKUP(A165,'AVP Regulation (PTM &amp; Ca-cAMP'!B:K,10,FALSE)</f>
        <v>2.8329549719614544E-3</v>
      </c>
      <c r="G165" s="21">
        <f>VLOOKUP(A165,'AQP2 Colocalization'!A:F,6,FALSE)</f>
        <v>2.0914621807989931E-3</v>
      </c>
    </row>
    <row r="166" spans="1:7" ht="15">
      <c r="A166" s="14" t="s">
        <v>481</v>
      </c>
      <c r="B166" s="20">
        <f t="shared" si="2"/>
        <v>1.9193857965451055E-3</v>
      </c>
      <c r="C166" s="21">
        <f>VLOOKUP(A166,Transcriptome!B:L,11,FALSE)</f>
        <v>3.6919831223629265E-3</v>
      </c>
      <c r="D166" s="21">
        <f>VLOOKUP(A166,Proteome!B:I,8,FALSE)</f>
        <v>2.1679209637957119E-3</v>
      </c>
      <c r="E166" s="21">
        <f>VLOOKUP(A166,'Consensus Phospho site'!$B$2:$G$522,6,FALSE)</f>
        <v>2.9978329950064849E-3</v>
      </c>
      <c r="F166" s="21">
        <f>VLOOKUP(A166,'AVP Regulation (PTM &amp; Ca-cAMP'!B:K,10,FALSE)</f>
        <v>2.8329549719614544E-3</v>
      </c>
      <c r="G166" s="21">
        <f>VLOOKUP(A166,'AQP2 Colocalization'!A:F,6,FALSE)</f>
        <v>2.0914621807989931E-3</v>
      </c>
    </row>
    <row r="167" spans="1:7" ht="15">
      <c r="A167" s="14" t="s">
        <v>2</v>
      </c>
      <c r="B167" s="20">
        <f t="shared" si="2"/>
        <v>1.9193857965451055E-3</v>
      </c>
      <c r="C167" s="21">
        <f>VLOOKUP(A167,Transcriptome!B:L,11,FALSE)</f>
        <v>5.0105485232068295E-3</v>
      </c>
      <c r="D167" s="21">
        <f>VLOOKUP(A167,Proteome!B:I,8,FALSE)</f>
        <v>5.5901390566446578E-3</v>
      </c>
      <c r="E167" s="21">
        <f>VLOOKUP(A167,'Consensus Phospho site'!$B$2:$G$522,6,FALSE)</f>
        <v>1.5460253017104872E-3</v>
      </c>
      <c r="F167" s="21">
        <f>VLOOKUP(A167,'AVP Regulation (PTM &amp; Ca-cAMP'!B:K,10,FALSE)</f>
        <v>5.8439813993033443E-4</v>
      </c>
      <c r="G167" s="21">
        <f>VLOOKUP(A167,'AQP2 Colocalization'!A:F,6,FALSE)</f>
        <v>4.314387698676781E-4</v>
      </c>
    </row>
    <row r="168" spans="1:7" ht="15">
      <c r="A168" s="14" t="s">
        <v>517</v>
      </c>
      <c r="B168" s="20">
        <f t="shared" si="2"/>
        <v>1.9193857965451055E-3</v>
      </c>
      <c r="C168" s="21">
        <f>VLOOKUP(A168,Transcriptome!B:L,11,FALSE)</f>
        <v>5.2742616033756105E-4</v>
      </c>
      <c r="D168" s="21">
        <f>VLOOKUP(A168,Proteome!B:I,8,FALSE)</f>
        <v>5.8843569017312199E-4</v>
      </c>
      <c r="E168" s="21">
        <f>VLOOKUP(A168,'Consensus Phospho site'!$B$2:$G$522,6,FALSE)</f>
        <v>8.1369752721604616E-4</v>
      </c>
      <c r="F168" s="21">
        <f>VLOOKUP(A168,'AVP Regulation (PTM &amp; Ca-cAMP'!B:K,10,FALSE)</f>
        <v>7.6894492096096648E-4</v>
      </c>
      <c r="G168" s="21">
        <f>VLOOKUP(A168,'AQP2 Colocalization'!A:F,6,FALSE)</f>
        <v>5.6768259193115548E-4</v>
      </c>
    </row>
    <row r="169" spans="1:7" ht="15">
      <c r="A169" s="14" t="s">
        <v>516</v>
      </c>
      <c r="B169" s="20">
        <f t="shared" si="2"/>
        <v>1.9193857965451055E-3</v>
      </c>
      <c r="C169" s="21">
        <f>VLOOKUP(A169,Transcriptome!B:L,11,FALSE)</f>
        <v>5.2742616033756105E-4</v>
      </c>
      <c r="D169" s="21">
        <f>VLOOKUP(A169,Proteome!B:I,8,FALSE)</f>
        <v>5.8843569017312199E-4</v>
      </c>
      <c r="E169" s="21">
        <f>VLOOKUP(A169,'Consensus Phospho site'!$B$2:$G$522,6,FALSE)</f>
        <v>8.1369752721604616E-4</v>
      </c>
      <c r="F169" s="21">
        <f>VLOOKUP(A169,'AVP Regulation (PTM &amp; Ca-cAMP'!B:K,10,FALSE)</f>
        <v>7.6894492096096648E-4</v>
      </c>
      <c r="G169" s="21">
        <f>VLOOKUP(A169,'AQP2 Colocalization'!A:F,6,FALSE)</f>
        <v>5.6768259193115548E-4</v>
      </c>
    </row>
    <row r="170" spans="1:7" ht="15">
      <c r="A170" s="14" t="s">
        <v>438</v>
      </c>
      <c r="B170" s="20">
        <f t="shared" si="2"/>
        <v>1.9193857965451055E-3</v>
      </c>
      <c r="C170" s="21">
        <f>VLOOKUP(A170,Transcriptome!B:L,11,FALSE)</f>
        <v>5.2742616033756105E-4</v>
      </c>
      <c r="D170" s="21">
        <f>VLOOKUP(A170,Proteome!B:I,8,FALSE)</f>
        <v>5.8843569017312199E-4</v>
      </c>
      <c r="E170" s="21">
        <f>VLOOKUP(A170,'Consensus Phospho site'!$B$2:$G$522,6,FALSE)</f>
        <v>8.1369752721604616E-4</v>
      </c>
      <c r="F170" s="21">
        <f>VLOOKUP(A170,'AVP Regulation (PTM &amp; Ca-cAMP'!B:K,10,FALSE)</f>
        <v>7.6894492096096648E-4</v>
      </c>
      <c r="G170" s="21">
        <f>VLOOKUP(A170,'AQP2 Colocalization'!A:F,6,FALSE)</f>
        <v>5.6768259193115548E-4</v>
      </c>
    </row>
    <row r="171" spans="1:7" ht="15">
      <c r="A171" s="14" t="s">
        <v>468</v>
      </c>
      <c r="B171" s="20">
        <f t="shared" si="2"/>
        <v>1.9193857965451055E-3</v>
      </c>
      <c r="C171" s="21">
        <f>VLOOKUP(A171,Transcriptome!B:L,11,FALSE)</f>
        <v>5.2742616033756105E-4</v>
      </c>
      <c r="D171" s="21">
        <f>VLOOKUP(A171,Proteome!B:I,8,FALSE)</f>
        <v>5.8843569017312199E-4</v>
      </c>
      <c r="E171" s="21">
        <f>VLOOKUP(A171,'Consensus Phospho site'!$B$2:$G$522,6,FALSE)</f>
        <v>8.1369752721604616E-4</v>
      </c>
      <c r="F171" s="21">
        <f>VLOOKUP(A171,'AVP Regulation (PTM &amp; Ca-cAMP'!B:K,10,FALSE)</f>
        <v>7.6894492096096648E-4</v>
      </c>
      <c r="G171" s="21">
        <f>VLOOKUP(A171,'AQP2 Colocalization'!A:F,6,FALSE)</f>
        <v>5.6768259193115548E-4</v>
      </c>
    </row>
    <row r="172" spans="1:7" ht="15">
      <c r="A172" s="14" t="s">
        <v>431</v>
      </c>
      <c r="B172" s="20">
        <f t="shared" si="2"/>
        <v>1.9193857965451055E-3</v>
      </c>
      <c r="C172" s="21">
        <f>VLOOKUP(A172,Transcriptome!B:L,11,FALSE)</f>
        <v>5.2742616033756105E-4</v>
      </c>
      <c r="D172" s="21">
        <f>VLOOKUP(A172,Proteome!B:I,8,FALSE)</f>
        <v>5.8843569017312199E-4</v>
      </c>
      <c r="E172" s="21">
        <f>VLOOKUP(A172,'Consensus Phospho site'!$B$2:$G$522,6,FALSE)</f>
        <v>8.1369752721604616E-4</v>
      </c>
      <c r="F172" s="21">
        <f>VLOOKUP(A172,'AVP Regulation (PTM &amp; Ca-cAMP'!B:K,10,FALSE)</f>
        <v>7.6894492096096648E-4</v>
      </c>
      <c r="G172" s="21">
        <f>VLOOKUP(A172,'AQP2 Colocalization'!A:F,6,FALSE)</f>
        <v>5.6768259193115548E-4</v>
      </c>
    </row>
    <row r="173" spans="1:7" ht="15">
      <c r="A173" s="14" t="s">
        <v>463</v>
      </c>
      <c r="B173" s="20">
        <f t="shared" si="2"/>
        <v>1.9193857965451055E-3</v>
      </c>
      <c r="C173" s="21">
        <f>VLOOKUP(A173,Transcriptome!B:L,11,FALSE)</f>
        <v>5.2742616033756105E-4</v>
      </c>
      <c r="D173" s="21">
        <f>VLOOKUP(A173,Proteome!B:I,8,FALSE)</f>
        <v>5.8843569017312199E-4</v>
      </c>
      <c r="E173" s="21">
        <f>VLOOKUP(A173,'Consensus Phospho site'!$B$2:$G$522,6,FALSE)</f>
        <v>8.1369752721604616E-4</v>
      </c>
      <c r="F173" s="21">
        <f>VLOOKUP(A173,'AVP Regulation (PTM &amp; Ca-cAMP'!B:K,10,FALSE)</f>
        <v>7.6894492096096648E-4</v>
      </c>
      <c r="G173" s="21">
        <f>VLOOKUP(A173,'AQP2 Colocalization'!A:F,6,FALSE)</f>
        <v>5.6768259193115548E-4</v>
      </c>
    </row>
    <row r="174" spans="1:7" ht="15">
      <c r="A174" s="14" t="s">
        <v>507</v>
      </c>
      <c r="B174" s="20">
        <f t="shared" si="2"/>
        <v>1.9193857965451055E-3</v>
      </c>
      <c r="C174" s="21">
        <f>VLOOKUP(A174,Transcriptome!B:L,11,FALSE)</f>
        <v>5.2742616033756105E-4</v>
      </c>
      <c r="D174" s="21">
        <f>VLOOKUP(A174,Proteome!B:I,8,FALSE)</f>
        <v>5.8843569017312199E-4</v>
      </c>
      <c r="E174" s="21">
        <f>VLOOKUP(A174,'Consensus Phospho site'!$B$2:$G$522,6,FALSE)</f>
        <v>8.1369752721604616E-4</v>
      </c>
      <c r="F174" s="21">
        <f>VLOOKUP(A174,'AVP Regulation (PTM &amp; Ca-cAMP'!B:K,10,FALSE)</f>
        <v>7.6894492096096648E-4</v>
      </c>
      <c r="G174" s="21">
        <f>VLOOKUP(A174,'AQP2 Colocalization'!A:F,6,FALSE)</f>
        <v>5.6768259193115548E-4</v>
      </c>
    </row>
    <row r="175" spans="1:7" ht="15">
      <c r="A175" s="14" t="s">
        <v>321</v>
      </c>
      <c r="B175" s="20">
        <f t="shared" si="2"/>
        <v>1.9193857965451055E-3</v>
      </c>
      <c r="C175" s="21">
        <f>VLOOKUP(A175,Transcriptome!B:L,11,FALSE)</f>
        <v>3.6919831223629265E-3</v>
      </c>
      <c r="D175" s="21">
        <f>VLOOKUP(A175,Proteome!B:I,8,FALSE)</f>
        <v>4.1190498312118524E-3</v>
      </c>
      <c r="E175" s="21">
        <f>VLOOKUP(A175,'Consensus Phospho site'!$B$2:$G$522,6,FALSE)</f>
        <v>1.1391765381024643E-3</v>
      </c>
      <c r="F175" s="21">
        <f>VLOOKUP(A175,'AVP Regulation (PTM &amp; Ca-cAMP'!B:K,10,FALSE)</f>
        <v>1.0765228893453527E-3</v>
      </c>
      <c r="G175" s="21">
        <f>VLOOKUP(A175,'AQP2 Colocalization'!A:F,6,FALSE)</f>
        <v>3.9737781435180867E-4</v>
      </c>
    </row>
    <row r="176" spans="1:7" ht="15">
      <c r="A176" s="14" t="s">
        <v>143</v>
      </c>
      <c r="B176" s="20">
        <f t="shared" si="2"/>
        <v>1.9193857965451055E-3</v>
      </c>
      <c r="C176" s="21">
        <f>VLOOKUP(A176,Transcriptome!B:L,11,FALSE)</f>
        <v>5.0105485232068295E-3</v>
      </c>
      <c r="D176" s="21">
        <f>VLOOKUP(A176,Proteome!B:I,8,FALSE)</f>
        <v>2.9421784508656093E-3</v>
      </c>
      <c r="E176" s="21">
        <f>VLOOKUP(A176,'Consensus Phospho site'!$B$2:$G$522,6,FALSE)</f>
        <v>2.4410925816481378E-3</v>
      </c>
      <c r="F176" s="21">
        <f>VLOOKUP(A176,'AVP Regulation (PTM &amp; Ca-cAMP'!B:K,10,FALSE)</f>
        <v>2.3068347628828986E-3</v>
      </c>
      <c r="G176" s="21">
        <f>VLOOKUP(A176,'AQP2 Colocalization'!A:F,6,FALSE)</f>
        <v>1.7030477757934658E-3</v>
      </c>
    </row>
    <row r="177" spans="1:7" ht="15">
      <c r="A177" s="14" t="s">
        <v>295</v>
      </c>
      <c r="B177" s="20">
        <f t="shared" si="2"/>
        <v>1.9193857965451055E-3</v>
      </c>
      <c r="C177" s="21">
        <f>VLOOKUP(A177,Transcriptome!B:L,11,FALSE)</f>
        <v>5.0105485232068295E-3</v>
      </c>
      <c r="D177" s="21">
        <f>VLOOKUP(A177,Proteome!B:I,8,FALSE)</f>
        <v>2.9421784508656093E-3</v>
      </c>
      <c r="E177" s="21">
        <f>VLOOKUP(A177,'Consensus Phospho site'!$B$2:$G$522,6,FALSE)</f>
        <v>2.4410925816481378E-3</v>
      </c>
      <c r="F177" s="21">
        <f>VLOOKUP(A177,'AVP Regulation (PTM &amp; Ca-cAMP'!B:K,10,FALSE)</f>
        <v>2.3068347628828986E-3</v>
      </c>
      <c r="G177" s="21">
        <f>VLOOKUP(A177,'AQP2 Colocalization'!A:F,6,FALSE)</f>
        <v>1.7030477757934658E-3</v>
      </c>
    </row>
    <row r="178" spans="1:7" ht="15">
      <c r="A178" s="14" t="s">
        <v>297</v>
      </c>
      <c r="B178" s="20">
        <f t="shared" si="2"/>
        <v>1.9193857965451055E-3</v>
      </c>
      <c r="C178" s="21">
        <f>VLOOKUP(A178,Transcriptome!B:L,11,FALSE)</f>
        <v>5.0105485232068295E-3</v>
      </c>
      <c r="D178" s="21">
        <f>VLOOKUP(A178,Proteome!B:I,8,FALSE)</f>
        <v>2.9421784508656093E-3</v>
      </c>
      <c r="E178" s="21">
        <f>VLOOKUP(A178,'Consensus Phospho site'!$B$2:$G$522,6,FALSE)</f>
        <v>2.4410925816481378E-3</v>
      </c>
      <c r="F178" s="21">
        <f>VLOOKUP(A178,'AVP Regulation (PTM &amp; Ca-cAMP'!B:K,10,FALSE)</f>
        <v>2.3068347628828986E-3</v>
      </c>
      <c r="G178" s="21">
        <f>VLOOKUP(A178,'AQP2 Colocalization'!A:F,6,FALSE)</f>
        <v>1.7030477757934658E-3</v>
      </c>
    </row>
    <row r="179" spans="1:7" ht="15">
      <c r="A179" s="14" t="s">
        <v>314</v>
      </c>
      <c r="B179" s="20">
        <f t="shared" si="2"/>
        <v>1.9193857965451055E-3</v>
      </c>
      <c r="C179" s="21">
        <f>VLOOKUP(A179,Transcriptome!B:L,11,FALSE)</f>
        <v>5.0105485232068295E-3</v>
      </c>
      <c r="D179" s="21">
        <f>VLOOKUP(A179,Proteome!B:I,8,FALSE)</f>
        <v>2.9421784508656093E-3</v>
      </c>
      <c r="E179" s="21">
        <f>VLOOKUP(A179,'Consensus Phospho site'!$B$2:$G$522,6,FALSE)</f>
        <v>2.4410925816481378E-3</v>
      </c>
      <c r="F179" s="21">
        <f>VLOOKUP(A179,'AVP Regulation (PTM &amp; Ca-cAMP'!B:K,10,FALSE)</f>
        <v>2.3068347628828986E-3</v>
      </c>
      <c r="G179" s="21">
        <f>VLOOKUP(A179,'AQP2 Colocalization'!A:F,6,FALSE)</f>
        <v>1.7030477757934658E-3</v>
      </c>
    </row>
    <row r="180" spans="1:7" ht="15">
      <c r="A180" s="14" t="s">
        <v>318</v>
      </c>
      <c r="B180" s="20">
        <f t="shared" si="2"/>
        <v>1.9193857965451055E-3</v>
      </c>
      <c r="C180" s="21">
        <f>VLOOKUP(A180,Transcriptome!B:L,11,FALSE)</f>
        <v>5.0105485232068295E-3</v>
      </c>
      <c r="D180" s="21">
        <f>VLOOKUP(A180,Proteome!B:I,8,FALSE)</f>
        <v>2.9421784508656093E-3</v>
      </c>
      <c r="E180" s="21">
        <f>VLOOKUP(A180,'Consensus Phospho site'!$B$2:$G$522,6,FALSE)</f>
        <v>2.4410925816481378E-3</v>
      </c>
      <c r="F180" s="21">
        <f>VLOOKUP(A180,'AVP Regulation (PTM &amp; Ca-cAMP'!B:K,10,FALSE)</f>
        <v>2.3068347628828986E-3</v>
      </c>
      <c r="G180" s="21">
        <f>VLOOKUP(A180,'AQP2 Colocalization'!A:F,6,FALSE)</f>
        <v>1.7030477757934658E-3</v>
      </c>
    </row>
    <row r="181" spans="1:7" ht="15">
      <c r="A181" s="14" t="s">
        <v>287</v>
      </c>
      <c r="B181" s="20">
        <f t="shared" si="2"/>
        <v>1.9193857965451055E-3</v>
      </c>
      <c r="C181" s="21">
        <f>VLOOKUP(A181,Transcriptome!B:L,11,FALSE)</f>
        <v>5.0105485232068295E-3</v>
      </c>
      <c r="D181" s="21">
        <f>VLOOKUP(A181,Proteome!B:I,8,FALSE)</f>
        <v>2.9421784508656093E-3</v>
      </c>
      <c r="E181" s="21">
        <f>VLOOKUP(A181,'Consensus Phospho site'!$B$2:$G$522,6,FALSE)</f>
        <v>2.4410925816481378E-3</v>
      </c>
      <c r="F181" s="21">
        <f>VLOOKUP(A181,'AVP Regulation (PTM &amp; Ca-cAMP'!B:K,10,FALSE)</f>
        <v>2.3068347628828986E-3</v>
      </c>
      <c r="G181" s="21">
        <f>VLOOKUP(A181,'AQP2 Colocalization'!A:F,6,FALSE)</f>
        <v>1.7030477757934658E-3</v>
      </c>
    </row>
    <row r="182" spans="1:7" ht="15">
      <c r="A182" s="14" t="s">
        <v>300</v>
      </c>
      <c r="B182" s="20">
        <f t="shared" si="2"/>
        <v>1.9193857965451055E-3</v>
      </c>
      <c r="C182" s="21">
        <f>VLOOKUP(A182,Transcriptome!B:L,11,FALSE)</f>
        <v>5.0105485232068295E-3</v>
      </c>
      <c r="D182" s="21">
        <f>VLOOKUP(A182,Proteome!B:I,8,FALSE)</f>
        <v>2.9421784508656093E-3</v>
      </c>
      <c r="E182" s="21">
        <f>VLOOKUP(A182,'Consensus Phospho site'!$B$2:$G$522,6,FALSE)</f>
        <v>2.4410925816481378E-3</v>
      </c>
      <c r="F182" s="21">
        <f>VLOOKUP(A182,'AVP Regulation (PTM &amp; Ca-cAMP'!B:K,10,FALSE)</f>
        <v>2.3068347628828986E-3</v>
      </c>
      <c r="G182" s="21">
        <f>VLOOKUP(A182,'AQP2 Colocalization'!A:F,6,FALSE)</f>
        <v>1.7030477757934658E-3</v>
      </c>
    </row>
    <row r="183" spans="1:7" ht="15">
      <c r="A183" s="14" t="s">
        <v>215</v>
      </c>
      <c r="B183" s="20">
        <f t="shared" si="2"/>
        <v>1.9193857965451055E-3</v>
      </c>
      <c r="C183" s="21">
        <f>VLOOKUP(A183,Transcriptome!B:L,11,FALSE)</f>
        <v>5.0105485232068295E-3</v>
      </c>
      <c r="D183" s="21">
        <f>VLOOKUP(A183,Proteome!B:I,8,FALSE)</f>
        <v>2.9421784508656093E-3</v>
      </c>
      <c r="E183" s="21">
        <f>VLOOKUP(A183,'Consensus Phospho site'!$B$2:$G$522,6,FALSE)</f>
        <v>2.4410925816481378E-3</v>
      </c>
      <c r="F183" s="21">
        <f>VLOOKUP(A183,'AVP Regulation (PTM &amp; Ca-cAMP'!B:K,10,FALSE)</f>
        <v>2.3068347628828986E-3</v>
      </c>
      <c r="G183" s="21">
        <f>VLOOKUP(A183,'AQP2 Colocalization'!A:F,6,FALSE)</f>
        <v>1.7030477757934658E-3</v>
      </c>
    </row>
    <row r="184" spans="1:7" ht="15">
      <c r="A184" s="14" t="s">
        <v>284</v>
      </c>
      <c r="B184" s="20">
        <f t="shared" si="2"/>
        <v>1.9193857965451055E-3</v>
      </c>
      <c r="C184" s="21">
        <f>VLOOKUP(A184,Transcriptome!B:L,11,FALSE)</f>
        <v>5.2742616033756105E-4</v>
      </c>
      <c r="D184" s="21">
        <f>VLOOKUP(A184,Proteome!B:I,8,FALSE)</f>
        <v>5.8843569017312199E-4</v>
      </c>
      <c r="E184" s="21">
        <f>VLOOKUP(A184,'Consensus Phospho site'!$B$2:$G$522,6,FALSE)</f>
        <v>4.8821851632962771E-4</v>
      </c>
      <c r="F184" s="21">
        <f>VLOOKUP(A184,'AVP Regulation (PTM &amp; Ca-cAMP'!B:K,10,FALSE)</f>
        <v>4.613669525765799E-4</v>
      </c>
      <c r="G184" s="21">
        <f>VLOOKUP(A184,'AQP2 Colocalization'!A:F,6,FALSE)</f>
        <v>3.4060955515869329E-4</v>
      </c>
    </row>
    <row r="185" spans="1:7" ht="15">
      <c r="A185" s="14" t="s">
        <v>238</v>
      </c>
      <c r="B185" s="20">
        <f t="shared" si="2"/>
        <v>1.9193857965451055E-3</v>
      </c>
      <c r="C185" s="21">
        <f>VLOOKUP(A185,Transcriptome!B:L,11,FALSE)</f>
        <v>5.2742616033756105E-4</v>
      </c>
      <c r="D185" s="21">
        <f>VLOOKUP(A185,Proteome!B:I,8,FALSE)</f>
        <v>5.8843569017312199E-4</v>
      </c>
      <c r="E185" s="21">
        <f>VLOOKUP(A185,'Consensus Phospho site'!$B$2:$G$522,6,FALSE)</f>
        <v>4.8821851632962771E-4</v>
      </c>
      <c r="F185" s="21">
        <f>VLOOKUP(A185,'AVP Regulation (PTM &amp; Ca-cAMP'!B:K,10,FALSE)</f>
        <v>4.613669525765799E-4</v>
      </c>
      <c r="G185" s="21">
        <f>VLOOKUP(A185,'AQP2 Colocalization'!A:F,6,FALSE)</f>
        <v>3.4060955515869329E-4</v>
      </c>
    </row>
    <row r="186" spans="1:7" ht="15">
      <c r="A186" s="14" t="s">
        <v>239</v>
      </c>
      <c r="B186" s="20">
        <f t="shared" si="2"/>
        <v>1.9193857965451055E-3</v>
      </c>
      <c r="C186" s="21">
        <f>VLOOKUP(A186,Transcriptome!B:L,11,FALSE)</f>
        <v>5.2742616033756105E-4</v>
      </c>
      <c r="D186" s="21">
        <f>VLOOKUP(A186,Proteome!B:I,8,FALSE)</f>
        <v>5.8843569017312199E-4</v>
      </c>
      <c r="E186" s="21">
        <f>VLOOKUP(A186,'Consensus Phospho site'!$B$2:$G$522,6,FALSE)</f>
        <v>4.8821851632962771E-4</v>
      </c>
      <c r="F186" s="21">
        <f>VLOOKUP(A186,'AVP Regulation (PTM &amp; Ca-cAMP'!B:K,10,FALSE)</f>
        <v>4.613669525765799E-4</v>
      </c>
      <c r="G186" s="21">
        <f>VLOOKUP(A186,'AQP2 Colocalization'!A:F,6,FALSE)</f>
        <v>3.4060955515869329E-4</v>
      </c>
    </row>
    <row r="187" spans="1:7" ht="15">
      <c r="A187" s="14" t="s">
        <v>252</v>
      </c>
      <c r="B187" s="20">
        <f t="shared" si="2"/>
        <v>1.9193857965451055E-3</v>
      </c>
      <c r="C187" s="21">
        <f>VLOOKUP(A187,Transcriptome!B:L,11,FALSE)</f>
        <v>5.2742616033756105E-4</v>
      </c>
      <c r="D187" s="21">
        <f>VLOOKUP(A187,Proteome!B:I,8,FALSE)</f>
        <v>5.8843569017312199E-4</v>
      </c>
      <c r="E187" s="21">
        <f>VLOOKUP(A187,'Consensus Phospho site'!$B$2:$G$522,6,FALSE)</f>
        <v>4.8821851632962771E-4</v>
      </c>
      <c r="F187" s="21">
        <f>VLOOKUP(A187,'AVP Regulation (PTM &amp; Ca-cAMP'!B:K,10,FALSE)</f>
        <v>4.613669525765799E-4</v>
      </c>
      <c r="G187" s="21">
        <f>VLOOKUP(A187,'AQP2 Colocalization'!A:F,6,FALSE)</f>
        <v>3.4060955515869329E-4</v>
      </c>
    </row>
    <row r="188" spans="1:7" ht="15">
      <c r="A188" s="14" t="s">
        <v>303</v>
      </c>
      <c r="B188" s="20">
        <f t="shared" si="2"/>
        <v>1.9193857965451055E-3</v>
      </c>
      <c r="C188" s="21">
        <f>VLOOKUP(A188,Transcriptome!B:L,11,FALSE)</f>
        <v>5.2742616033756105E-4</v>
      </c>
      <c r="D188" s="21">
        <f>VLOOKUP(A188,Proteome!B:I,8,FALSE)</f>
        <v>5.8843569017312199E-4</v>
      </c>
      <c r="E188" s="21">
        <f>VLOOKUP(A188,'Consensus Phospho site'!$B$2:$G$522,6,FALSE)</f>
        <v>4.8821851632962771E-4</v>
      </c>
      <c r="F188" s="21">
        <f>VLOOKUP(A188,'AVP Regulation (PTM &amp; Ca-cAMP'!B:K,10,FALSE)</f>
        <v>4.613669525765799E-4</v>
      </c>
      <c r="G188" s="21">
        <f>VLOOKUP(A188,'AQP2 Colocalization'!A:F,6,FALSE)</f>
        <v>3.4060955515869329E-4</v>
      </c>
    </row>
    <row r="189" spans="1:7" ht="15">
      <c r="A189" s="14" t="s">
        <v>248</v>
      </c>
      <c r="B189" s="20">
        <f t="shared" si="2"/>
        <v>1.9193857965451055E-3</v>
      </c>
      <c r="C189" s="21">
        <f>VLOOKUP(A189,Transcriptome!B:L,11,FALSE)</f>
        <v>5.2742616033756105E-4</v>
      </c>
      <c r="D189" s="21">
        <f>VLOOKUP(A189,Proteome!B:I,8,FALSE)</f>
        <v>5.8843569017312199E-4</v>
      </c>
      <c r="E189" s="21">
        <f>VLOOKUP(A189,'Consensus Phospho site'!$B$2:$G$522,6,FALSE)</f>
        <v>4.8821851632962771E-4</v>
      </c>
      <c r="F189" s="21">
        <f>VLOOKUP(A189,'AVP Regulation (PTM &amp; Ca-cAMP'!B:K,10,FALSE)</f>
        <v>4.613669525765799E-4</v>
      </c>
      <c r="G189" s="21">
        <f>VLOOKUP(A189,'AQP2 Colocalization'!A:F,6,FALSE)</f>
        <v>3.4060955515869329E-4</v>
      </c>
    </row>
    <row r="190" spans="1:7" ht="15">
      <c r="A190" s="14" t="s">
        <v>266</v>
      </c>
      <c r="B190" s="20">
        <f t="shared" si="2"/>
        <v>1.9193857965451055E-3</v>
      </c>
      <c r="C190" s="21">
        <f>VLOOKUP(A190,Transcriptome!B:L,11,FALSE)</f>
        <v>5.2742616033756105E-4</v>
      </c>
      <c r="D190" s="21">
        <f>VLOOKUP(A190,Proteome!B:I,8,FALSE)</f>
        <v>5.8843569017312199E-4</v>
      </c>
      <c r="E190" s="21">
        <f>VLOOKUP(A190,'Consensus Phospho site'!$B$2:$G$522,6,FALSE)</f>
        <v>4.8821851632962771E-4</v>
      </c>
      <c r="F190" s="21">
        <f>VLOOKUP(A190,'AVP Regulation (PTM &amp; Ca-cAMP'!B:K,10,FALSE)</f>
        <v>4.613669525765799E-4</v>
      </c>
      <c r="G190" s="21">
        <f>VLOOKUP(A190,'AQP2 Colocalization'!A:F,6,FALSE)</f>
        <v>5.1091433273803982E-4</v>
      </c>
    </row>
    <row r="191" spans="1:7" ht="15">
      <c r="A191" s="14" t="s">
        <v>285</v>
      </c>
      <c r="B191" s="20">
        <f t="shared" si="2"/>
        <v>1.9193857965451055E-3</v>
      </c>
      <c r="C191" s="21">
        <f>VLOOKUP(A191,Transcriptome!B:L,11,FALSE)</f>
        <v>5.2742616033756105E-4</v>
      </c>
      <c r="D191" s="21">
        <f>VLOOKUP(A191,Proteome!B:I,8,FALSE)</f>
        <v>5.8843569017312199E-4</v>
      </c>
      <c r="E191" s="21">
        <f>VLOOKUP(A191,'Consensus Phospho site'!$B$2:$G$522,6,FALSE)</f>
        <v>4.8821851632962771E-4</v>
      </c>
      <c r="F191" s="21">
        <f>VLOOKUP(A191,'AVP Regulation (PTM &amp; Ca-cAMP'!B:K,10,FALSE)</f>
        <v>5.9977703834955391E-4</v>
      </c>
      <c r="G191" s="21">
        <f>VLOOKUP(A191,'AQP2 Colocalization'!A:F,6,FALSE)</f>
        <v>4.4279242170630129E-4</v>
      </c>
    </row>
    <row r="192" spans="1:7" ht="15">
      <c r="A192" s="14" t="s">
        <v>258</v>
      </c>
      <c r="B192" s="20">
        <f t="shared" si="2"/>
        <v>1.9193857965451055E-3</v>
      </c>
      <c r="C192" s="21">
        <f>VLOOKUP(A192,Transcriptome!B:L,11,FALSE)</f>
        <v>5.2742616033756105E-4</v>
      </c>
      <c r="D192" s="21">
        <f>VLOOKUP(A192,Proteome!B:I,8,FALSE)</f>
        <v>5.8843569017312199E-4</v>
      </c>
      <c r="E192" s="21">
        <f>VLOOKUP(A192,'Consensus Phospho site'!$B$2:$G$522,6,FALSE)</f>
        <v>4.8821851632962771E-4</v>
      </c>
      <c r="F192" s="21">
        <f>VLOOKUP(A192,'AVP Regulation (PTM &amp; Ca-cAMP'!B:K,10,FALSE)</f>
        <v>5.9977703834955391E-4</v>
      </c>
      <c r="G192" s="21">
        <f>VLOOKUP(A192,'AQP2 Colocalization'!A:F,6,FALSE)</f>
        <v>4.4279242170630129E-4</v>
      </c>
    </row>
    <row r="193" spans="1:7" ht="15">
      <c r="A193" s="14" t="s">
        <v>421</v>
      </c>
      <c r="B193" s="20">
        <f t="shared" si="2"/>
        <v>1.9193857965451055E-3</v>
      </c>
      <c r="C193" s="21">
        <f>VLOOKUP(A193,Transcriptome!B:L,11,FALSE)</f>
        <v>5.0105485232068295E-3</v>
      </c>
      <c r="D193" s="21">
        <f>VLOOKUP(A193,Proteome!B:I,8,FALSE)</f>
        <v>5.5901390566446578E-3</v>
      </c>
      <c r="E193" s="21">
        <f>VLOOKUP(A193,'Consensus Phospho site'!$B$2:$G$522,6,FALSE)</f>
        <v>7.7301265085524366E-3</v>
      </c>
      <c r="F193" s="21">
        <f>VLOOKUP(A193,'AVP Regulation (PTM &amp; Ca-cAMP'!B:K,10,FALSE)</f>
        <v>1.8992939547735864E-3</v>
      </c>
      <c r="G193" s="21">
        <f>VLOOKUP(A193,'AQP2 Colocalization'!A:F,6,FALSE)</f>
        <v>7.0108800103497668E-4</v>
      </c>
    </row>
    <row r="194" spans="1:7" ht="15">
      <c r="A194" s="14" t="s">
        <v>92</v>
      </c>
      <c r="B194" s="20">
        <f t="shared" ref="B194:B257" si="3">1/521</f>
        <v>1.9193857965451055E-3</v>
      </c>
      <c r="C194" s="21">
        <f>VLOOKUP(A194,Transcriptome!B:L,11,FALSE)</f>
        <v>5.0105485232068295E-3</v>
      </c>
      <c r="D194" s="21">
        <f>VLOOKUP(A194,Proteome!B:I,8,FALSE)</f>
        <v>5.5901390566446578E-3</v>
      </c>
      <c r="E194" s="21">
        <f>VLOOKUP(A194,'Consensus Phospho site'!$B$2:$G$522,6,FALSE)</f>
        <v>1.5460253017104872E-3</v>
      </c>
      <c r="F194" s="21">
        <f>VLOOKUP(A194,'AVP Regulation (PTM &amp; Ca-cAMP'!B:K,10,FALSE)</f>
        <v>3.7985879095471726E-4</v>
      </c>
      <c r="G194" s="21">
        <f>VLOOKUP(A194,'AQP2 Colocalization'!A:F,6,FALSE)</f>
        <v>4.2065280062098594E-4</v>
      </c>
    </row>
    <row r="195" spans="1:7" ht="15">
      <c r="A195" s="14" t="s">
        <v>142</v>
      </c>
      <c r="B195" s="20">
        <f t="shared" si="3"/>
        <v>1.9193857965451055E-3</v>
      </c>
      <c r="C195" s="21">
        <f>VLOOKUP(A195,Transcriptome!B:L,11,FALSE)</f>
        <v>3.6919831223629265E-3</v>
      </c>
      <c r="D195" s="21">
        <f>VLOOKUP(A195,Proteome!B:I,8,FALSE)</f>
        <v>2.1679209637957119E-3</v>
      </c>
      <c r="E195" s="21">
        <f>VLOOKUP(A195,'Consensus Phospho site'!$B$2:$G$522,6,FALSE)</f>
        <v>1.7986997970038908E-3</v>
      </c>
      <c r="F195" s="21">
        <f>VLOOKUP(A195,'AVP Regulation (PTM &amp; Ca-cAMP'!B:K,10,FALSE)</f>
        <v>1.6997729831768726E-3</v>
      </c>
      <c r="G195" s="21">
        <f>VLOOKUP(A195,'AQP2 Colocalization'!A:F,6,FALSE)</f>
        <v>1.2548773084793956E-3</v>
      </c>
    </row>
    <row r="196" spans="1:7" ht="15">
      <c r="A196" s="14" t="s">
        <v>240</v>
      </c>
      <c r="B196" s="20">
        <f t="shared" si="3"/>
        <v>1.9193857965451055E-3</v>
      </c>
      <c r="C196" s="21">
        <f>VLOOKUP(A196,Transcriptome!B:L,11,FALSE)</f>
        <v>3.6919831223629265E-3</v>
      </c>
      <c r="D196" s="21">
        <f>VLOOKUP(A196,Proteome!B:I,8,FALSE)</f>
        <v>2.1679209637957119E-3</v>
      </c>
      <c r="E196" s="21">
        <f>VLOOKUP(A196,'Consensus Phospho site'!$B$2:$G$522,6,FALSE)</f>
        <v>1.7986997970038908E-3</v>
      </c>
      <c r="F196" s="21">
        <f>VLOOKUP(A196,'AVP Regulation (PTM &amp; Ca-cAMP'!B:K,10,FALSE)</f>
        <v>1.6997729831768726E-3</v>
      </c>
      <c r="G196" s="21">
        <f>VLOOKUP(A196,'AQP2 Colocalization'!A:F,6,FALSE)</f>
        <v>1.2548773084793956E-3</v>
      </c>
    </row>
    <row r="197" spans="1:7" ht="15">
      <c r="A197" s="14" t="s">
        <v>317</v>
      </c>
      <c r="B197" s="20">
        <f t="shared" si="3"/>
        <v>1.9193857965451055E-3</v>
      </c>
      <c r="C197" s="21">
        <f>VLOOKUP(A197,Transcriptome!B:L,11,FALSE)</f>
        <v>3.6919831223629265E-3</v>
      </c>
      <c r="D197" s="21">
        <f>VLOOKUP(A197,Proteome!B:I,8,FALSE)</f>
        <v>2.1679209637957119E-3</v>
      </c>
      <c r="E197" s="21">
        <f>VLOOKUP(A197,'Consensus Phospho site'!$B$2:$G$522,6,FALSE)</f>
        <v>1.7986997970038908E-3</v>
      </c>
      <c r="F197" s="21">
        <f>VLOOKUP(A197,'AVP Regulation (PTM &amp; Ca-cAMP'!B:K,10,FALSE)</f>
        <v>1.6997729831768726E-3</v>
      </c>
      <c r="G197" s="21">
        <f>VLOOKUP(A197,'AQP2 Colocalization'!A:F,6,FALSE)</f>
        <v>1.2548773084793956E-3</v>
      </c>
    </row>
    <row r="198" spans="1:7" ht="15">
      <c r="A198" s="14" t="s">
        <v>219</v>
      </c>
      <c r="B198" s="20">
        <f t="shared" si="3"/>
        <v>1.9193857965451055E-3</v>
      </c>
      <c r="C198" s="21">
        <f>VLOOKUP(A198,Transcriptome!B:L,11,FALSE)</f>
        <v>5.2742616033756105E-4</v>
      </c>
      <c r="D198" s="21">
        <f>VLOOKUP(A198,Proteome!B:I,8,FALSE)</f>
        <v>5.8843569017312199E-4</v>
      </c>
      <c r="E198" s="21">
        <f>VLOOKUP(A198,'Consensus Phospho site'!$B$2:$G$522,6,FALSE)</f>
        <v>4.8821851632962771E-4</v>
      </c>
      <c r="F198" s="21">
        <f>VLOOKUP(A198,'AVP Regulation (PTM &amp; Ca-cAMP'!B:K,10,FALSE)</f>
        <v>4.613669525765799E-4</v>
      </c>
      <c r="G198" s="21">
        <f>VLOOKUP(A198,'AQP2 Colocalization'!A:F,6,FALSE)</f>
        <v>3.4060955515869329E-4</v>
      </c>
    </row>
    <row r="199" spans="1:7" ht="15">
      <c r="A199" s="14" t="s">
        <v>263</v>
      </c>
      <c r="B199" s="20">
        <f t="shared" si="3"/>
        <v>1.9193857965451055E-3</v>
      </c>
      <c r="C199" s="21">
        <f>VLOOKUP(A199,Transcriptome!B:L,11,FALSE)</f>
        <v>5.2742616033756105E-4</v>
      </c>
      <c r="D199" s="21">
        <f>VLOOKUP(A199,Proteome!B:I,8,FALSE)</f>
        <v>5.8843569017312199E-4</v>
      </c>
      <c r="E199" s="21">
        <f>VLOOKUP(A199,'Consensus Phospho site'!$B$2:$G$522,6,FALSE)</f>
        <v>4.8821851632962771E-4</v>
      </c>
      <c r="F199" s="21">
        <f>VLOOKUP(A199,'AVP Regulation (PTM &amp; Ca-cAMP'!B:K,10,FALSE)</f>
        <v>4.613669525765799E-4</v>
      </c>
      <c r="G199" s="21">
        <f>VLOOKUP(A199,'AQP2 Colocalization'!A:F,6,FALSE)</f>
        <v>3.4060955515869329E-4</v>
      </c>
    </row>
    <row r="200" spans="1:7" ht="15">
      <c r="A200" s="14" t="s">
        <v>254</v>
      </c>
      <c r="B200" s="20">
        <f t="shared" si="3"/>
        <v>1.9193857965451055E-3</v>
      </c>
      <c r="C200" s="21">
        <f>VLOOKUP(A200,Transcriptome!B:L,11,FALSE)</f>
        <v>5.2742616033756105E-4</v>
      </c>
      <c r="D200" s="21">
        <f>VLOOKUP(A200,Proteome!B:I,8,FALSE)</f>
        <v>5.8843569017312199E-4</v>
      </c>
      <c r="E200" s="21">
        <f>VLOOKUP(A200,'Consensus Phospho site'!$B$2:$G$522,6,FALSE)</f>
        <v>4.8821851632962771E-4</v>
      </c>
      <c r="F200" s="21">
        <f>VLOOKUP(A200,'AVP Regulation (PTM &amp; Ca-cAMP'!B:K,10,FALSE)</f>
        <v>4.613669525765799E-4</v>
      </c>
      <c r="G200" s="21">
        <f>VLOOKUP(A200,'AQP2 Colocalization'!A:F,6,FALSE)</f>
        <v>3.4060955515869329E-4</v>
      </c>
    </row>
    <row r="201" spans="1:7" ht="15">
      <c r="A201" s="14" t="s">
        <v>243</v>
      </c>
      <c r="B201" s="20">
        <f t="shared" si="3"/>
        <v>1.9193857965451055E-3</v>
      </c>
      <c r="C201" s="21">
        <f>VLOOKUP(A201,Transcriptome!B:L,11,FALSE)</f>
        <v>5.2742616033756105E-4</v>
      </c>
      <c r="D201" s="21">
        <f>VLOOKUP(A201,Proteome!B:I,8,FALSE)</f>
        <v>5.8843569017312199E-4</v>
      </c>
      <c r="E201" s="21">
        <f>VLOOKUP(A201,'Consensus Phospho site'!$B$2:$G$522,6,FALSE)</f>
        <v>4.8821851632962771E-4</v>
      </c>
      <c r="F201" s="21">
        <f>VLOOKUP(A201,'AVP Regulation (PTM &amp; Ca-cAMP'!B:K,10,FALSE)</f>
        <v>4.613669525765799E-4</v>
      </c>
      <c r="G201" s="21">
        <f>VLOOKUP(A201,'AQP2 Colocalization'!A:F,6,FALSE)</f>
        <v>3.4060955515869329E-4</v>
      </c>
    </row>
    <row r="202" spans="1:7" ht="15">
      <c r="A202" s="14" t="s">
        <v>274</v>
      </c>
      <c r="B202" s="20">
        <f t="shared" si="3"/>
        <v>1.9193857965451055E-3</v>
      </c>
      <c r="C202" s="21">
        <f>VLOOKUP(A202,Transcriptome!B:L,11,FALSE)</f>
        <v>5.2742616033756105E-4</v>
      </c>
      <c r="D202" s="21">
        <f>VLOOKUP(A202,Proteome!B:I,8,FALSE)</f>
        <v>5.8843569017312199E-4</v>
      </c>
      <c r="E202" s="21">
        <f>VLOOKUP(A202,'Consensus Phospho site'!$B$2:$G$522,6,FALSE)</f>
        <v>4.8821851632962771E-4</v>
      </c>
      <c r="F202" s="21">
        <f>VLOOKUP(A202,'AVP Regulation (PTM &amp; Ca-cAMP'!B:K,10,FALSE)</f>
        <v>4.613669525765799E-4</v>
      </c>
      <c r="G202" s="21">
        <f>VLOOKUP(A202,'AQP2 Colocalization'!A:F,6,FALSE)</f>
        <v>3.4060955515869329E-4</v>
      </c>
    </row>
    <row r="203" spans="1:7" ht="15">
      <c r="A203" s="14" t="s">
        <v>98</v>
      </c>
      <c r="B203" s="20">
        <f t="shared" si="3"/>
        <v>1.9193857965451055E-3</v>
      </c>
      <c r="C203" s="21">
        <f>VLOOKUP(A203,Transcriptome!B:L,11,FALSE)</f>
        <v>5.0105485232068295E-3</v>
      </c>
      <c r="D203" s="21">
        <f>VLOOKUP(A203,Proteome!B:I,8,FALSE)</f>
        <v>5.5901390566446578E-3</v>
      </c>
      <c r="E203" s="21">
        <f>VLOOKUP(A203,'Consensus Phospho site'!$B$2:$G$522,6,FALSE)</f>
        <v>1.5460253017104872E-3</v>
      </c>
      <c r="F203" s="21">
        <f>VLOOKUP(A203,'AVP Regulation (PTM &amp; Ca-cAMP'!B:K,10,FALSE)</f>
        <v>1.4609953498258359E-3</v>
      </c>
      <c r="G203" s="21">
        <f>VLOOKUP(A203,'AQP2 Colocalization'!A:F,6,FALSE)</f>
        <v>1.0785969246691952E-3</v>
      </c>
    </row>
    <row r="204" spans="1:7" ht="15">
      <c r="A204" s="14" t="s">
        <v>89</v>
      </c>
      <c r="B204" s="20">
        <f t="shared" si="3"/>
        <v>1.9193857965451055E-3</v>
      </c>
      <c r="C204" s="21">
        <f>VLOOKUP(A204,Transcriptome!B:L,11,FALSE)</f>
        <v>5.0105485232068295E-3</v>
      </c>
      <c r="D204" s="21">
        <f>VLOOKUP(A204,Proteome!B:I,8,FALSE)</f>
        <v>5.5901390566446578E-3</v>
      </c>
      <c r="E204" s="21">
        <f>VLOOKUP(A204,'Consensus Phospho site'!$B$2:$G$522,6,FALSE)</f>
        <v>1.5460253017104872E-3</v>
      </c>
      <c r="F204" s="21">
        <f>VLOOKUP(A204,'AVP Regulation (PTM &amp; Ca-cAMP'!B:K,10,FALSE)</f>
        <v>1.4609953498258359E-3</v>
      </c>
      <c r="G204" s="21">
        <f>VLOOKUP(A204,'AQP2 Colocalization'!A:F,6,FALSE)</f>
        <v>1.0785969246691952E-3</v>
      </c>
    </row>
    <row r="205" spans="1:7" ht="15">
      <c r="A205" s="14" t="s">
        <v>328</v>
      </c>
      <c r="B205" s="20">
        <f t="shared" si="3"/>
        <v>1.9193857965451055E-3</v>
      </c>
      <c r="C205" s="21">
        <f>VLOOKUP(A205,Transcriptome!B:L,11,FALSE)</f>
        <v>5.0105485232068295E-3</v>
      </c>
      <c r="D205" s="21">
        <f>VLOOKUP(A205,Proteome!B:I,8,FALSE)</f>
        <v>5.5901390566446578E-3</v>
      </c>
      <c r="E205" s="21">
        <f>VLOOKUP(A205,'Consensus Phospho site'!$B$2:$G$522,6,FALSE)</f>
        <v>1.5460253017104872E-3</v>
      </c>
      <c r="F205" s="21">
        <f>VLOOKUP(A205,'AVP Regulation (PTM &amp; Ca-cAMP'!B:K,10,FALSE)</f>
        <v>1.4609953498258359E-3</v>
      </c>
      <c r="G205" s="21">
        <f>VLOOKUP(A205,'AQP2 Colocalization'!A:F,6,FALSE)</f>
        <v>1.0785969246691952E-3</v>
      </c>
    </row>
    <row r="206" spans="1:7" ht="15">
      <c r="A206" s="14" t="s">
        <v>22</v>
      </c>
      <c r="B206" s="20">
        <f t="shared" si="3"/>
        <v>1.9193857965451055E-3</v>
      </c>
      <c r="C206" s="21">
        <f>VLOOKUP(A206,Transcriptome!B:L,11,FALSE)</f>
        <v>5.0105485232068295E-3</v>
      </c>
      <c r="D206" s="21">
        <f>VLOOKUP(A206,Proteome!B:I,8,FALSE)</f>
        <v>5.5901390566446578E-3</v>
      </c>
      <c r="E206" s="21">
        <f>VLOOKUP(A206,'Consensus Phospho site'!$B$2:$G$522,6,FALSE)</f>
        <v>1.5460253017104872E-3</v>
      </c>
      <c r="F206" s="21">
        <f>VLOOKUP(A206,'AVP Regulation (PTM &amp; Ca-cAMP'!B:K,10,FALSE)</f>
        <v>1.4609953498258359E-3</v>
      </c>
      <c r="G206" s="21">
        <f>VLOOKUP(A206,'AQP2 Colocalization'!A:F,6,FALSE)</f>
        <v>5.3929846233459759E-4</v>
      </c>
    </row>
    <row r="207" spans="1:7" ht="15">
      <c r="A207" s="14" t="s">
        <v>27</v>
      </c>
      <c r="B207" s="20">
        <f t="shared" si="3"/>
        <v>1.9193857965451055E-3</v>
      </c>
      <c r="C207" s="21">
        <f>VLOOKUP(A207,Transcriptome!B:L,11,FALSE)</f>
        <v>5.0105485232068295E-3</v>
      </c>
      <c r="D207" s="21">
        <f>VLOOKUP(A207,Proteome!B:I,8,FALSE)</f>
        <v>5.5901390566446578E-3</v>
      </c>
      <c r="E207" s="21">
        <f>VLOOKUP(A207,'Consensus Phospho site'!$B$2:$G$522,6,FALSE)</f>
        <v>1.5460253017104872E-3</v>
      </c>
      <c r="F207" s="21">
        <f>VLOOKUP(A207,'AVP Regulation (PTM &amp; Ca-cAMP'!B:K,10,FALSE)</f>
        <v>2.9219906996516711E-4</v>
      </c>
      <c r="G207" s="21">
        <f>VLOOKUP(A207,'AQP2 Colocalization'!A:F,6,FALSE)</f>
        <v>4.3143876986767793E-4</v>
      </c>
    </row>
    <row r="208" spans="1:7" ht="15">
      <c r="A208" s="14" t="s">
        <v>28</v>
      </c>
      <c r="B208" s="20">
        <f t="shared" si="3"/>
        <v>1.9193857965451055E-3</v>
      </c>
      <c r="C208" s="21">
        <f>VLOOKUP(A208,Transcriptome!B:L,11,FALSE)</f>
        <v>5.0105485232068295E-3</v>
      </c>
      <c r="D208" s="21">
        <f>VLOOKUP(A208,Proteome!B:I,8,FALSE)</f>
        <v>5.5901390566446578E-3</v>
      </c>
      <c r="E208" s="21">
        <f>VLOOKUP(A208,'Consensus Phospho site'!$B$2:$G$522,6,FALSE)</f>
        <v>1.5460253017104872E-3</v>
      </c>
      <c r="F208" s="21">
        <f>VLOOKUP(A208,'AVP Regulation (PTM &amp; Ca-cAMP'!B:K,10,FALSE)</f>
        <v>2.9219906996516711E-4</v>
      </c>
      <c r="G208" s="21">
        <f>VLOOKUP(A208,'AQP2 Colocalization'!A:F,6,FALSE)</f>
        <v>3.7750892363421813E-4</v>
      </c>
    </row>
    <row r="209" spans="1:7" ht="15">
      <c r="A209" s="14" t="s">
        <v>183</v>
      </c>
      <c r="B209" s="20">
        <f t="shared" si="3"/>
        <v>1.9193857965451055E-3</v>
      </c>
      <c r="C209" s="21">
        <f>VLOOKUP(A209,Transcriptome!B:L,11,FALSE)</f>
        <v>5.2742616033756105E-4</v>
      </c>
      <c r="D209" s="21">
        <f>VLOOKUP(A209,Proteome!B:I,8,FALSE)</f>
        <v>5.8843569017312199E-4</v>
      </c>
      <c r="E209" s="21">
        <f>VLOOKUP(A209,'Consensus Phospho site'!$B$2:$G$522,6,FALSE)</f>
        <v>1.4646555489888833E-3</v>
      </c>
      <c r="F209" s="21">
        <f>VLOOKUP(A209,'AVP Regulation (PTM &amp; Ca-cAMP'!B:K,10,FALSE)</f>
        <v>1.3841008577297398E-3</v>
      </c>
      <c r="G209" s="21">
        <f>VLOOKUP(A209,'AQP2 Colocalization'!A:F,6,FALSE)</f>
        <v>1.0218286654760799E-3</v>
      </c>
    </row>
    <row r="210" spans="1:7" ht="15">
      <c r="A210" s="14" t="s">
        <v>151</v>
      </c>
      <c r="B210" s="20">
        <f t="shared" si="3"/>
        <v>1.9193857965451055E-3</v>
      </c>
      <c r="C210" s="21">
        <f>VLOOKUP(A210,Transcriptome!B:L,11,FALSE)</f>
        <v>5.2742616033756105E-4</v>
      </c>
      <c r="D210" s="21">
        <f>VLOOKUP(A210,Proteome!B:I,8,FALSE)</f>
        <v>5.8843569017312199E-4</v>
      </c>
      <c r="E210" s="21">
        <f>VLOOKUP(A210,'Consensus Phospho site'!$B$2:$G$522,6,FALSE)</f>
        <v>1.4646555489888833E-3</v>
      </c>
      <c r="F210" s="21">
        <f>VLOOKUP(A210,'AVP Regulation (PTM &amp; Ca-cAMP'!B:K,10,FALSE)</f>
        <v>1.3841008577297398E-3</v>
      </c>
      <c r="G210" s="21">
        <f>VLOOKUP(A210,'AQP2 Colocalization'!A:F,6,FALSE)</f>
        <v>1.0218286654760799E-3</v>
      </c>
    </row>
    <row r="211" spans="1:7" ht="15">
      <c r="A211" s="14" t="s">
        <v>178</v>
      </c>
      <c r="B211" s="20">
        <f t="shared" si="3"/>
        <v>1.9193857965451055E-3</v>
      </c>
      <c r="C211" s="21">
        <f>VLOOKUP(A211,Transcriptome!B:L,11,FALSE)</f>
        <v>5.2742616033756105E-4</v>
      </c>
      <c r="D211" s="21">
        <f>VLOOKUP(A211,Proteome!B:I,8,FALSE)</f>
        <v>5.8843569017312199E-4</v>
      </c>
      <c r="E211" s="21">
        <f>VLOOKUP(A211,'Consensus Phospho site'!$B$2:$G$522,6,FALSE)</f>
        <v>1.4646555489888833E-3</v>
      </c>
      <c r="F211" s="21">
        <f>VLOOKUP(A211,'AVP Regulation (PTM &amp; Ca-cAMP'!B:K,10,FALSE)</f>
        <v>1.3841008577297398E-3</v>
      </c>
      <c r="G211" s="21">
        <f>VLOOKUP(A211,'AQP2 Colocalization'!A:F,6,FALSE)</f>
        <v>1.0218286654760799E-3</v>
      </c>
    </row>
    <row r="212" spans="1:7" ht="15">
      <c r="A212" s="14" t="s">
        <v>173</v>
      </c>
      <c r="B212" s="20">
        <f t="shared" si="3"/>
        <v>1.9193857965451055E-3</v>
      </c>
      <c r="C212" s="21">
        <f>VLOOKUP(A212,Transcriptome!B:L,11,FALSE)</f>
        <v>5.2742616033756105E-4</v>
      </c>
      <c r="D212" s="21">
        <f>VLOOKUP(A212,Proteome!B:I,8,FALSE)</f>
        <v>5.8843569017312199E-4</v>
      </c>
      <c r="E212" s="21">
        <f>VLOOKUP(A212,'Consensus Phospho site'!$B$2:$G$522,6,FALSE)</f>
        <v>1.4646555489888833E-3</v>
      </c>
      <c r="F212" s="21">
        <f>VLOOKUP(A212,'AVP Regulation (PTM &amp; Ca-cAMP'!B:K,10,FALSE)</f>
        <v>1.3841008577297398E-3</v>
      </c>
      <c r="G212" s="21">
        <f>VLOOKUP(A212,'AQP2 Colocalization'!A:F,6,FALSE)</f>
        <v>1.0218286654760799E-3</v>
      </c>
    </row>
    <row r="213" spans="1:7" ht="15">
      <c r="A213" s="14" t="s">
        <v>175</v>
      </c>
      <c r="B213" s="20">
        <f t="shared" si="3"/>
        <v>1.9193857965451055E-3</v>
      </c>
      <c r="C213" s="21">
        <f>VLOOKUP(A213,Transcriptome!B:L,11,FALSE)</f>
        <v>5.2742616033756105E-4</v>
      </c>
      <c r="D213" s="21">
        <f>VLOOKUP(A213,Proteome!B:I,8,FALSE)</f>
        <v>5.8843569017312199E-4</v>
      </c>
      <c r="E213" s="21">
        <f>VLOOKUP(A213,'Consensus Phospho site'!$B$2:$G$522,6,FALSE)</f>
        <v>1.4646555489888833E-3</v>
      </c>
      <c r="F213" s="21">
        <f>VLOOKUP(A213,'AVP Regulation (PTM &amp; Ca-cAMP'!B:K,10,FALSE)</f>
        <v>1.3841008577297398E-3</v>
      </c>
      <c r="G213" s="21">
        <f>VLOOKUP(A213,'AQP2 Colocalization'!A:F,6,FALSE)</f>
        <v>1.0218286654760799E-3</v>
      </c>
    </row>
    <row r="214" spans="1:7" ht="15">
      <c r="A214" s="14" t="s">
        <v>182</v>
      </c>
      <c r="B214" s="20">
        <f t="shared" si="3"/>
        <v>1.9193857965451055E-3</v>
      </c>
      <c r="C214" s="21">
        <f>VLOOKUP(A214,Transcriptome!B:L,11,FALSE)</f>
        <v>5.2742616033756105E-4</v>
      </c>
      <c r="D214" s="21">
        <f>VLOOKUP(A214,Proteome!B:I,8,FALSE)</f>
        <v>5.8843569017312199E-4</v>
      </c>
      <c r="E214" s="21">
        <f>VLOOKUP(A214,'Consensus Phospho site'!$B$2:$G$522,6,FALSE)</f>
        <v>1.4646555489888833E-3</v>
      </c>
      <c r="F214" s="21">
        <f>VLOOKUP(A214,'AVP Regulation (PTM &amp; Ca-cAMP'!B:K,10,FALSE)</f>
        <v>1.3841008577297398E-3</v>
      </c>
      <c r="G214" s="21">
        <f>VLOOKUP(A214,'AQP2 Colocalization'!A:F,6,FALSE)</f>
        <v>1.0218286654760799E-3</v>
      </c>
    </row>
    <row r="215" spans="1:7" ht="15">
      <c r="A215" s="14" t="s">
        <v>190</v>
      </c>
      <c r="B215" s="20">
        <f t="shared" si="3"/>
        <v>1.9193857965451055E-3</v>
      </c>
      <c r="C215" s="21">
        <f>VLOOKUP(A215,Transcriptome!B:L,11,FALSE)</f>
        <v>5.2742616033756105E-4</v>
      </c>
      <c r="D215" s="21">
        <f>VLOOKUP(A215,Proteome!B:I,8,FALSE)</f>
        <v>5.8843569017312199E-4</v>
      </c>
      <c r="E215" s="21">
        <f>VLOOKUP(A215,'Consensus Phospho site'!$B$2:$G$522,6,FALSE)</f>
        <v>1.4646555489888833E-3</v>
      </c>
      <c r="F215" s="21">
        <f>VLOOKUP(A215,'AVP Regulation (PTM &amp; Ca-cAMP'!B:K,10,FALSE)</f>
        <v>1.3841008577297398E-3</v>
      </c>
      <c r="G215" s="21">
        <f>VLOOKUP(A215,'AQP2 Colocalization'!A:F,6,FALSE)</f>
        <v>1.0218286654760799E-3</v>
      </c>
    </row>
    <row r="216" spans="1:7" ht="15">
      <c r="A216" s="14" t="s">
        <v>362</v>
      </c>
      <c r="B216" s="20">
        <f t="shared" si="3"/>
        <v>1.9193857965451055E-3</v>
      </c>
      <c r="C216" s="21">
        <f>VLOOKUP(A216,Transcriptome!B:L,11,FALSE)</f>
        <v>5.2742616033756105E-4</v>
      </c>
      <c r="D216" s="21">
        <f>VLOOKUP(A216,Proteome!B:I,8,FALSE)</f>
        <v>5.8843569017312199E-4</v>
      </c>
      <c r="E216" s="21">
        <f>VLOOKUP(A216,'Consensus Phospho site'!$B$2:$G$522,6,FALSE)</f>
        <v>1.6273950544320925E-4</v>
      </c>
      <c r="F216" s="21">
        <f>VLOOKUP(A216,'AVP Regulation (PTM &amp; Ca-cAMP'!B:K,10,FALSE)</f>
        <v>2.7682017154594796E-4</v>
      </c>
      <c r="G216" s="21">
        <f>VLOOKUP(A216,'AQP2 Colocalization'!A:F,6,FALSE)</f>
        <v>4.5982289946423592E-4</v>
      </c>
    </row>
    <row r="217" spans="1:7" ht="15">
      <c r="A217" s="14" t="s">
        <v>146</v>
      </c>
      <c r="B217" s="20">
        <f t="shared" si="3"/>
        <v>1.9193857965451055E-3</v>
      </c>
      <c r="C217" s="21">
        <f>VLOOKUP(A217,Transcriptome!B:L,11,FALSE)</f>
        <v>5.2742616033756105E-4</v>
      </c>
      <c r="D217" s="21">
        <f>VLOOKUP(A217,Proteome!B:I,8,FALSE)</f>
        <v>5.8843569017312199E-4</v>
      </c>
      <c r="E217" s="21">
        <f>VLOOKUP(A217,'Consensus Phospho site'!$B$2:$G$522,6,FALSE)</f>
        <v>4.8821851632962771E-4</v>
      </c>
      <c r="F217" s="21">
        <f>VLOOKUP(A217,'AVP Regulation (PTM &amp; Ca-cAMP'!B:K,10,FALSE)</f>
        <v>4.613669525765799E-4</v>
      </c>
      <c r="G217" s="21">
        <f>VLOOKUP(A217,'AQP2 Colocalization'!A:F,6,FALSE)</f>
        <v>3.4060955515869329E-4</v>
      </c>
    </row>
    <row r="218" spans="1:7" ht="15">
      <c r="A218" s="14" t="s">
        <v>242</v>
      </c>
      <c r="B218" s="20">
        <f t="shared" si="3"/>
        <v>1.9193857965451055E-3</v>
      </c>
      <c r="C218" s="21">
        <f>VLOOKUP(A218,Transcriptome!B:L,11,FALSE)</f>
        <v>5.2742616033756105E-4</v>
      </c>
      <c r="D218" s="21">
        <f>VLOOKUP(A218,Proteome!B:I,8,FALSE)</f>
        <v>5.8843569017312199E-4</v>
      </c>
      <c r="E218" s="21">
        <f>VLOOKUP(A218,'Consensus Phospho site'!$B$2:$G$522,6,FALSE)</f>
        <v>4.8821851632962771E-4</v>
      </c>
      <c r="F218" s="21">
        <f>VLOOKUP(A218,'AVP Regulation (PTM &amp; Ca-cAMP'!B:K,10,FALSE)</f>
        <v>4.613669525765799E-4</v>
      </c>
      <c r="G218" s="21">
        <f>VLOOKUP(A218,'AQP2 Colocalization'!A:F,6,FALSE)</f>
        <v>3.4060955515869329E-4</v>
      </c>
    </row>
    <row r="219" spans="1:7" ht="15">
      <c r="A219" s="14" t="s">
        <v>117</v>
      </c>
      <c r="B219" s="20">
        <f t="shared" si="3"/>
        <v>1.9193857965451055E-3</v>
      </c>
      <c r="C219" s="21">
        <f>VLOOKUP(A219,Transcriptome!B:L,11,FALSE)</f>
        <v>3.6919831223629265E-3</v>
      </c>
      <c r="D219" s="21">
        <f>VLOOKUP(A219,Proteome!B:I,8,FALSE)</f>
        <v>4.1190498312118524E-3</v>
      </c>
      <c r="E219" s="21">
        <f>VLOOKUP(A219,'Consensus Phospho site'!$B$2:$G$522,6,FALSE)</f>
        <v>1.1391765381024643E-3</v>
      </c>
      <c r="F219" s="21">
        <f>VLOOKUP(A219,'AVP Regulation (PTM &amp; Ca-cAMP'!B:K,10,FALSE)</f>
        <v>1.0765228893453527E-3</v>
      </c>
      <c r="G219" s="21">
        <f>VLOOKUP(A219,'AQP2 Colocalization'!A:F,6,FALSE)</f>
        <v>7.9475562870361734E-4</v>
      </c>
    </row>
    <row r="220" spans="1:7" ht="15">
      <c r="A220" s="14" t="s">
        <v>322</v>
      </c>
      <c r="B220" s="20">
        <f t="shared" si="3"/>
        <v>1.9193857965451055E-3</v>
      </c>
      <c r="C220" s="21">
        <f>VLOOKUP(A220,Transcriptome!B:L,11,FALSE)</f>
        <v>3.6919831223629265E-3</v>
      </c>
      <c r="D220" s="21">
        <f>VLOOKUP(A220,Proteome!B:I,8,FALSE)</f>
        <v>4.1190498312118524E-3</v>
      </c>
      <c r="E220" s="21">
        <f>VLOOKUP(A220,'Consensus Phospho site'!$B$2:$G$522,6,FALSE)</f>
        <v>1.1391765381024643E-3</v>
      </c>
      <c r="F220" s="21">
        <f>VLOOKUP(A220,'AVP Regulation (PTM &amp; Ca-cAMP'!B:K,10,FALSE)</f>
        <v>1.0765228893453527E-3</v>
      </c>
      <c r="G220" s="21">
        <f>VLOOKUP(A220,'AQP2 Colocalization'!A:F,6,FALSE)</f>
        <v>7.9475562870361734E-4</v>
      </c>
    </row>
    <row r="221" spans="1:7" ht="15">
      <c r="A221" s="14" t="s">
        <v>82</v>
      </c>
      <c r="B221" s="20">
        <f t="shared" si="3"/>
        <v>1.9193857965451055E-3</v>
      </c>
      <c r="C221" s="21">
        <f>VLOOKUP(A221,Transcriptome!B:L,11,FALSE)</f>
        <v>3.6919831223629265E-3</v>
      </c>
      <c r="D221" s="21">
        <f>VLOOKUP(A221,Proteome!B:I,8,FALSE)</f>
        <v>4.1190498312118524E-3</v>
      </c>
      <c r="E221" s="21">
        <f>VLOOKUP(A221,'Consensus Phospho site'!$B$2:$G$522,6,FALSE)</f>
        <v>1.1391765381024643E-3</v>
      </c>
      <c r="F221" s="21">
        <f>VLOOKUP(A221,'AVP Regulation (PTM &amp; Ca-cAMP'!B:K,10,FALSE)</f>
        <v>1.0765228893453527E-3</v>
      </c>
      <c r="G221" s="21">
        <f>VLOOKUP(A221,'AQP2 Colocalization'!A:F,6,FALSE)</f>
        <v>3.9737781435180867E-4</v>
      </c>
    </row>
    <row r="222" spans="1:7" ht="15">
      <c r="A222" s="14" t="s">
        <v>84</v>
      </c>
      <c r="B222" s="20">
        <f t="shared" si="3"/>
        <v>1.9193857965451055E-3</v>
      </c>
      <c r="C222" s="21">
        <f>VLOOKUP(A222,Transcriptome!B:L,11,FALSE)</f>
        <v>3.6919831223629265E-3</v>
      </c>
      <c r="D222" s="21">
        <f>VLOOKUP(A222,Proteome!B:I,8,FALSE)</f>
        <v>4.1190498312118524E-3</v>
      </c>
      <c r="E222" s="21">
        <f>VLOOKUP(A222,'Consensus Phospho site'!$B$2:$G$522,6,FALSE)</f>
        <v>1.1391765381024643E-3</v>
      </c>
      <c r="F222" s="21">
        <f>VLOOKUP(A222,'AVP Regulation (PTM &amp; Ca-cAMP'!B:K,10,FALSE)</f>
        <v>1.0765228893453527E-3</v>
      </c>
      <c r="G222" s="21">
        <f>VLOOKUP(A222,'AQP2 Colocalization'!A:F,6,FALSE)</f>
        <v>3.9737781435180867E-4</v>
      </c>
    </row>
    <row r="223" spans="1:7" ht="15">
      <c r="A223" s="14" t="s">
        <v>51</v>
      </c>
      <c r="B223" s="20">
        <f t="shared" si="3"/>
        <v>1.9193857965451055E-3</v>
      </c>
      <c r="C223" s="21">
        <f>VLOOKUP(A223,Transcriptome!B:L,11,FALSE)</f>
        <v>3.6919831223629265E-3</v>
      </c>
      <c r="D223" s="21">
        <f>VLOOKUP(A223,Proteome!B:I,8,FALSE)</f>
        <v>4.1190498312118524E-3</v>
      </c>
      <c r="E223" s="21">
        <f>VLOOKUP(A223,'Consensus Phospho site'!$B$2:$G$522,6,FALSE)</f>
        <v>1.1391765381024643E-3</v>
      </c>
      <c r="F223" s="21">
        <f>VLOOKUP(A223,'AVP Regulation (PTM &amp; Ca-cAMP'!B:K,10,FALSE)</f>
        <v>1.0765228893453527E-3</v>
      </c>
      <c r="G223" s="21">
        <f>VLOOKUP(A223,'AQP2 Colocalization'!A:F,6,FALSE)</f>
        <v>3.9737781435180867E-4</v>
      </c>
    </row>
    <row r="224" spans="1:7" ht="15">
      <c r="A224" s="14" t="s">
        <v>368</v>
      </c>
      <c r="B224" s="20">
        <f t="shared" si="3"/>
        <v>1.9193857965451055E-3</v>
      </c>
      <c r="C224" s="21">
        <f>VLOOKUP(A224,Transcriptome!B:L,11,FALSE)</f>
        <v>3.6919831223629265E-3</v>
      </c>
      <c r="D224" s="21">
        <f>VLOOKUP(A224,Proteome!B:I,8,FALSE)</f>
        <v>4.1190498312118524E-3</v>
      </c>
      <c r="E224" s="21">
        <f>VLOOKUP(A224,'Consensus Phospho site'!$B$2:$G$522,6,FALSE)</f>
        <v>1.1391765381024643E-3</v>
      </c>
      <c r="F224" s="21">
        <f>VLOOKUP(A224,'AVP Regulation (PTM &amp; Ca-cAMP'!B:K,10,FALSE)</f>
        <v>1.0765228893453527E-3</v>
      </c>
      <c r="G224" s="21">
        <f>VLOOKUP(A224,'AQP2 Colocalization'!A:F,6,FALSE)</f>
        <v>3.9737781435180867E-4</v>
      </c>
    </row>
    <row r="225" spans="1:7" ht="15">
      <c r="A225" s="14" t="s">
        <v>65</v>
      </c>
      <c r="B225" s="20">
        <f t="shared" si="3"/>
        <v>1.9193857965451055E-3</v>
      </c>
      <c r="C225" s="21">
        <f>VLOOKUP(A225,Transcriptome!B:L,11,FALSE)</f>
        <v>3.6919831223629265E-3</v>
      </c>
      <c r="D225" s="21">
        <f>VLOOKUP(A225,Proteome!B:I,8,FALSE)</f>
        <v>4.1190498312118524E-3</v>
      </c>
      <c r="E225" s="21">
        <f>VLOOKUP(A225,'Consensus Phospho site'!$B$2:$G$522,6,FALSE)</f>
        <v>1.1391765381024643E-3</v>
      </c>
      <c r="F225" s="21">
        <f>VLOOKUP(A225,'AVP Regulation (PTM &amp; Ca-cAMP'!B:K,10,FALSE)</f>
        <v>2.153045778690705E-4</v>
      </c>
      <c r="G225" s="21">
        <f>VLOOKUP(A225,'AQP2 Colocalization'!A:F,6,FALSE)</f>
        <v>3.5764003291662775E-4</v>
      </c>
    </row>
    <row r="226" spans="1:7" ht="15">
      <c r="A226" s="14" t="s">
        <v>268</v>
      </c>
      <c r="B226" s="20">
        <f t="shared" si="3"/>
        <v>1.9193857965451055E-3</v>
      </c>
      <c r="C226" s="21">
        <f>VLOOKUP(A226,Transcriptome!B:L,11,FALSE)</f>
        <v>5.2742616033756105E-4</v>
      </c>
      <c r="D226" s="21">
        <f>VLOOKUP(A226,Proteome!B:I,8,FALSE)</f>
        <v>5.8843569017312199E-4</v>
      </c>
      <c r="E226" s="21">
        <f>VLOOKUP(A226,'Consensus Phospho site'!$B$2:$G$522,6,FALSE)</f>
        <v>4.8821851632962771E-4</v>
      </c>
      <c r="F226" s="21">
        <f>VLOOKUP(A226,'AVP Regulation (PTM &amp; Ca-cAMP'!B:K,10,FALSE)</f>
        <v>1.8454678103063197E-4</v>
      </c>
      <c r="G226" s="21">
        <f>VLOOKUP(A226,'AQP2 Colocalization'!A:F,6,FALSE)</f>
        <v>2.0436573309521593E-4</v>
      </c>
    </row>
    <row r="227" spans="1:7" ht="15">
      <c r="A227" s="14" t="s">
        <v>500</v>
      </c>
      <c r="B227" s="20">
        <f t="shared" si="3"/>
        <v>1.9193857965451055E-3</v>
      </c>
      <c r="C227" s="21">
        <f>VLOOKUP(A227,Transcriptome!B:L,11,FALSE)</f>
        <v>5.2742616033756105E-4</v>
      </c>
      <c r="D227" s="21">
        <f>VLOOKUP(A227,Proteome!B:I,8,FALSE)</f>
        <v>5.8843569017312199E-4</v>
      </c>
      <c r="E227" s="21">
        <f>VLOOKUP(A227,'Consensus Phospho site'!$B$2:$G$522,6,FALSE)</f>
        <v>8.1369752721604616E-4</v>
      </c>
      <c r="F227" s="21">
        <f>VLOOKUP(A227,'AVP Regulation (PTM &amp; Ca-cAMP'!B:K,10,FALSE)</f>
        <v>7.6894492096096648E-4</v>
      </c>
      <c r="G227" s="21">
        <f>VLOOKUP(A227,'AQP2 Colocalization'!A:F,6,FALSE)</f>
        <v>5.6768259193115548E-4</v>
      </c>
    </row>
    <row r="228" spans="1:7" ht="15">
      <c r="A228" s="14" t="s">
        <v>446</v>
      </c>
      <c r="B228" s="20">
        <f t="shared" si="3"/>
        <v>1.9193857965451055E-3</v>
      </c>
      <c r="C228" s="21">
        <f>VLOOKUP(A228,Transcriptome!B:L,11,FALSE)</f>
        <v>5.2742616033756105E-4</v>
      </c>
      <c r="D228" s="21">
        <f>VLOOKUP(A228,Proteome!B:I,8,FALSE)</f>
        <v>5.8843569017312199E-4</v>
      </c>
      <c r="E228" s="21">
        <f>VLOOKUP(A228,'Consensus Phospho site'!$B$2:$G$522,6,FALSE)</f>
        <v>8.1369752721604616E-4</v>
      </c>
      <c r="F228" s="21">
        <f>VLOOKUP(A228,'AVP Regulation (PTM &amp; Ca-cAMP'!B:K,10,FALSE)</f>
        <v>7.6894492096096648E-4</v>
      </c>
      <c r="G228" s="21">
        <f>VLOOKUP(A228,'AQP2 Colocalization'!A:F,6,FALSE)</f>
        <v>5.6768259193115548E-4</v>
      </c>
    </row>
    <row r="229" spans="1:7" ht="15">
      <c r="A229" s="14" t="s">
        <v>502</v>
      </c>
      <c r="B229" s="20">
        <f t="shared" si="3"/>
        <v>1.9193857965451055E-3</v>
      </c>
      <c r="C229" s="21">
        <f>VLOOKUP(A229,Transcriptome!B:L,11,FALSE)</f>
        <v>5.2742616033756105E-4</v>
      </c>
      <c r="D229" s="21">
        <f>VLOOKUP(A229,Proteome!B:I,8,FALSE)</f>
        <v>5.8843569017312199E-4</v>
      </c>
      <c r="E229" s="21">
        <f>VLOOKUP(A229,'Consensus Phospho site'!$B$2:$G$522,6,FALSE)</f>
        <v>8.1369752721604616E-4</v>
      </c>
      <c r="F229" s="21">
        <f>VLOOKUP(A229,'AVP Regulation (PTM &amp; Ca-cAMP'!B:K,10,FALSE)</f>
        <v>7.6894492096096648E-4</v>
      </c>
      <c r="G229" s="21">
        <f>VLOOKUP(A229,'AQP2 Colocalization'!A:F,6,FALSE)</f>
        <v>5.6768259193115548E-4</v>
      </c>
    </row>
    <row r="230" spans="1:7" ht="15">
      <c r="A230" s="14" t="s">
        <v>456</v>
      </c>
      <c r="B230" s="20">
        <f t="shared" si="3"/>
        <v>1.9193857965451055E-3</v>
      </c>
      <c r="C230" s="21">
        <f>VLOOKUP(A230,Transcriptome!B:L,11,FALSE)</f>
        <v>5.2742616033756105E-4</v>
      </c>
      <c r="D230" s="21">
        <f>VLOOKUP(A230,Proteome!B:I,8,FALSE)</f>
        <v>5.8843569017312199E-4</v>
      </c>
      <c r="E230" s="21">
        <f>VLOOKUP(A230,'Consensus Phospho site'!$B$2:$G$522,6,FALSE)</f>
        <v>8.1369752721604616E-4</v>
      </c>
      <c r="F230" s="21">
        <f>VLOOKUP(A230,'AVP Regulation (PTM &amp; Ca-cAMP'!B:K,10,FALSE)</f>
        <v>7.6894492096096648E-4</v>
      </c>
      <c r="G230" s="21">
        <f>VLOOKUP(A230,'AQP2 Colocalization'!A:F,6,FALSE)</f>
        <v>5.6768259193115548E-4</v>
      </c>
    </row>
    <row r="231" spans="1:7" ht="15">
      <c r="A231" s="14" t="s">
        <v>482</v>
      </c>
      <c r="B231" s="20">
        <f t="shared" si="3"/>
        <v>1.9193857965451055E-3</v>
      </c>
      <c r="C231" s="21">
        <f>VLOOKUP(A231,Transcriptome!B:L,11,FALSE)</f>
        <v>5.2742616033756105E-4</v>
      </c>
      <c r="D231" s="21">
        <f>VLOOKUP(A231,Proteome!B:I,8,FALSE)</f>
        <v>5.8843569017312199E-4</v>
      </c>
      <c r="E231" s="21">
        <f>VLOOKUP(A231,'Consensus Phospho site'!$B$2:$G$522,6,FALSE)</f>
        <v>8.1369752721604616E-4</v>
      </c>
      <c r="F231" s="21">
        <f>VLOOKUP(A231,'AVP Regulation (PTM &amp; Ca-cAMP'!B:K,10,FALSE)</f>
        <v>7.6894492096096648E-4</v>
      </c>
      <c r="G231" s="21">
        <f>VLOOKUP(A231,'AQP2 Colocalization'!A:F,6,FALSE)</f>
        <v>5.6768259193115548E-4</v>
      </c>
    </row>
    <row r="232" spans="1:7" ht="15">
      <c r="A232" s="14" t="s">
        <v>504</v>
      </c>
      <c r="B232" s="20">
        <f t="shared" si="3"/>
        <v>1.9193857965451055E-3</v>
      </c>
      <c r="C232" s="21">
        <f>VLOOKUP(A232,Transcriptome!B:L,11,FALSE)</f>
        <v>5.2742616033756105E-4</v>
      </c>
      <c r="D232" s="21">
        <f>VLOOKUP(A232,Proteome!B:I,8,FALSE)</f>
        <v>5.8843569017312199E-4</v>
      </c>
      <c r="E232" s="21">
        <f>VLOOKUP(A232,'Consensus Phospho site'!$B$2:$G$522,6,FALSE)</f>
        <v>8.1369752721604616E-4</v>
      </c>
      <c r="F232" s="21">
        <f>VLOOKUP(A232,'AVP Regulation (PTM &amp; Ca-cAMP'!B:K,10,FALSE)</f>
        <v>7.6894492096096648E-4</v>
      </c>
      <c r="G232" s="21">
        <f>VLOOKUP(A232,'AQP2 Colocalization'!A:F,6,FALSE)</f>
        <v>5.6768259193115548E-4</v>
      </c>
    </row>
    <row r="233" spans="1:7" ht="15">
      <c r="A233" s="14" t="s">
        <v>509</v>
      </c>
      <c r="B233" s="20">
        <f t="shared" si="3"/>
        <v>1.9193857965451055E-3</v>
      </c>
      <c r="C233" s="21">
        <f>VLOOKUP(A233,Transcriptome!B:L,11,FALSE)</f>
        <v>5.2742616033756105E-4</v>
      </c>
      <c r="D233" s="21">
        <f>VLOOKUP(A233,Proteome!B:I,8,FALSE)</f>
        <v>5.8843569017312199E-4</v>
      </c>
      <c r="E233" s="21">
        <f>VLOOKUP(A233,'Consensus Phospho site'!$B$2:$G$522,6,FALSE)</f>
        <v>8.1369752721604616E-4</v>
      </c>
      <c r="F233" s="21">
        <f>VLOOKUP(A233,'AVP Regulation (PTM &amp; Ca-cAMP'!B:K,10,FALSE)</f>
        <v>7.6894492096096648E-4</v>
      </c>
      <c r="G233" s="21">
        <f>VLOOKUP(A233,'AQP2 Colocalization'!A:F,6,FALSE)</f>
        <v>5.6768259193115548E-4</v>
      </c>
    </row>
    <row r="234" spans="1:7" ht="15">
      <c r="A234" s="14" t="s">
        <v>451</v>
      </c>
      <c r="B234" s="20">
        <f t="shared" si="3"/>
        <v>1.9193857965451055E-3</v>
      </c>
      <c r="C234" s="21">
        <f>VLOOKUP(A234,Transcriptome!B:L,11,FALSE)</f>
        <v>5.2742616033756105E-4</v>
      </c>
      <c r="D234" s="21">
        <f>VLOOKUP(A234,Proteome!B:I,8,FALSE)</f>
        <v>5.8843569017312199E-4</v>
      </c>
      <c r="E234" s="21">
        <f>VLOOKUP(A234,'Consensus Phospho site'!$B$2:$G$522,6,FALSE)</f>
        <v>8.1369752721604616E-4</v>
      </c>
      <c r="F234" s="21">
        <f>VLOOKUP(A234,'AVP Regulation (PTM &amp; Ca-cAMP'!B:K,10,FALSE)</f>
        <v>7.6894492096096648E-4</v>
      </c>
      <c r="G234" s="21">
        <f>VLOOKUP(A234,'AQP2 Colocalization'!A:F,6,FALSE)</f>
        <v>5.6768259193115548E-4</v>
      </c>
    </row>
    <row r="235" spans="1:7" ht="15">
      <c r="A235" s="14" t="s">
        <v>499</v>
      </c>
      <c r="B235" s="20">
        <f t="shared" si="3"/>
        <v>1.9193857965451055E-3</v>
      </c>
      <c r="C235" s="21">
        <f>VLOOKUP(A235,Transcriptome!B:L,11,FALSE)</f>
        <v>5.2742616033756105E-4</v>
      </c>
      <c r="D235" s="21">
        <f>VLOOKUP(A235,Proteome!B:I,8,FALSE)</f>
        <v>5.8843569017312199E-4</v>
      </c>
      <c r="E235" s="21">
        <f>VLOOKUP(A235,'Consensus Phospho site'!$B$2:$G$522,6,FALSE)</f>
        <v>8.1369752721604616E-4</v>
      </c>
      <c r="F235" s="21">
        <f>VLOOKUP(A235,'AVP Regulation (PTM &amp; Ca-cAMP'!B:K,10,FALSE)</f>
        <v>7.6894492096096648E-4</v>
      </c>
      <c r="G235" s="21">
        <f>VLOOKUP(A235,'AQP2 Colocalization'!A:F,6,FALSE)</f>
        <v>5.6768259193115548E-4</v>
      </c>
    </row>
    <row r="236" spans="1:7" ht="15">
      <c r="A236" s="14" t="s">
        <v>432</v>
      </c>
      <c r="B236" s="20">
        <f t="shared" si="3"/>
        <v>1.9193857965451055E-3</v>
      </c>
      <c r="C236" s="21">
        <f>VLOOKUP(A236,Transcriptome!B:L,11,FALSE)</f>
        <v>5.2742616033756105E-4</v>
      </c>
      <c r="D236" s="21">
        <f>VLOOKUP(A236,Proteome!B:I,8,FALSE)</f>
        <v>5.8843569017312199E-4</v>
      </c>
      <c r="E236" s="21">
        <f>VLOOKUP(A236,'Consensus Phospho site'!$B$2:$G$522,6,FALSE)</f>
        <v>8.1369752721604616E-4</v>
      </c>
      <c r="F236" s="21">
        <f>VLOOKUP(A236,'AVP Regulation (PTM &amp; Ca-cAMP'!B:K,10,FALSE)</f>
        <v>7.6894492096096648E-4</v>
      </c>
      <c r="G236" s="21">
        <f>VLOOKUP(A236,'AQP2 Colocalization'!A:F,6,FALSE)</f>
        <v>5.6768259193115548E-4</v>
      </c>
    </row>
    <row r="237" spans="1:7" ht="15">
      <c r="A237" s="14" t="s">
        <v>435</v>
      </c>
      <c r="B237" s="20">
        <f t="shared" si="3"/>
        <v>1.9193857965451055E-3</v>
      </c>
      <c r="C237" s="21">
        <f>VLOOKUP(A237,Transcriptome!B:L,11,FALSE)</f>
        <v>5.2742616033756105E-4</v>
      </c>
      <c r="D237" s="21">
        <f>VLOOKUP(A237,Proteome!B:I,8,FALSE)</f>
        <v>5.8843569017312199E-4</v>
      </c>
      <c r="E237" s="21">
        <f>VLOOKUP(A237,'Consensus Phospho site'!$B$2:$G$522,6,FALSE)</f>
        <v>8.1369752721604616E-4</v>
      </c>
      <c r="F237" s="21">
        <f>VLOOKUP(A237,'AVP Regulation (PTM &amp; Ca-cAMP'!B:K,10,FALSE)</f>
        <v>7.6894492096096648E-4</v>
      </c>
      <c r="G237" s="21">
        <f>VLOOKUP(A237,'AQP2 Colocalization'!A:F,6,FALSE)</f>
        <v>5.6768259193115548E-4</v>
      </c>
    </row>
    <row r="238" spans="1:7" ht="15">
      <c r="A238" s="14" t="s">
        <v>453</v>
      </c>
      <c r="B238" s="20">
        <f t="shared" si="3"/>
        <v>1.9193857965451055E-3</v>
      </c>
      <c r="C238" s="21">
        <f>VLOOKUP(A238,Transcriptome!B:L,11,FALSE)</f>
        <v>5.2742616033756105E-4</v>
      </c>
      <c r="D238" s="21">
        <f>VLOOKUP(A238,Proteome!B:I,8,FALSE)</f>
        <v>5.8843569017312199E-4</v>
      </c>
      <c r="E238" s="21">
        <f>VLOOKUP(A238,'Consensus Phospho site'!$B$2:$G$522,6,FALSE)</f>
        <v>8.1369752721604616E-4</v>
      </c>
      <c r="F238" s="21">
        <f>VLOOKUP(A238,'AVP Regulation (PTM &amp; Ca-cAMP'!B:K,10,FALSE)</f>
        <v>7.6894492096096648E-4</v>
      </c>
      <c r="G238" s="21">
        <f>VLOOKUP(A238,'AQP2 Colocalization'!A:F,6,FALSE)</f>
        <v>5.6768259193115548E-4</v>
      </c>
    </row>
    <row r="239" spans="1:7" ht="15">
      <c r="A239" s="14" t="s">
        <v>484</v>
      </c>
      <c r="B239" s="20">
        <f t="shared" si="3"/>
        <v>1.9193857965451055E-3</v>
      </c>
      <c r="C239" s="21">
        <f>VLOOKUP(A239,Transcriptome!B:L,11,FALSE)</f>
        <v>5.2742616033756105E-4</v>
      </c>
      <c r="D239" s="21">
        <f>VLOOKUP(A239,Proteome!B:I,8,FALSE)</f>
        <v>5.8843569017312199E-4</v>
      </c>
      <c r="E239" s="21">
        <f>VLOOKUP(A239,'Consensus Phospho site'!$B$2:$G$522,6,FALSE)</f>
        <v>8.1369752721604616E-4</v>
      </c>
      <c r="F239" s="21">
        <f>VLOOKUP(A239,'AVP Regulation (PTM &amp; Ca-cAMP'!B:K,10,FALSE)</f>
        <v>7.6894492096096648E-4</v>
      </c>
      <c r="G239" s="21">
        <f>VLOOKUP(A239,'AQP2 Colocalization'!A:F,6,FALSE)</f>
        <v>5.6768259193115548E-4</v>
      </c>
    </row>
    <row r="240" spans="1:7" ht="15">
      <c r="A240" s="14" t="s">
        <v>488</v>
      </c>
      <c r="B240" s="20">
        <f t="shared" si="3"/>
        <v>1.9193857965451055E-3</v>
      </c>
      <c r="C240" s="21">
        <f>VLOOKUP(A240,Transcriptome!B:L,11,FALSE)</f>
        <v>5.2742616033756105E-4</v>
      </c>
      <c r="D240" s="21">
        <f>VLOOKUP(A240,Proteome!B:I,8,FALSE)</f>
        <v>5.8843569017312199E-4</v>
      </c>
      <c r="E240" s="21">
        <f>VLOOKUP(A240,'Consensus Phospho site'!$B$2:$G$522,6,FALSE)</f>
        <v>8.1369752721604616E-4</v>
      </c>
      <c r="F240" s="21">
        <f>VLOOKUP(A240,'AVP Regulation (PTM &amp; Ca-cAMP'!B:K,10,FALSE)</f>
        <v>7.6894492096096648E-4</v>
      </c>
      <c r="G240" s="21">
        <f>VLOOKUP(A240,'AQP2 Colocalization'!A:F,6,FALSE)</f>
        <v>5.6768259193115548E-4</v>
      </c>
    </row>
    <row r="241" spans="1:7" ht="15">
      <c r="A241" s="14" t="s">
        <v>457</v>
      </c>
      <c r="B241" s="20">
        <f t="shared" si="3"/>
        <v>1.9193857965451055E-3</v>
      </c>
      <c r="C241" s="21">
        <f>VLOOKUP(A241,Transcriptome!B:L,11,FALSE)</f>
        <v>5.2742616033756105E-4</v>
      </c>
      <c r="D241" s="21">
        <f>VLOOKUP(A241,Proteome!B:I,8,FALSE)</f>
        <v>5.8843569017312199E-4</v>
      </c>
      <c r="E241" s="21">
        <f>VLOOKUP(A241,'Consensus Phospho site'!$B$2:$G$522,6,FALSE)</f>
        <v>8.1369752721604616E-4</v>
      </c>
      <c r="F241" s="21">
        <f>VLOOKUP(A241,'AVP Regulation (PTM &amp; Ca-cAMP'!B:K,10,FALSE)</f>
        <v>7.6894492096096648E-4</v>
      </c>
      <c r="G241" s="21">
        <f>VLOOKUP(A241,'AQP2 Colocalization'!A:F,6,FALSE)</f>
        <v>5.6768259193115548E-4</v>
      </c>
    </row>
    <row r="242" spans="1:7" ht="15">
      <c r="A242" s="14" t="s">
        <v>491</v>
      </c>
      <c r="B242" s="20">
        <f t="shared" si="3"/>
        <v>1.9193857965451055E-3</v>
      </c>
      <c r="C242" s="21">
        <f>VLOOKUP(A242,Transcriptome!B:L,11,FALSE)</f>
        <v>5.2742616033756105E-4</v>
      </c>
      <c r="D242" s="21">
        <f>VLOOKUP(A242,Proteome!B:I,8,FALSE)</f>
        <v>5.8843569017312199E-4</v>
      </c>
      <c r="E242" s="21">
        <f>VLOOKUP(A242,'Consensus Phospho site'!$B$2:$G$522,6,FALSE)</f>
        <v>8.1369752721604616E-4</v>
      </c>
      <c r="F242" s="21">
        <f>VLOOKUP(A242,'AVP Regulation (PTM &amp; Ca-cAMP'!B:K,10,FALSE)</f>
        <v>7.6894492096096648E-4</v>
      </c>
      <c r="G242" s="21">
        <f>VLOOKUP(A242,'AQP2 Colocalization'!A:F,6,FALSE)</f>
        <v>5.6768259193115548E-4</v>
      </c>
    </row>
    <row r="243" spans="1:7" ht="15">
      <c r="A243" s="14" t="s">
        <v>490</v>
      </c>
      <c r="B243" s="20">
        <f t="shared" si="3"/>
        <v>1.9193857965451055E-3</v>
      </c>
      <c r="C243" s="21">
        <f>VLOOKUP(A243,Transcriptome!B:L,11,FALSE)</f>
        <v>5.2742616033756105E-4</v>
      </c>
      <c r="D243" s="21">
        <f>VLOOKUP(A243,Proteome!B:I,8,FALSE)</f>
        <v>5.8843569017312199E-4</v>
      </c>
      <c r="E243" s="21">
        <f>VLOOKUP(A243,'Consensus Phospho site'!$B$2:$G$522,6,FALSE)</f>
        <v>8.1369752721604616E-4</v>
      </c>
      <c r="F243" s="21">
        <f>VLOOKUP(A243,'AVP Regulation (PTM &amp; Ca-cAMP'!B:K,10,FALSE)</f>
        <v>7.6894492096096648E-4</v>
      </c>
      <c r="G243" s="21">
        <f>VLOOKUP(A243,'AQP2 Colocalization'!A:F,6,FALSE)</f>
        <v>2.8384129596557774E-4</v>
      </c>
    </row>
    <row r="244" spans="1:7" ht="15">
      <c r="A244" s="14" t="s">
        <v>105</v>
      </c>
      <c r="B244" s="20">
        <f t="shared" si="3"/>
        <v>1.9193857965451055E-3</v>
      </c>
      <c r="C244" s="21">
        <f>VLOOKUP(A244,Transcriptome!B:L,11,FALSE)</f>
        <v>5.0105485232068295E-3</v>
      </c>
      <c r="D244" s="21">
        <f>VLOOKUP(A244,Proteome!B:I,8,FALSE)</f>
        <v>2.9421784508656093E-3</v>
      </c>
      <c r="E244" s="21">
        <f>VLOOKUP(A244,'Consensus Phospho site'!$B$2:$G$522,6,FALSE)</f>
        <v>8.1369752721604605E-4</v>
      </c>
      <c r="F244" s="21">
        <f>VLOOKUP(A244,'AVP Regulation (PTM &amp; Ca-cAMP'!B:K,10,FALSE)</f>
        <v>7.6894492096096637E-4</v>
      </c>
      <c r="G244" s="21">
        <f>VLOOKUP(A244,'AQP2 Colocalization'!A:F,6,FALSE)</f>
        <v>5.6768259193115537E-4</v>
      </c>
    </row>
    <row r="245" spans="1:7" ht="15">
      <c r="A245" s="14" t="s">
        <v>18</v>
      </c>
      <c r="B245" s="20">
        <f t="shared" si="3"/>
        <v>1.9193857965451055E-3</v>
      </c>
      <c r="C245" s="21">
        <f>VLOOKUP(A245,Transcriptome!B:L,11,FALSE)</f>
        <v>5.0105485232068295E-3</v>
      </c>
      <c r="D245" s="21">
        <f>VLOOKUP(A245,Proteome!B:I,8,FALSE)</f>
        <v>2.9421784508656093E-3</v>
      </c>
      <c r="E245" s="21">
        <f>VLOOKUP(A245,'Consensus Phospho site'!$B$2:$G$522,6,FALSE)</f>
        <v>8.1369752721604605E-4</v>
      </c>
      <c r="F245" s="21">
        <f>VLOOKUP(A245,'AVP Regulation (PTM &amp; Ca-cAMP'!B:K,10,FALSE)</f>
        <v>7.6894492096096637E-4</v>
      </c>
      <c r="G245" s="21">
        <f>VLOOKUP(A245,'AQP2 Colocalization'!A:F,6,FALSE)</f>
        <v>5.6768259193115537E-4</v>
      </c>
    </row>
    <row r="246" spans="1:7" ht="15">
      <c r="A246" s="14" t="s">
        <v>54</v>
      </c>
      <c r="B246" s="20">
        <f t="shared" si="3"/>
        <v>1.9193857965451055E-3</v>
      </c>
      <c r="C246" s="21">
        <f>VLOOKUP(A246,Transcriptome!B:L,11,FALSE)</f>
        <v>5.0105485232068295E-3</v>
      </c>
      <c r="D246" s="21">
        <f>VLOOKUP(A246,Proteome!B:I,8,FALSE)</f>
        <v>2.9421784508656093E-3</v>
      </c>
      <c r="E246" s="21">
        <f>VLOOKUP(A246,'Consensus Phospho site'!$B$2:$G$522,6,FALSE)</f>
        <v>8.1369752721604605E-4</v>
      </c>
      <c r="F246" s="21">
        <f>VLOOKUP(A246,'AVP Regulation (PTM &amp; Ca-cAMP'!B:K,10,FALSE)</f>
        <v>7.6894492096096637E-4</v>
      </c>
      <c r="G246" s="21">
        <f>VLOOKUP(A246,'AQP2 Colocalization'!A:F,6,FALSE)</f>
        <v>5.6768259193115537E-4</v>
      </c>
    </row>
    <row r="247" spans="1:7" ht="15">
      <c r="A247" s="14" t="s">
        <v>330</v>
      </c>
      <c r="B247" s="20">
        <f t="shared" si="3"/>
        <v>1.9193857965451055E-3</v>
      </c>
      <c r="C247" s="21">
        <f>VLOOKUP(A247,Transcriptome!B:L,11,FALSE)</f>
        <v>5.0105485232068295E-3</v>
      </c>
      <c r="D247" s="21">
        <f>VLOOKUP(A247,Proteome!B:I,8,FALSE)</f>
        <v>2.9421784508656093E-3</v>
      </c>
      <c r="E247" s="21">
        <f>VLOOKUP(A247,'Consensus Phospho site'!$B$2:$G$522,6,FALSE)</f>
        <v>8.1369752721604605E-4</v>
      </c>
      <c r="F247" s="21">
        <f>VLOOKUP(A247,'AVP Regulation (PTM &amp; Ca-cAMP'!B:K,10,FALSE)</f>
        <v>7.6894492096096637E-4</v>
      </c>
      <c r="G247" s="21">
        <f>VLOOKUP(A247,'AQP2 Colocalization'!A:F,6,FALSE)</f>
        <v>5.6768259193115537E-4</v>
      </c>
    </row>
    <row r="248" spans="1:7" ht="15">
      <c r="A248" s="14" t="s">
        <v>395</v>
      </c>
      <c r="B248" s="20">
        <f t="shared" si="3"/>
        <v>1.9193857965451055E-3</v>
      </c>
      <c r="C248" s="21">
        <f>VLOOKUP(A248,Transcriptome!B:L,11,FALSE)</f>
        <v>5.0105485232068295E-3</v>
      </c>
      <c r="D248" s="21">
        <f>VLOOKUP(A248,Proteome!B:I,8,FALSE)</f>
        <v>2.9421784508656093E-3</v>
      </c>
      <c r="E248" s="21">
        <f>VLOOKUP(A248,'Consensus Phospho site'!$B$2:$G$522,6,FALSE)</f>
        <v>8.1369752721604605E-4</v>
      </c>
      <c r="F248" s="21">
        <f>VLOOKUP(A248,'AVP Regulation (PTM &amp; Ca-cAMP'!B:K,10,FALSE)</f>
        <v>7.6894492096096637E-4</v>
      </c>
      <c r="G248" s="21">
        <f>VLOOKUP(A248,'AQP2 Colocalization'!A:F,6,FALSE)</f>
        <v>5.6768259193115537E-4</v>
      </c>
    </row>
    <row r="249" spans="1:7" ht="15">
      <c r="A249" s="14" t="s">
        <v>348</v>
      </c>
      <c r="B249" s="20">
        <f t="shared" si="3"/>
        <v>1.9193857965451055E-3</v>
      </c>
      <c r="C249" s="21">
        <f>VLOOKUP(A249,Transcriptome!B:L,11,FALSE)</f>
        <v>5.0105485232068295E-3</v>
      </c>
      <c r="D249" s="21">
        <f>VLOOKUP(A249,Proteome!B:I,8,FALSE)</f>
        <v>2.9421784508656093E-3</v>
      </c>
      <c r="E249" s="21">
        <f>VLOOKUP(A249,'Consensus Phospho site'!$B$2:$G$522,6,FALSE)</f>
        <v>8.1369752721604605E-4</v>
      </c>
      <c r="F249" s="21">
        <f>VLOOKUP(A249,'AVP Regulation (PTM &amp; Ca-cAMP'!B:K,10,FALSE)</f>
        <v>7.6894492096096637E-4</v>
      </c>
      <c r="G249" s="21">
        <f>VLOOKUP(A249,'AQP2 Colocalization'!A:F,6,FALSE)</f>
        <v>5.6768259193115537E-4</v>
      </c>
    </row>
    <row r="250" spans="1:7" ht="15">
      <c r="A250" s="14" t="s">
        <v>407</v>
      </c>
      <c r="B250" s="20">
        <f t="shared" si="3"/>
        <v>1.9193857965451055E-3</v>
      </c>
      <c r="C250" s="21">
        <f>VLOOKUP(A250,Transcriptome!B:L,11,FALSE)</f>
        <v>5.0105485232068295E-3</v>
      </c>
      <c r="D250" s="21">
        <f>VLOOKUP(A250,Proteome!B:I,8,FALSE)</f>
        <v>2.9421784508656093E-3</v>
      </c>
      <c r="E250" s="21">
        <f>VLOOKUP(A250,'Consensus Phospho site'!$B$2:$G$522,6,FALSE)</f>
        <v>8.1369752721604605E-4</v>
      </c>
      <c r="F250" s="21">
        <f>VLOOKUP(A250,'AVP Regulation (PTM &amp; Ca-cAMP'!B:K,10,FALSE)</f>
        <v>7.6894492096096637E-4</v>
      </c>
      <c r="G250" s="21">
        <f>VLOOKUP(A250,'AQP2 Colocalization'!A:F,6,FALSE)</f>
        <v>5.6768259193115537E-4</v>
      </c>
    </row>
    <row r="251" spans="1:7" ht="15">
      <c r="A251" s="14" t="s">
        <v>396</v>
      </c>
      <c r="B251" s="20">
        <f t="shared" si="3"/>
        <v>1.9193857965451055E-3</v>
      </c>
      <c r="C251" s="21">
        <f>VLOOKUP(A251,Transcriptome!B:L,11,FALSE)</f>
        <v>5.2742616033756105E-4</v>
      </c>
      <c r="D251" s="21">
        <f>VLOOKUP(A251,Proteome!B:I,8,FALSE)</f>
        <v>5.8843569017312199E-4</v>
      </c>
      <c r="E251" s="21">
        <f>VLOOKUP(A251,'Consensus Phospho site'!$B$2:$G$522,6,FALSE)</f>
        <v>1.6273950544320925E-4</v>
      </c>
      <c r="F251" s="21">
        <f>VLOOKUP(A251,'AVP Regulation (PTM &amp; Ca-cAMP'!B:K,10,FALSE)</f>
        <v>1.5378898419219332E-4</v>
      </c>
      <c r="G251" s="21">
        <f>VLOOKUP(A251,'AQP2 Colocalization'!A:F,6,FALSE)</f>
        <v>2.5545716636901996E-4</v>
      </c>
    </row>
    <row r="252" spans="1:7" ht="15">
      <c r="A252" s="14" t="s">
        <v>380</v>
      </c>
      <c r="B252" s="20">
        <f t="shared" si="3"/>
        <v>1.9193857965451055E-3</v>
      </c>
      <c r="C252" s="21">
        <f>VLOOKUP(A252,Transcriptome!B:L,11,FALSE)</f>
        <v>5.2742616033756105E-4</v>
      </c>
      <c r="D252" s="21">
        <f>VLOOKUP(A252,Proteome!B:I,8,FALSE)</f>
        <v>5.8843569017312199E-4</v>
      </c>
      <c r="E252" s="21">
        <f>VLOOKUP(A252,'Consensus Phospho site'!$B$2:$G$522,6,FALSE)</f>
        <v>1.6273950544320925E-4</v>
      </c>
      <c r="F252" s="21">
        <f>VLOOKUP(A252,'AVP Regulation (PTM &amp; Ca-cAMP'!B:K,10,FALSE)</f>
        <v>1.5378898419219332E-4</v>
      </c>
      <c r="G252" s="21">
        <f>VLOOKUP(A252,'AQP2 Colocalization'!A:F,6,FALSE)</f>
        <v>1.7030477757934664E-4</v>
      </c>
    </row>
    <row r="253" spans="1:7" ht="15">
      <c r="A253" s="14" t="s">
        <v>397</v>
      </c>
      <c r="B253" s="20">
        <f t="shared" si="3"/>
        <v>1.9193857965451055E-3</v>
      </c>
      <c r="C253" s="21">
        <f>VLOOKUP(A253,Transcriptome!B:L,11,FALSE)</f>
        <v>5.2742616033756105E-4</v>
      </c>
      <c r="D253" s="21">
        <f>VLOOKUP(A253,Proteome!B:I,8,FALSE)</f>
        <v>5.8843569017312199E-4</v>
      </c>
      <c r="E253" s="21">
        <f>VLOOKUP(A253,'Consensus Phospho site'!$B$2:$G$522,6,FALSE)</f>
        <v>1.6273950544320925E-4</v>
      </c>
      <c r="F253" s="21">
        <f>VLOOKUP(A253,'AVP Regulation (PTM &amp; Ca-cAMP'!B:K,10,FALSE)</f>
        <v>1.5378898419219332E-4</v>
      </c>
      <c r="G253" s="21">
        <f>VLOOKUP(A253,'AQP2 Colocalization'!A:F,6,FALSE)</f>
        <v>2.2707303677246224E-4</v>
      </c>
    </row>
    <row r="254" spans="1:7" ht="15">
      <c r="A254" s="14" t="s">
        <v>85</v>
      </c>
      <c r="B254" s="20">
        <f t="shared" si="3"/>
        <v>1.9193857965451055E-3</v>
      </c>
      <c r="C254" s="21">
        <f>VLOOKUP(A254,Transcriptome!B:L,11,FALSE)</f>
        <v>5.2742616033756105E-4</v>
      </c>
      <c r="D254" s="21">
        <f>VLOOKUP(A254,Proteome!B:I,8,FALSE)</f>
        <v>5.8843569017312199E-4</v>
      </c>
      <c r="E254" s="21">
        <f>VLOOKUP(A254,'Consensus Phospho site'!$B$2:$G$522,6,FALSE)</f>
        <v>1.6273950544320925E-4</v>
      </c>
      <c r="F254" s="21">
        <f>VLOOKUP(A254,'AVP Regulation (PTM &amp; Ca-cAMP'!B:K,10,FALSE)</f>
        <v>1.5378898419219332E-4</v>
      </c>
      <c r="G254" s="21">
        <f>VLOOKUP(A254,'AQP2 Colocalization'!A:F,6,FALSE)</f>
        <v>1.7030477757934664E-4</v>
      </c>
    </row>
    <row r="255" spans="1:7" ht="15">
      <c r="A255" s="14" t="s">
        <v>88</v>
      </c>
      <c r="B255" s="20">
        <f t="shared" si="3"/>
        <v>1.9193857965451055E-3</v>
      </c>
      <c r="C255" s="21">
        <f>VLOOKUP(A255,Transcriptome!B:L,11,FALSE)</f>
        <v>5.2742616033756105E-4</v>
      </c>
      <c r="D255" s="21">
        <f>VLOOKUP(A255,Proteome!B:I,8,FALSE)</f>
        <v>5.8843569017312199E-4</v>
      </c>
      <c r="E255" s="21">
        <f>VLOOKUP(A255,'Consensus Phospho site'!$B$2:$G$522,6,FALSE)</f>
        <v>1.6273950544320925E-4</v>
      </c>
      <c r="F255" s="21">
        <f>VLOOKUP(A255,'AVP Regulation (PTM &amp; Ca-cAMP'!B:K,10,FALSE)</f>
        <v>1.5378898419219332E-4</v>
      </c>
      <c r="G255" s="21">
        <f>VLOOKUP(A255,'AQP2 Colocalization'!A:F,6,FALSE)</f>
        <v>1.1353651838623112E-4</v>
      </c>
    </row>
    <row r="256" spans="1:7" ht="15">
      <c r="A256" s="14" t="s">
        <v>390</v>
      </c>
      <c r="B256" s="20">
        <f t="shared" si="3"/>
        <v>1.9193857965451055E-3</v>
      </c>
      <c r="C256" s="21">
        <f>VLOOKUP(A256,Transcriptome!B:L,11,FALSE)</f>
        <v>5.2742616033756105E-4</v>
      </c>
      <c r="D256" s="21">
        <f>VLOOKUP(A256,Proteome!B:I,8,FALSE)</f>
        <v>5.8843569017312199E-4</v>
      </c>
      <c r="E256" s="21">
        <f>VLOOKUP(A256,'Consensus Phospho site'!$B$2:$G$522,6,FALSE)</f>
        <v>1.6273950544320925E-4</v>
      </c>
      <c r="F256" s="21">
        <f>VLOOKUP(A256,'AVP Regulation (PTM &amp; Ca-cAMP'!B:K,10,FALSE)</f>
        <v>1.5378898419219332E-4</v>
      </c>
      <c r="G256" s="21">
        <f>VLOOKUP(A256,'AQP2 Colocalization'!A:F,6,FALSE)</f>
        <v>1.9868890717590442E-4</v>
      </c>
    </row>
    <row r="257" spans="1:7" ht="15">
      <c r="A257" s="14" t="s">
        <v>379</v>
      </c>
      <c r="B257" s="20">
        <f t="shared" si="3"/>
        <v>1.9193857965451055E-3</v>
      </c>
      <c r="C257" s="21">
        <f>VLOOKUP(A257,Transcriptome!B:L,11,FALSE)</f>
        <v>5.2742616033756105E-4</v>
      </c>
      <c r="D257" s="21">
        <f>VLOOKUP(A257,Proteome!B:I,8,FALSE)</f>
        <v>5.8843569017312199E-4</v>
      </c>
      <c r="E257" s="21">
        <f>VLOOKUP(A257,'Consensus Phospho site'!$B$2:$G$522,6,FALSE)</f>
        <v>1.6273950544320925E-4</v>
      </c>
      <c r="F257" s="21">
        <f>VLOOKUP(A257,'AVP Regulation (PTM &amp; Ca-cAMP'!B:K,10,FALSE)</f>
        <v>1.5378898419219332E-4</v>
      </c>
      <c r="G257" s="21">
        <f>VLOOKUP(A257,'AQP2 Colocalization'!A:F,6,FALSE)</f>
        <v>1.7030477757934664E-4</v>
      </c>
    </row>
    <row r="258" spans="1:7" ht="15">
      <c r="A258" s="14" t="s">
        <v>349</v>
      </c>
      <c r="B258" s="20">
        <f t="shared" ref="B258:B321" si="4">1/521</f>
        <v>1.9193857965451055E-3</v>
      </c>
      <c r="C258" s="21">
        <f>VLOOKUP(A258,Transcriptome!B:L,11,FALSE)</f>
        <v>5.2742616033756105E-4</v>
      </c>
      <c r="D258" s="21">
        <f>VLOOKUP(A258,Proteome!B:I,8,FALSE)</f>
        <v>5.8843569017312199E-4</v>
      </c>
      <c r="E258" s="21">
        <f>VLOOKUP(A258,'Consensus Phospho site'!$B$2:$G$522,6,FALSE)</f>
        <v>1.6273950544320925E-4</v>
      </c>
      <c r="F258" s="21">
        <f>VLOOKUP(A258,'AVP Regulation (PTM &amp; Ca-cAMP'!B:K,10,FALSE)</f>
        <v>1.5378898419219332E-4</v>
      </c>
      <c r="G258" s="21">
        <f>VLOOKUP(A258,'AQP2 Colocalization'!A:F,6,FALSE)</f>
        <v>1.7030477757934664E-4</v>
      </c>
    </row>
    <row r="259" spans="1:7" ht="15">
      <c r="A259" s="14" t="s">
        <v>33</v>
      </c>
      <c r="B259" s="20">
        <f t="shared" si="4"/>
        <v>1.9193857965451055E-3</v>
      </c>
      <c r="C259" s="21">
        <f>VLOOKUP(A259,Transcriptome!B:L,11,FALSE)</f>
        <v>5.2742616033756105E-4</v>
      </c>
      <c r="D259" s="21">
        <f>VLOOKUP(A259,Proteome!B:I,8,FALSE)</f>
        <v>5.8843569017312199E-4</v>
      </c>
      <c r="E259" s="21">
        <f>VLOOKUP(A259,'Consensus Phospho site'!$B$2:$G$522,6,FALSE)</f>
        <v>1.6273950544320925E-4</v>
      </c>
      <c r="F259" s="21">
        <f>VLOOKUP(A259,'AVP Regulation (PTM &amp; Ca-cAMP'!B:K,10,FALSE)</f>
        <v>1.5378898419219332E-4</v>
      </c>
      <c r="G259" s="21">
        <f>VLOOKUP(A259,'AQP2 Colocalization'!A:F,6,FALSE)</f>
        <v>1.1353651838623112E-4</v>
      </c>
    </row>
    <row r="260" spans="1:7" ht="15">
      <c r="A260" s="14" t="s">
        <v>38</v>
      </c>
      <c r="B260" s="20">
        <f t="shared" si="4"/>
        <v>1.9193857965451055E-3</v>
      </c>
      <c r="C260" s="21">
        <f>VLOOKUP(A260,Transcriptome!B:L,11,FALSE)</f>
        <v>5.2742616033756105E-4</v>
      </c>
      <c r="D260" s="21">
        <f>VLOOKUP(A260,Proteome!B:I,8,FALSE)</f>
        <v>5.8843569017312199E-4</v>
      </c>
      <c r="E260" s="21">
        <f>VLOOKUP(A260,'Consensus Phospho site'!$B$2:$G$522,6,FALSE)</f>
        <v>1.6273950544320925E-4</v>
      </c>
      <c r="F260" s="21">
        <f>VLOOKUP(A260,'AVP Regulation (PTM &amp; Ca-cAMP'!B:K,10,FALSE)</f>
        <v>1.5378898419219332E-4</v>
      </c>
      <c r="G260" s="21">
        <f>VLOOKUP(A260,'AQP2 Colocalization'!A:F,6,FALSE)</f>
        <v>1.1353651838623112E-4</v>
      </c>
    </row>
    <row r="261" spans="1:7" ht="15">
      <c r="A261" s="14" t="s">
        <v>343</v>
      </c>
      <c r="B261" s="20">
        <f t="shared" si="4"/>
        <v>1.9193857965451055E-3</v>
      </c>
      <c r="C261" s="21">
        <f>VLOOKUP(A261,Transcriptome!B:L,11,FALSE)</f>
        <v>5.2742616033756105E-4</v>
      </c>
      <c r="D261" s="21">
        <f>VLOOKUP(A261,Proteome!B:I,8,FALSE)</f>
        <v>5.8843569017312199E-4</v>
      </c>
      <c r="E261" s="21">
        <f>VLOOKUP(A261,'Consensus Phospho site'!$B$2:$G$522,6,FALSE)</f>
        <v>1.6273950544320925E-4</v>
      </c>
      <c r="F261" s="21">
        <f>VLOOKUP(A261,'AVP Regulation (PTM &amp; Ca-cAMP'!B:K,10,FALSE)</f>
        <v>1.5378898419219332E-4</v>
      </c>
      <c r="G261" s="21">
        <f>VLOOKUP(A261,'AQP2 Colocalization'!A:F,6,FALSE)</f>
        <v>1.1353651838623112E-4</v>
      </c>
    </row>
    <row r="262" spans="1:7" ht="15">
      <c r="A262" s="14" t="s">
        <v>364</v>
      </c>
      <c r="B262" s="20">
        <f t="shared" si="4"/>
        <v>1.9193857965451055E-3</v>
      </c>
      <c r="C262" s="21">
        <f>VLOOKUP(A262,Transcriptome!B:L,11,FALSE)</f>
        <v>5.2742616033756105E-4</v>
      </c>
      <c r="D262" s="21">
        <f>VLOOKUP(A262,Proteome!B:I,8,FALSE)</f>
        <v>5.8843569017312199E-4</v>
      </c>
      <c r="E262" s="21">
        <f>VLOOKUP(A262,'Consensus Phospho site'!$B$2:$G$522,6,FALSE)</f>
        <v>1.6273950544320925E-4</v>
      </c>
      <c r="F262" s="21">
        <f>VLOOKUP(A262,'AVP Regulation (PTM &amp; Ca-cAMP'!B:K,10,FALSE)</f>
        <v>1.5378898419219332E-4</v>
      </c>
      <c r="G262" s="21">
        <f>VLOOKUP(A262,'AQP2 Colocalization'!A:F,6,FALSE)</f>
        <v>1.1353651838623112E-4</v>
      </c>
    </row>
    <row r="263" spans="1:7" ht="15">
      <c r="A263" s="14" t="s">
        <v>345</v>
      </c>
      <c r="B263" s="20">
        <f t="shared" si="4"/>
        <v>1.9193857965451055E-3</v>
      </c>
      <c r="C263" s="21">
        <f>VLOOKUP(A263,Transcriptome!B:L,11,FALSE)</f>
        <v>5.2742616033756105E-4</v>
      </c>
      <c r="D263" s="21">
        <f>VLOOKUP(A263,Proteome!B:I,8,FALSE)</f>
        <v>5.8843569017312199E-4</v>
      </c>
      <c r="E263" s="21">
        <f>VLOOKUP(A263,'Consensus Phospho site'!$B$2:$G$522,6,FALSE)</f>
        <v>1.6273950544320925E-4</v>
      </c>
      <c r="F263" s="21">
        <f>VLOOKUP(A263,'AVP Regulation (PTM &amp; Ca-cAMP'!B:K,10,FALSE)</f>
        <v>1.5378898419219332E-4</v>
      </c>
      <c r="G263" s="21">
        <f>VLOOKUP(A263,'AQP2 Colocalization'!A:F,6,FALSE)</f>
        <v>1.1353651838623112E-4</v>
      </c>
    </row>
    <row r="264" spans="1:7" ht="15">
      <c r="A264" s="14" t="s">
        <v>409</v>
      </c>
      <c r="B264" s="20">
        <f t="shared" si="4"/>
        <v>1.9193857965451055E-3</v>
      </c>
      <c r="C264" s="21">
        <f>VLOOKUP(A264,Transcriptome!B:L,11,FALSE)</f>
        <v>5.2742616033756105E-4</v>
      </c>
      <c r="D264" s="21">
        <f>VLOOKUP(A264,Proteome!B:I,8,FALSE)</f>
        <v>5.8843569017312199E-4</v>
      </c>
      <c r="E264" s="21">
        <f>VLOOKUP(A264,'Consensus Phospho site'!$B$2:$G$522,6,FALSE)</f>
        <v>1.6273950544320925E-4</v>
      </c>
      <c r="F264" s="21">
        <f>VLOOKUP(A264,'AVP Regulation (PTM &amp; Ca-cAMP'!B:K,10,FALSE)</f>
        <v>1.5378898419219332E-4</v>
      </c>
      <c r="G264" s="21">
        <f>VLOOKUP(A264,'AQP2 Colocalization'!A:F,6,FALSE)</f>
        <v>1.1353651838623112E-4</v>
      </c>
    </row>
    <row r="265" spans="1:7" ht="15">
      <c r="A265" s="14" t="s">
        <v>361</v>
      </c>
      <c r="B265" s="20">
        <f t="shared" si="4"/>
        <v>1.9193857965451055E-3</v>
      </c>
      <c r="C265" s="21">
        <f>VLOOKUP(A265,Transcriptome!B:L,11,FALSE)</f>
        <v>5.2742616033756105E-4</v>
      </c>
      <c r="D265" s="21">
        <f>VLOOKUP(A265,Proteome!B:I,8,FALSE)</f>
        <v>5.8843569017312199E-4</v>
      </c>
      <c r="E265" s="21">
        <f>VLOOKUP(A265,'Consensus Phospho site'!$B$2:$G$522,6,FALSE)</f>
        <v>1.6273950544320925E-4</v>
      </c>
      <c r="F265" s="21">
        <f>VLOOKUP(A265,'AVP Regulation (PTM &amp; Ca-cAMP'!B:K,10,FALSE)</f>
        <v>1.5378898419219332E-4</v>
      </c>
      <c r="G265" s="21">
        <f>VLOOKUP(A265,'AQP2 Colocalization'!A:F,6,FALSE)</f>
        <v>2.5545716636901996E-4</v>
      </c>
    </row>
    <row r="266" spans="1:7" ht="15">
      <c r="A266" s="14" t="s">
        <v>411</v>
      </c>
      <c r="B266" s="20">
        <f t="shared" si="4"/>
        <v>1.9193857965451055E-3</v>
      </c>
      <c r="C266" s="21">
        <f>VLOOKUP(A266,Transcriptome!B:L,11,FALSE)</f>
        <v>5.2742616033756105E-4</v>
      </c>
      <c r="D266" s="21">
        <f>VLOOKUP(A266,Proteome!B:I,8,FALSE)</f>
        <v>5.8843569017312199E-4</v>
      </c>
      <c r="E266" s="21">
        <f>VLOOKUP(A266,'Consensus Phospho site'!$B$2:$G$522,6,FALSE)</f>
        <v>1.6273950544320925E-4</v>
      </c>
      <c r="F266" s="21">
        <f>VLOOKUP(A266,'AVP Regulation (PTM &amp; Ca-cAMP'!B:K,10,FALSE)</f>
        <v>1.5378898419219332E-4</v>
      </c>
      <c r="G266" s="21">
        <f>VLOOKUP(A266,'AQP2 Colocalization'!A:F,6,FALSE)</f>
        <v>2.5545716636901996E-4</v>
      </c>
    </row>
    <row r="267" spans="1:7" ht="15">
      <c r="A267" s="14" t="s">
        <v>372</v>
      </c>
      <c r="B267" s="20">
        <f t="shared" si="4"/>
        <v>1.9193857965451055E-3</v>
      </c>
      <c r="C267" s="21">
        <f>VLOOKUP(A267,Transcriptome!B:L,11,FALSE)</f>
        <v>5.2742616033756105E-4</v>
      </c>
      <c r="D267" s="21">
        <f>VLOOKUP(A267,Proteome!B:I,8,FALSE)</f>
        <v>5.8843569017312199E-4</v>
      </c>
      <c r="E267" s="21">
        <f>VLOOKUP(A267,'Consensus Phospho site'!$B$2:$G$522,6,FALSE)</f>
        <v>1.6273950544320925E-4</v>
      </c>
      <c r="F267" s="21">
        <f>VLOOKUP(A267,'AVP Regulation (PTM &amp; Ca-cAMP'!B:K,10,FALSE)</f>
        <v>1.5378898419219332E-4</v>
      </c>
      <c r="G267" s="21">
        <f>VLOOKUP(A267,'AQP2 Colocalization'!A:F,6,FALSE)</f>
        <v>2.2707303677246224E-4</v>
      </c>
    </row>
    <row r="268" spans="1:7" ht="15">
      <c r="A268" s="14" t="s">
        <v>108</v>
      </c>
      <c r="B268" s="20">
        <f t="shared" si="4"/>
        <v>1.9193857965451055E-3</v>
      </c>
      <c r="C268" s="21">
        <f>VLOOKUP(A268,Transcriptome!B:L,11,FALSE)</f>
        <v>5.2742616033756105E-4</v>
      </c>
      <c r="D268" s="21">
        <f>VLOOKUP(A268,Proteome!B:I,8,FALSE)</f>
        <v>5.8843569017312199E-4</v>
      </c>
      <c r="E268" s="21">
        <f>VLOOKUP(A268,'Consensus Phospho site'!$B$2:$G$522,6,FALSE)</f>
        <v>1.6273950544320925E-4</v>
      </c>
      <c r="F268" s="21">
        <f>VLOOKUP(A268,'AVP Regulation (PTM &amp; Ca-cAMP'!B:K,10,FALSE)</f>
        <v>1.5378898419219332E-4</v>
      </c>
      <c r="G268" s="21">
        <f>VLOOKUP(A268,'AQP2 Colocalization'!A:F,6,FALSE)</f>
        <v>1.1353651838623112E-4</v>
      </c>
    </row>
    <row r="269" spans="1:7" ht="15">
      <c r="A269" s="14" t="s">
        <v>225</v>
      </c>
      <c r="B269" s="20">
        <f t="shared" si="4"/>
        <v>1.9193857965451055E-3</v>
      </c>
      <c r="C269" s="21">
        <f>VLOOKUP(A269,Transcriptome!B:L,11,FALSE)</f>
        <v>5.2742616033756105E-4</v>
      </c>
      <c r="D269" s="21">
        <f>VLOOKUP(A269,Proteome!B:I,8,FALSE)</f>
        <v>5.8843569017312199E-4</v>
      </c>
      <c r="E269" s="21">
        <f>VLOOKUP(A269,'Consensus Phospho site'!$B$2:$G$522,6,FALSE)</f>
        <v>1.6273950544320925E-4</v>
      </c>
      <c r="F269" s="21">
        <f>VLOOKUP(A269,'AVP Regulation (PTM &amp; Ca-cAMP'!B:K,10,FALSE)</f>
        <v>1.5378898419219332E-4</v>
      </c>
      <c r="G269" s="21">
        <f>VLOOKUP(A269,'AQP2 Colocalization'!A:F,6,FALSE)</f>
        <v>1.7030477757934664E-4</v>
      </c>
    </row>
    <row r="270" spans="1:7" ht="15">
      <c r="A270" s="14" t="s">
        <v>107</v>
      </c>
      <c r="B270" s="20">
        <f t="shared" si="4"/>
        <v>1.9193857965451055E-3</v>
      </c>
      <c r="C270" s="21">
        <f>VLOOKUP(A270,Transcriptome!B:L,11,FALSE)</f>
        <v>5.2742616033756105E-4</v>
      </c>
      <c r="D270" s="21">
        <f>VLOOKUP(A270,Proteome!B:I,8,FALSE)</f>
        <v>5.8843569017312199E-4</v>
      </c>
      <c r="E270" s="21">
        <f>VLOOKUP(A270,'Consensus Phospho site'!$B$2:$G$522,6,FALSE)</f>
        <v>1.6273950544320925E-4</v>
      </c>
      <c r="F270" s="21">
        <f>VLOOKUP(A270,'AVP Regulation (PTM &amp; Ca-cAMP'!B:K,10,FALSE)</f>
        <v>1.5378898419219332E-4</v>
      </c>
      <c r="G270" s="21">
        <f>VLOOKUP(A270,'AQP2 Colocalization'!A:F,6,FALSE)</f>
        <v>2.5545716636901996E-4</v>
      </c>
    </row>
    <row r="271" spans="1:7" ht="15">
      <c r="A271" s="14" t="s">
        <v>47</v>
      </c>
      <c r="B271" s="20">
        <f t="shared" si="4"/>
        <v>1.9193857965451055E-3</v>
      </c>
      <c r="C271" s="21">
        <f>VLOOKUP(A271,Transcriptome!B:L,11,FALSE)</f>
        <v>5.2742616033756105E-4</v>
      </c>
      <c r="D271" s="21">
        <f>VLOOKUP(A271,Proteome!B:I,8,FALSE)</f>
        <v>5.8843569017312199E-4</v>
      </c>
      <c r="E271" s="21">
        <f>VLOOKUP(A271,'Consensus Phospho site'!$B$2:$G$522,6,FALSE)</f>
        <v>1.6273950544320925E-4</v>
      </c>
      <c r="F271" s="21">
        <f>VLOOKUP(A271,'AVP Regulation (PTM &amp; Ca-cAMP'!B:K,10,FALSE)</f>
        <v>1.5378898419219332E-4</v>
      </c>
      <c r="G271" s="21">
        <f>VLOOKUP(A271,'AQP2 Colocalization'!A:F,6,FALSE)</f>
        <v>1.7030477757934664E-4</v>
      </c>
    </row>
    <row r="272" spans="1:7" ht="15">
      <c r="A272" s="14" t="s">
        <v>376</v>
      </c>
      <c r="B272" s="20">
        <f t="shared" si="4"/>
        <v>1.9193857965451055E-3</v>
      </c>
      <c r="C272" s="21">
        <f>VLOOKUP(A272,Transcriptome!B:L,11,FALSE)</f>
        <v>5.2742616033756105E-4</v>
      </c>
      <c r="D272" s="21">
        <f>VLOOKUP(A272,Proteome!B:I,8,FALSE)</f>
        <v>5.8843569017312199E-4</v>
      </c>
      <c r="E272" s="21">
        <f>VLOOKUP(A272,'Consensus Phospho site'!$B$2:$G$522,6,FALSE)</f>
        <v>1.6273950544320925E-4</v>
      </c>
      <c r="F272" s="21">
        <f>VLOOKUP(A272,'AVP Regulation (PTM &amp; Ca-cAMP'!B:K,10,FALSE)</f>
        <v>1.5378898419219332E-4</v>
      </c>
      <c r="G272" s="21">
        <f>VLOOKUP(A272,'AQP2 Colocalization'!A:F,6,FALSE)</f>
        <v>2.2707303677246224E-4</v>
      </c>
    </row>
    <row r="273" spans="1:7" ht="15">
      <c r="A273" s="14" t="s">
        <v>352</v>
      </c>
      <c r="B273" s="20">
        <f t="shared" si="4"/>
        <v>1.9193857965451055E-3</v>
      </c>
      <c r="C273" s="21">
        <f>VLOOKUP(A273,Transcriptome!B:L,11,FALSE)</f>
        <v>5.2742616033756105E-4</v>
      </c>
      <c r="D273" s="21">
        <f>VLOOKUP(A273,Proteome!B:I,8,FALSE)</f>
        <v>5.8843569017312199E-4</v>
      </c>
      <c r="E273" s="21">
        <f>VLOOKUP(A273,'Consensus Phospho site'!$B$2:$G$522,6,FALSE)</f>
        <v>1.6273950544320925E-4</v>
      </c>
      <c r="F273" s="21">
        <f>VLOOKUP(A273,'AVP Regulation (PTM &amp; Ca-cAMP'!B:K,10,FALSE)</f>
        <v>1.5378898419219332E-4</v>
      </c>
      <c r="G273" s="21">
        <f>VLOOKUP(A273,'AQP2 Colocalization'!A:F,6,FALSE)</f>
        <v>1.7030477757934664E-4</v>
      </c>
    </row>
    <row r="274" spans="1:7" ht="15">
      <c r="A274" s="14" t="s">
        <v>354</v>
      </c>
      <c r="B274" s="20">
        <f t="shared" si="4"/>
        <v>1.9193857965451055E-3</v>
      </c>
      <c r="C274" s="21">
        <f>VLOOKUP(A274,Transcriptome!B:L,11,FALSE)</f>
        <v>5.2742616033756105E-4</v>
      </c>
      <c r="D274" s="21">
        <f>VLOOKUP(A274,Proteome!B:I,8,FALSE)</f>
        <v>5.8843569017312199E-4</v>
      </c>
      <c r="E274" s="21">
        <f>VLOOKUP(A274,'Consensus Phospho site'!$B$2:$G$522,6,FALSE)</f>
        <v>1.6273950544320925E-4</v>
      </c>
      <c r="F274" s="21">
        <f>VLOOKUP(A274,'AVP Regulation (PTM &amp; Ca-cAMP'!B:K,10,FALSE)</f>
        <v>1.5378898419219332E-4</v>
      </c>
      <c r="G274" s="21">
        <f>VLOOKUP(A274,'AQP2 Colocalization'!A:F,6,FALSE)</f>
        <v>1.7030477757934664E-4</v>
      </c>
    </row>
    <row r="275" spans="1:7" ht="15">
      <c r="A275" s="14" t="s">
        <v>356</v>
      </c>
      <c r="B275" s="20">
        <f t="shared" si="4"/>
        <v>1.9193857965451055E-3</v>
      </c>
      <c r="C275" s="21">
        <f>VLOOKUP(A275,Transcriptome!B:L,11,FALSE)</f>
        <v>5.2742616033756105E-4</v>
      </c>
      <c r="D275" s="21">
        <f>VLOOKUP(A275,Proteome!B:I,8,FALSE)</f>
        <v>5.8843569017312199E-4</v>
      </c>
      <c r="E275" s="21">
        <f>VLOOKUP(A275,'Consensus Phospho site'!$B$2:$G$522,6,FALSE)</f>
        <v>1.6273950544320925E-4</v>
      </c>
      <c r="F275" s="21">
        <f>VLOOKUP(A275,'AVP Regulation (PTM &amp; Ca-cAMP'!B:K,10,FALSE)</f>
        <v>1.5378898419219332E-4</v>
      </c>
      <c r="G275" s="21">
        <f>VLOOKUP(A275,'AQP2 Colocalization'!A:F,6,FALSE)</f>
        <v>1.9868890717590442E-4</v>
      </c>
    </row>
    <row r="276" spans="1:7" ht="15">
      <c r="A276" s="14" t="s">
        <v>325</v>
      </c>
      <c r="B276" s="20">
        <f t="shared" si="4"/>
        <v>1.9193857965451055E-3</v>
      </c>
      <c r="C276" s="21">
        <f>VLOOKUP(A276,Transcriptome!B:L,11,FALSE)</f>
        <v>5.2742616033756105E-4</v>
      </c>
      <c r="D276" s="21">
        <f>VLOOKUP(A276,Proteome!B:I,8,FALSE)</f>
        <v>5.8843569017312199E-4</v>
      </c>
      <c r="E276" s="21">
        <f>VLOOKUP(A276,'Consensus Phospho site'!$B$2:$G$522,6,FALSE)</f>
        <v>1.6273950544320925E-4</v>
      </c>
      <c r="F276" s="21">
        <f>VLOOKUP(A276,'AVP Regulation (PTM &amp; Ca-cAMP'!B:K,10,FALSE)</f>
        <v>1.5378898419219332E-4</v>
      </c>
      <c r="G276" s="21">
        <f>VLOOKUP(A276,'AQP2 Colocalization'!A:F,6,FALSE)</f>
        <v>1.9868890717590442E-4</v>
      </c>
    </row>
    <row r="277" spans="1:7" ht="15">
      <c r="A277" s="14" t="s">
        <v>355</v>
      </c>
      <c r="B277" s="20">
        <f t="shared" si="4"/>
        <v>1.9193857965451055E-3</v>
      </c>
      <c r="C277" s="21">
        <f>VLOOKUP(A277,Transcriptome!B:L,11,FALSE)</f>
        <v>5.2742616033756105E-4</v>
      </c>
      <c r="D277" s="21">
        <f>VLOOKUP(A277,Proteome!B:I,8,FALSE)</f>
        <v>5.8843569017312199E-4</v>
      </c>
      <c r="E277" s="21">
        <f>VLOOKUP(A277,'Consensus Phospho site'!$B$2:$G$522,6,FALSE)</f>
        <v>1.6273950544320925E-4</v>
      </c>
      <c r="F277" s="21">
        <f>VLOOKUP(A277,'AVP Regulation (PTM &amp; Ca-cAMP'!B:K,10,FALSE)</f>
        <v>1.5378898419219332E-4</v>
      </c>
      <c r="G277" s="21">
        <f>VLOOKUP(A277,'AQP2 Colocalization'!A:F,6,FALSE)</f>
        <v>1.7030477757934664E-4</v>
      </c>
    </row>
    <row r="278" spans="1:7" ht="15">
      <c r="A278" s="14" t="s">
        <v>370</v>
      </c>
      <c r="B278" s="20">
        <f t="shared" si="4"/>
        <v>1.9193857965451055E-3</v>
      </c>
      <c r="C278" s="21">
        <f>VLOOKUP(A278,Transcriptome!B:L,11,FALSE)</f>
        <v>5.2742616033756105E-4</v>
      </c>
      <c r="D278" s="21">
        <f>VLOOKUP(A278,Proteome!B:I,8,FALSE)</f>
        <v>5.8843569017312199E-4</v>
      </c>
      <c r="E278" s="21">
        <f>VLOOKUP(A278,'Consensus Phospho site'!$B$2:$G$522,6,FALSE)</f>
        <v>1.6273950544320925E-4</v>
      </c>
      <c r="F278" s="21">
        <f>VLOOKUP(A278,'AVP Regulation (PTM &amp; Ca-cAMP'!B:K,10,FALSE)</f>
        <v>1.5378898419219332E-4</v>
      </c>
      <c r="G278" s="21">
        <f>VLOOKUP(A278,'AQP2 Colocalization'!A:F,6,FALSE)</f>
        <v>1.7030477757934664E-4</v>
      </c>
    </row>
    <row r="279" spans="1:7" ht="15">
      <c r="A279" s="14" t="s">
        <v>358</v>
      </c>
      <c r="B279" s="20">
        <f t="shared" si="4"/>
        <v>1.9193857965451055E-3</v>
      </c>
      <c r="C279" s="21">
        <f>VLOOKUP(A279,Transcriptome!B:L,11,FALSE)</f>
        <v>5.2742616033756105E-4</v>
      </c>
      <c r="D279" s="21">
        <f>VLOOKUP(A279,Proteome!B:I,8,FALSE)</f>
        <v>5.8843569017312199E-4</v>
      </c>
      <c r="E279" s="21">
        <f>VLOOKUP(A279,'Consensus Phospho site'!$B$2:$G$522,6,FALSE)</f>
        <v>1.6273950544320925E-4</v>
      </c>
      <c r="F279" s="21">
        <f>VLOOKUP(A279,'AVP Regulation (PTM &amp; Ca-cAMP'!B:K,10,FALSE)</f>
        <v>1.5378898419219332E-4</v>
      </c>
      <c r="G279" s="21">
        <f>VLOOKUP(A279,'AQP2 Colocalization'!A:F,6,FALSE)</f>
        <v>1.7030477757934664E-4</v>
      </c>
    </row>
    <row r="280" spans="1:7" ht="15">
      <c r="A280" s="14" t="s">
        <v>357</v>
      </c>
      <c r="B280" s="20">
        <f t="shared" si="4"/>
        <v>1.9193857965451055E-3</v>
      </c>
      <c r="C280" s="21">
        <f>VLOOKUP(A280,Transcriptome!B:L,11,FALSE)</f>
        <v>5.2742616033756105E-4</v>
      </c>
      <c r="D280" s="21">
        <f>VLOOKUP(A280,Proteome!B:I,8,FALSE)</f>
        <v>5.8843569017312199E-4</v>
      </c>
      <c r="E280" s="21">
        <f>VLOOKUP(A280,'Consensus Phospho site'!$B$2:$G$522,6,FALSE)</f>
        <v>1.6273950544320925E-4</v>
      </c>
      <c r="F280" s="21">
        <f>VLOOKUP(A280,'AVP Regulation (PTM &amp; Ca-cAMP'!B:K,10,FALSE)</f>
        <v>1.5378898419219332E-4</v>
      </c>
      <c r="G280" s="21">
        <f>VLOOKUP(A280,'AQP2 Colocalization'!A:F,6,FALSE)</f>
        <v>1.7030477757934664E-4</v>
      </c>
    </row>
    <row r="281" spans="1:7" ht="15">
      <c r="A281" s="14" t="s">
        <v>359</v>
      </c>
      <c r="B281" s="20">
        <f t="shared" si="4"/>
        <v>1.9193857965451055E-3</v>
      </c>
      <c r="C281" s="21">
        <f>VLOOKUP(A281,Transcriptome!B:L,11,FALSE)</f>
        <v>5.2742616033756105E-4</v>
      </c>
      <c r="D281" s="21">
        <f>VLOOKUP(A281,Proteome!B:I,8,FALSE)</f>
        <v>5.8843569017312199E-4</v>
      </c>
      <c r="E281" s="21">
        <f>VLOOKUP(A281,'Consensus Phospho site'!$B$2:$G$522,6,FALSE)</f>
        <v>1.6273950544320925E-4</v>
      </c>
      <c r="F281" s="21">
        <f>VLOOKUP(A281,'AVP Regulation (PTM &amp; Ca-cAMP'!B:K,10,FALSE)</f>
        <v>1.5378898419219332E-4</v>
      </c>
      <c r="G281" s="21">
        <f>VLOOKUP(A281,'AQP2 Colocalization'!A:F,6,FALSE)</f>
        <v>1.7030477757934664E-4</v>
      </c>
    </row>
    <row r="282" spans="1:7" ht="15">
      <c r="A282" s="14" t="s">
        <v>371</v>
      </c>
      <c r="B282" s="20">
        <f t="shared" si="4"/>
        <v>1.9193857965451055E-3</v>
      </c>
      <c r="C282" s="21">
        <f>VLOOKUP(A282,Transcriptome!B:L,11,FALSE)</f>
        <v>5.2742616033756105E-4</v>
      </c>
      <c r="D282" s="21">
        <f>VLOOKUP(A282,Proteome!B:I,8,FALSE)</f>
        <v>5.8843569017312199E-4</v>
      </c>
      <c r="E282" s="21">
        <f>VLOOKUP(A282,'Consensus Phospho site'!$B$2:$G$522,6,FALSE)</f>
        <v>1.6273950544320925E-4</v>
      </c>
      <c r="F282" s="21">
        <f>VLOOKUP(A282,'AVP Regulation (PTM &amp; Ca-cAMP'!B:K,10,FALSE)</f>
        <v>1.5378898419219332E-4</v>
      </c>
      <c r="G282" s="21">
        <f>VLOOKUP(A282,'AQP2 Colocalization'!A:F,6,FALSE)</f>
        <v>1.7030477757934664E-4</v>
      </c>
    </row>
    <row r="283" spans="1:7" ht="15">
      <c r="A283" s="14" t="s">
        <v>385</v>
      </c>
      <c r="B283" s="20">
        <f t="shared" si="4"/>
        <v>1.9193857965451055E-3</v>
      </c>
      <c r="C283" s="21">
        <f>VLOOKUP(A283,Transcriptome!B:L,11,FALSE)</f>
        <v>5.2742616033756105E-4</v>
      </c>
      <c r="D283" s="21">
        <f>VLOOKUP(A283,Proteome!B:I,8,FALSE)</f>
        <v>5.8843569017312199E-4</v>
      </c>
      <c r="E283" s="21">
        <f>VLOOKUP(A283,'Consensus Phospho site'!$B$2:$G$522,6,FALSE)</f>
        <v>1.6273950544320925E-4</v>
      </c>
      <c r="F283" s="21">
        <f>VLOOKUP(A283,'AVP Regulation (PTM &amp; Ca-cAMP'!B:K,10,FALSE)</f>
        <v>1.5378898419219332E-4</v>
      </c>
      <c r="G283" s="21">
        <f>VLOOKUP(A283,'AQP2 Colocalization'!A:F,6,FALSE)</f>
        <v>1.7030477757934664E-4</v>
      </c>
    </row>
    <row r="284" spans="1:7" ht="15">
      <c r="A284" s="14" t="s">
        <v>386</v>
      </c>
      <c r="B284" s="20">
        <f t="shared" si="4"/>
        <v>1.9193857965451055E-3</v>
      </c>
      <c r="C284" s="21">
        <f>VLOOKUP(A284,Transcriptome!B:L,11,FALSE)</f>
        <v>5.2742616033756105E-4</v>
      </c>
      <c r="D284" s="21">
        <f>VLOOKUP(A284,Proteome!B:I,8,FALSE)</f>
        <v>5.8843569017312199E-4</v>
      </c>
      <c r="E284" s="21">
        <f>VLOOKUP(A284,'Consensus Phospho site'!$B$2:$G$522,6,FALSE)</f>
        <v>1.6273950544320925E-4</v>
      </c>
      <c r="F284" s="21">
        <f>VLOOKUP(A284,'AVP Regulation (PTM &amp; Ca-cAMP'!B:K,10,FALSE)</f>
        <v>1.5378898419219332E-4</v>
      </c>
      <c r="G284" s="21">
        <f>VLOOKUP(A284,'AQP2 Colocalization'!A:F,6,FALSE)</f>
        <v>1.7030477757934664E-4</v>
      </c>
    </row>
    <row r="285" spans="1:7" ht="15">
      <c r="A285" s="14" t="s">
        <v>136</v>
      </c>
      <c r="B285" s="20">
        <f t="shared" si="4"/>
        <v>1.9193857965451055E-3</v>
      </c>
      <c r="C285" s="21">
        <f>VLOOKUP(A285,Transcriptome!B:L,11,FALSE)</f>
        <v>5.2742616033756105E-4</v>
      </c>
      <c r="D285" s="21">
        <f>VLOOKUP(A285,Proteome!B:I,8,FALSE)</f>
        <v>5.8843569017312199E-4</v>
      </c>
      <c r="E285" s="21">
        <f>VLOOKUP(A285,'Consensus Phospho site'!$B$2:$G$522,6,FALSE)</f>
        <v>1.6273950544320925E-4</v>
      </c>
      <c r="F285" s="21">
        <f>VLOOKUP(A285,'AVP Regulation (PTM &amp; Ca-cAMP'!B:K,10,FALSE)</f>
        <v>1.5378898419219332E-4</v>
      </c>
      <c r="G285" s="21">
        <f>VLOOKUP(A285,'AQP2 Colocalization'!A:F,6,FALSE)</f>
        <v>1.1353651838623112E-4</v>
      </c>
    </row>
    <row r="286" spans="1:7" ht="15">
      <c r="A286" s="14" t="s">
        <v>24</v>
      </c>
      <c r="B286" s="20">
        <f t="shared" si="4"/>
        <v>1.9193857965451055E-3</v>
      </c>
      <c r="C286" s="21">
        <f>VLOOKUP(A286,Transcriptome!B:L,11,FALSE)</f>
        <v>5.2742616033756105E-4</v>
      </c>
      <c r="D286" s="21">
        <f>VLOOKUP(A286,Proteome!B:I,8,FALSE)</f>
        <v>5.8843569017312199E-4</v>
      </c>
      <c r="E286" s="21">
        <f>VLOOKUP(A286,'Consensus Phospho site'!$B$2:$G$522,6,FALSE)</f>
        <v>1.6273950544320925E-4</v>
      </c>
      <c r="F286" s="21">
        <f>VLOOKUP(A286,'AVP Regulation (PTM &amp; Ca-cAMP'!B:K,10,FALSE)</f>
        <v>1.5378898419219332E-4</v>
      </c>
      <c r="G286" s="21">
        <f>VLOOKUP(A286,'AQP2 Colocalization'!A:F,6,FALSE)</f>
        <v>1.1353651838623112E-4</v>
      </c>
    </row>
    <row r="287" spans="1:7" ht="15">
      <c r="A287" s="14" t="s">
        <v>49</v>
      </c>
      <c r="B287" s="20">
        <f t="shared" si="4"/>
        <v>1.9193857965451055E-3</v>
      </c>
      <c r="C287" s="21">
        <f>VLOOKUP(A287,Transcriptome!B:L,11,FALSE)</f>
        <v>5.2742616033756105E-4</v>
      </c>
      <c r="D287" s="21">
        <f>VLOOKUP(A287,Proteome!B:I,8,FALSE)</f>
        <v>5.8843569017312199E-4</v>
      </c>
      <c r="E287" s="21">
        <f>VLOOKUP(A287,'Consensus Phospho site'!$B$2:$G$522,6,FALSE)</f>
        <v>1.6273950544320925E-4</v>
      </c>
      <c r="F287" s="21">
        <f>VLOOKUP(A287,'AVP Regulation (PTM &amp; Ca-cAMP'!B:K,10,FALSE)</f>
        <v>1.5378898419219332E-4</v>
      </c>
      <c r="G287" s="21">
        <f>VLOOKUP(A287,'AQP2 Colocalization'!A:F,6,FALSE)</f>
        <v>1.1353651838623112E-4</v>
      </c>
    </row>
    <row r="288" spans="1:7" ht="15">
      <c r="A288" s="14" t="s">
        <v>46</v>
      </c>
      <c r="B288" s="20">
        <f t="shared" si="4"/>
        <v>1.9193857965451055E-3</v>
      </c>
      <c r="C288" s="21">
        <f>VLOOKUP(A288,Transcriptome!B:L,11,FALSE)</f>
        <v>5.2742616033756105E-4</v>
      </c>
      <c r="D288" s="21">
        <f>VLOOKUP(A288,Proteome!B:I,8,FALSE)</f>
        <v>5.8843569017312199E-4</v>
      </c>
      <c r="E288" s="21">
        <f>VLOOKUP(A288,'Consensus Phospho site'!$B$2:$G$522,6,FALSE)</f>
        <v>1.6273950544320925E-4</v>
      </c>
      <c r="F288" s="21">
        <f>VLOOKUP(A288,'AVP Regulation (PTM &amp; Ca-cAMP'!B:K,10,FALSE)</f>
        <v>1.5378898419219332E-4</v>
      </c>
      <c r="G288" s="21">
        <f>VLOOKUP(A288,'AQP2 Colocalization'!A:F,6,FALSE)</f>
        <v>1.1353651838623112E-4</v>
      </c>
    </row>
    <row r="289" spans="1:7" ht="15">
      <c r="A289" s="14" t="s">
        <v>26</v>
      </c>
      <c r="B289" s="20">
        <f t="shared" si="4"/>
        <v>1.9193857965451055E-3</v>
      </c>
      <c r="C289" s="21">
        <f>VLOOKUP(A289,Transcriptome!B:L,11,FALSE)</f>
        <v>5.2742616033756105E-4</v>
      </c>
      <c r="D289" s="21">
        <f>VLOOKUP(A289,Proteome!B:I,8,FALSE)</f>
        <v>5.8843569017312199E-4</v>
      </c>
      <c r="E289" s="21">
        <f>VLOOKUP(A289,'Consensus Phospho site'!$B$2:$G$522,6,FALSE)</f>
        <v>1.6273950544320925E-4</v>
      </c>
      <c r="F289" s="21">
        <f>VLOOKUP(A289,'AVP Regulation (PTM &amp; Ca-cAMP'!B:K,10,FALSE)</f>
        <v>1.5378898419219332E-4</v>
      </c>
      <c r="G289" s="21">
        <f>VLOOKUP(A289,'AQP2 Colocalization'!A:F,6,FALSE)</f>
        <v>1.1353651838623112E-4</v>
      </c>
    </row>
    <row r="290" spans="1:7" ht="15">
      <c r="A290" s="14" t="s">
        <v>335</v>
      </c>
      <c r="B290" s="20">
        <f t="shared" si="4"/>
        <v>1.9193857965451055E-3</v>
      </c>
      <c r="C290" s="21">
        <f>VLOOKUP(A290,Transcriptome!B:L,11,FALSE)</f>
        <v>5.2742616033756105E-4</v>
      </c>
      <c r="D290" s="21">
        <f>VLOOKUP(A290,Proteome!B:I,8,FALSE)</f>
        <v>5.8843569017312199E-4</v>
      </c>
      <c r="E290" s="21">
        <f>VLOOKUP(A290,'Consensus Phospho site'!$B$2:$G$522,6,FALSE)</f>
        <v>1.6273950544320925E-4</v>
      </c>
      <c r="F290" s="21">
        <f>VLOOKUP(A290,'AVP Regulation (PTM &amp; Ca-cAMP'!B:K,10,FALSE)</f>
        <v>1.5378898419219332E-4</v>
      </c>
      <c r="G290" s="21">
        <f>VLOOKUP(A290,'AQP2 Colocalization'!A:F,6,FALSE)</f>
        <v>1.1353651838623112E-4</v>
      </c>
    </row>
    <row r="291" spans="1:7" ht="15">
      <c r="A291" s="14" t="s">
        <v>340</v>
      </c>
      <c r="B291" s="20">
        <f t="shared" si="4"/>
        <v>1.9193857965451055E-3</v>
      </c>
      <c r="C291" s="21">
        <f>VLOOKUP(A291,Transcriptome!B:L,11,FALSE)</f>
        <v>5.2742616033756105E-4</v>
      </c>
      <c r="D291" s="21">
        <f>VLOOKUP(A291,Proteome!B:I,8,FALSE)</f>
        <v>5.8843569017312199E-4</v>
      </c>
      <c r="E291" s="21">
        <f>VLOOKUP(A291,'Consensus Phospho site'!$B$2:$G$522,6,FALSE)</f>
        <v>1.6273950544320925E-4</v>
      </c>
      <c r="F291" s="21">
        <f>VLOOKUP(A291,'AVP Regulation (PTM &amp; Ca-cAMP'!B:K,10,FALSE)</f>
        <v>1.5378898419219332E-4</v>
      </c>
      <c r="G291" s="21">
        <f>VLOOKUP(A291,'AQP2 Colocalization'!A:F,6,FALSE)</f>
        <v>1.1353651838623112E-4</v>
      </c>
    </row>
    <row r="292" spans="1:7" ht="15">
      <c r="A292" s="14" t="s">
        <v>337</v>
      </c>
      <c r="B292" s="20">
        <f t="shared" si="4"/>
        <v>1.9193857965451055E-3</v>
      </c>
      <c r="C292" s="21">
        <f>VLOOKUP(A292,Transcriptome!B:L,11,FALSE)</f>
        <v>5.2742616033756105E-4</v>
      </c>
      <c r="D292" s="21">
        <f>VLOOKUP(A292,Proteome!B:I,8,FALSE)</f>
        <v>5.8843569017312199E-4</v>
      </c>
      <c r="E292" s="21">
        <f>VLOOKUP(A292,'Consensus Phospho site'!$B$2:$G$522,6,FALSE)</f>
        <v>1.6273950544320925E-4</v>
      </c>
      <c r="F292" s="21">
        <f>VLOOKUP(A292,'AVP Regulation (PTM &amp; Ca-cAMP'!B:K,10,FALSE)</f>
        <v>1.5378898419219332E-4</v>
      </c>
      <c r="G292" s="21">
        <f>VLOOKUP(A292,'AQP2 Colocalization'!A:F,6,FALSE)</f>
        <v>1.1353651838623112E-4</v>
      </c>
    </row>
    <row r="293" spans="1:7" ht="15">
      <c r="A293" s="14" t="s">
        <v>339</v>
      </c>
      <c r="B293" s="20">
        <f t="shared" si="4"/>
        <v>1.9193857965451055E-3</v>
      </c>
      <c r="C293" s="21">
        <f>VLOOKUP(A293,Transcriptome!B:L,11,FALSE)</f>
        <v>5.2742616033756105E-4</v>
      </c>
      <c r="D293" s="21">
        <f>VLOOKUP(A293,Proteome!B:I,8,FALSE)</f>
        <v>5.8843569017312199E-4</v>
      </c>
      <c r="E293" s="21">
        <f>VLOOKUP(A293,'Consensus Phospho site'!$B$2:$G$522,6,FALSE)</f>
        <v>1.6273950544320925E-4</v>
      </c>
      <c r="F293" s="21">
        <f>VLOOKUP(A293,'AVP Regulation (PTM &amp; Ca-cAMP'!B:K,10,FALSE)</f>
        <v>1.5378898419219332E-4</v>
      </c>
      <c r="G293" s="21">
        <f>VLOOKUP(A293,'AQP2 Colocalization'!A:F,6,FALSE)</f>
        <v>1.1353651838623112E-4</v>
      </c>
    </row>
    <row r="294" spans="1:7" ht="15">
      <c r="A294" s="14" t="s">
        <v>342</v>
      </c>
      <c r="B294" s="20">
        <f t="shared" si="4"/>
        <v>1.9193857965451055E-3</v>
      </c>
      <c r="C294" s="21">
        <f>VLOOKUP(A294,Transcriptome!B:L,11,FALSE)</f>
        <v>5.2742616033756105E-4</v>
      </c>
      <c r="D294" s="21">
        <f>VLOOKUP(A294,Proteome!B:I,8,FALSE)</f>
        <v>5.8843569017312199E-4</v>
      </c>
      <c r="E294" s="21">
        <f>VLOOKUP(A294,'Consensus Phospho site'!$B$2:$G$522,6,FALSE)</f>
        <v>1.6273950544320925E-4</v>
      </c>
      <c r="F294" s="21">
        <f>VLOOKUP(A294,'AVP Regulation (PTM &amp; Ca-cAMP'!B:K,10,FALSE)</f>
        <v>1.5378898419219332E-4</v>
      </c>
      <c r="G294" s="21">
        <f>VLOOKUP(A294,'AQP2 Colocalization'!A:F,6,FALSE)</f>
        <v>1.1353651838623112E-4</v>
      </c>
    </row>
    <row r="295" spans="1:7" ht="15">
      <c r="A295" s="14" t="s">
        <v>344</v>
      </c>
      <c r="B295" s="20">
        <f t="shared" si="4"/>
        <v>1.9193857965451055E-3</v>
      </c>
      <c r="C295" s="21">
        <f>VLOOKUP(A295,Transcriptome!B:L,11,FALSE)</f>
        <v>5.2742616033756105E-4</v>
      </c>
      <c r="D295" s="21">
        <f>VLOOKUP(A295,Proteome!B:I,8,FALSE)</f>
        <v>5.8843569017312199E-4</v>
      </c>
      <c r="E295" s="21">
        <f>VLOOKUP(A295,'Consensus Phospho site'!$B$2:$G$522,6,FALSE)</f>
        <v>1.6273950544320925E-4</v>
      </c>
      <c r="F295" s="21">
        <f>VLOOKUP(A295,'AVP Regulation (PTM &amp; Ca-cAMP'!B:K,10,FALSE)</f>
        <v>1.5378898419219332E-4</v>
      </c>
      <c r="G295" s="21">
        <f>VLOOKUP(A295,'AQP2 Colocalization'!A:F,6,FALSE)</f>
        <v>1.1353651838623112E-4</v>
      </c>
    </row>
    <row r="296" spans="1:7" ht="15">
      <c r="A296" s="15" t="s">
        <v>152</v>
      </c>
      <c r="B296" s="20">
        <f t="shared" si="4"/>
        <v>1.9193857965451055E-3</v>
      </c>
      <c r="C296" s="21">
        <f>VLOOKUP(A296,Transcriptome!B:L,11,FALSE)</f>
        <v>5.2742616033756105E-4</v>
      </c>
      <c r="D296" s="21">
        <f>VLOOKUP(A296,Proteome!B:I,8,FALSE)</f>
        <v>3.0970299482795891E-4</v>
      </c>
      <c r="E296" s="21">
        <f>VLOOKUP(A296,'Consensus Phospho site'!$B$2:$G$522,6,FALSE)</f>
        <v>7.7087134157309632E-4</v>
      </c>
      <c r="F296" s="21">
        <f>VLOOKUP(A296,'AVP Regulation (PTM &amp; Ca-cAMP'!B:K,10,FALSE)</f>
        <v>7.284741356472313E-4</v>
      </c>
      <c r="G296" s="21">
        <f>VLOOKUP(A296,'AQP2 Colocalization'!A:F,6,FALSE)</f>
        <v>5.3780456077688404E-4</v>
      </c>
    </row>
    <row r="297" spans="1:7" ht="15">
      <c r="A297" s="14" t="s">
        <v>161</v>
      </c>
      <c r="B297" s="20">
        <f t="shared" si="4"/>
        <v>1.9193857965451055E-3</v>
      </c>
      <c r="C297" s="21">
        <f>VLOOKUP(A297,Transcriptome!B:L,11,FALSE)</f>
        <v>5.2742616033756105E-4</v>
      </c>
      <c r="D297" s="21">
        <f>VLOOKUP(A297,Proteome!B:I,8,FALSE)</f>
        <v>3.0970299482795891E-4</v>
      </c>
      <c r="E297" s="21">
        <f>VLOOKUP(A297,'Consensus Phospho site'!$B$2:$G$522,6,FALSE)</f>
        <v>7.7087134157309632E-4</v>
      </c>
      <c r="F297" s="21">
        <f>VLOOKUP(A297,'AVP Regulation (PTM &amp; Ca-cAMP'!B:K,10,FALSE)</f>
        <v>7.284741356472313E-4</v>
      </c>
      <c r="G297" s="21">
        <f>VLOOKUP(A297,'AQP2 Colocalization'!A:F,6,FALSE)</f>
        <v>5.3780456077688404E-4</v>
      </c>
    </row>
    <row r="298" spans="1:7" ht="15">
      <c r="A298" s="14" t="s">
        <v>164</v>
      </c>
      <c r="B298" s="20">
        <f t="shared" si="4"/>
        <v>1.9193857965451055E-3</v>
      </c>
      <c r="C298" s="21">
        <f>VLOOKUP(A298,Transcriptome!B:L,11,FALSE)</f>
        <v>5.2742616033756105E-4</v>
      </c>
      <c r="D298" s="21">
        <f>VLOOKUP(A298,Proteome!B:I,8,FALSE)</f>
        <v>3.0970299482795891E-4</v>
      </c>
      <c r="E298" s="21">
        <f>VLOOKUP(A298,'Consensus Phospho site'!$B$2:$G$522,6,FALSE)</f>
        <v>7.7087134157309632E-4</v>
      </c>
      <c r="F298" s="21">
        <f>VLOOKUP(A298,'AVP Regulation (PTM &amp; Ca-cAMP'!B:K,10,FALSE)</f>
        <v>7.284741356472313E-4</v>
      </c>
      <c r="G298" s="21">
        <f>VLOOKUP(A298,'AQP2 Colocalization'!A:F,6,FALSE)</f>
        <v>5.3780456077688404E-4</v>
      </c>
    </row>
    <row r="299" spans="1:7" ht="15">
      <c r="A299" s="14" t="s">
        <v>172</v>
      </c>
      <c r="B299" s="20">
        <f t="shared" si="4"/>
        <v>1.9193857965451055E-3</v>
      </c>
      <c r="C299" s="21">
        <f>VLOOKUP(A299,Transcriptome!B:L,11,FALSE)</f>
        <v>5.2742616033756105E-4</v>
      </c>
      <c r="D299" s="21">
        <f>VLOOKUP(A299,Proteome!B:I,8,FALSE)</f>
        <v>3.0970299482795891E-4</v>
      </c>
      <c r="E299" s="21">
        <f>VLOOKUP(A299,'Consensus Phospho site'!$B$2:$G$522,6,FALSE)</f>
        <v>7.7087134157309632E-4</v>
      </c>
      <c r="F299" s="21">
        <f>VLOOKUP(A299,'AVP Regulation (PTM &amp; Ca-cAMP'!B:K,10,FALSE)</f>
        <v>7.284741356472313E-4</v>
      </c>
      <c r="G299" s="21">
        <f>VLOOKUP(A299,'AQP2 Colocalization'!A:F,6,FALSE)</f>
        <v>5.3780456077688404E-4</v>
      </c>
    </row>
    <row r="300" spans="1:7" ht="15">
      <c r="A300" s="14" t="s">
        <v>174</v>
      </c>
      <c r="B300" s="20">
        <f t="shared" si="4"/>
        <v>1.9193857965451055E-3</v>
      </c>
      <c r="C300" s="21">
        <f>VLOOKUP(A300,Transcriptome!B:L,11,FALSE)</f>
        <v>5.2742616033756105E-4</v>
      </c>
      <c r="D300" s="21">
        <f>VLOOKUP(A300,Proteome!B:I,8,FALSE)</f>
        <v>3.0970299482795891E-4</v>
      </c>
      <c r="E300" s="21">
        <f>VLOOKUP(A300,'Consensus Phospho site'!$B$2:$G$522,6,FALSE)</f>
        <v>7.7087134157309632E-4</v>
      </c>
      <c r="F300" s="21">
        <f>VLOOKUP(A300,'AVP Regulation (PTM &amp; Ca-cAMP'!B:K,10,FALSE)</f>
        <v>7.284741356472313E-4</v>
      </c>
      <c r="G300" s="21">
        <f>VLOOKUP(A300,'AQP2 Colocalization'!A:F,6,FALSE)</f>
        <v>5.3780456077688404E-4</v>
      </c>
    </row>
    <row r="301" spans="1:7" ht="15">
      <c r="A301" s="14" t="s">
        <v>184</v>
      </c>
      <c r="B301" s="20">
        <f t="shared" si="4"/>
        <v>1.9193857965451055E-3</v>
      </c>
      <c r="C301" s="21">
        <f>VLOOKUP(A301,Transcriptome!B:L,11,FALSE)</f>
        <v>5.2742616033756105E-4</v>
      </c>
      <c r="D301" s="21">
        <f>VLOOKUP(A301,Proteome!B:I,8,FALSE)</f>
        <v>3.0970299482795891E-4</v>
      </c>
      <c r="E301" s="21">
        <f>VLOOKUP(A301,'Consensus Phospho site'!$B$2:$G$522,6,FALSE)</f>
        <v>7.7087134157309632E-4</v>
      </c>
      <c r="F301" s="21">
        <f>VLOOKUP(A301,'AVP Regulation (PTM &amp; Ca-cAMP'!B:K,10,FALSE)</f>
        <v>7.284741356472313E-4</v>
      </c>
      <c r="G301" s="21">
        <f>VLOOKUP(A301,'AQP2 Colocalization'!A:F,6,FALSE)</f>
        <v>5.3780456077688404E-4</v>
      </c>
    </row>
    <row r="302" spans="1:7" ht="15">
      <c r="A302" s="14" t="s">
        <v>206</v>
      </c>
      <c r="B302" s="20">
        <f t="shared" si="4"/>
        <v>1.9193857965451055E-3</v>
      </c>
      <c r="C302" s="21">
        <f>VLOOKUP(A302,Transcriptome!B:L,11,FALSE)</f>
        <v>5.2742616033756105E-4</v>
      </c>
      <c r="D302" s="21">
        <f>VLOOKUP(A302,Proteome!B:I,8,FALSE)</f>
        <v>3.0970299482795891E-4</v>
      </c>
      <c r="E302" s="21">
        <f>VLOOKUP(A302,'Consensus Phospho site'!$B$2:$G$522,6,FALSE)</f>
        <v>7.7087134157309632E-4</v>
      </c>
      <c r="F302" s="21">
        <f>VLOOKUP(A302,'AVP Regulation (PTM &amp; Ca-cAMP'!B:K,10,FALSE)</f>
        <v>7.284741356472313E-4</v>
      </c>
      <c r="G302" s="21">
        <f>VLOOKUP(A302,'AQP2 Colocalization'!A:F,6,FALSE)</f>
        <v>5.3780456077688404E-4</v>
      </c>
    </row>
    <row r="303" spans="1:7" ht="15">
      <c r="A303" s="14" t="s">
        <v>250</v>
      </c>
      <c r="B303" s="20">
        <f t="shared" si="4"/>
        <v>1.9193857965451055E-3</v>
      </c>
      <c r="C303" s="21">
        <f>VLOOKUP(A303,Transcriptome!B:L,11,FALSE)</f>
        <v>5.2742616033756105E-4</v>
      </c>
      <c r="D303" s="21">
        <f>VLOOKUP(A303,Proteome!B:I,8,FALSE)</f>
        <v>5.8843569017312199E-4</v>
      </c>
      <c r="E303" s="21">
        <f>VLOOKUP(A303,'Consensus Phospho site'!$B$2:$G$522,6,FALSE)</f>
        <v>4.8821851632962771E-4</v>
      </c>
      <c r="F303" s="21">
        <f>VLOOKUP(A303,'AVP Regulation (PTM &amp; Ca-cAMP'!B:K,10,FALSE)</f>
        <v>5.9977703834955391E-4</v>
      </c>
      <c r="G303" s="21">
        <f>VLOOKUP(A303,'AQP2 Colocalization'!A:F,6,FALSE)</f>
        <v>4.4279242170630129E-4</v>
      </c>
    </row>
    <row r="304" spans="1:7" ht="15">
      <c r="A304" s="14" t="s">
        <v>41</v>
      </c>
      <c r="B304" s="20">
        <f t="shared" si="4"/>
        <v>1.9193857965451055E-3</v>
      </c>
      <c r="C304" s="21">
        <f>VLOOKUP(A304,Transcriptome!B:L,11,FALSE)</f>
        <v>3.6919831223629265E-3</v>
      </c>
      <c r="D304" s="21">
        <f>VLOOKUP(A304,Proteome!B:I,8,FALSE)</f>
        <v>2.1679209637957119E-3</v>
      </c>
      <c r="E304" s="21">
        <f>VLOOKUP(A304,'Consensus Phospho site'!$B$2:$G$522,6,FALSE)</f>
        <v>5.9956659900129697E-4</v>
      </c>
      <c r="F304" s="21">
        <f>VLOOKUP(A304,'AVP Regulation (PTM &amp; Ca-cAMP'!B:K,10,FALSE)</f>
        <v>5.665909943922909E-4</v>
      </c>
      <c r="G304" s="21">
        <f>VLOOKUP(A304,'AQP2 Colocalization'!A:F,6,FALSE)</f>
        <v>4.1829243615979861E-4</v>
      </c>
    </row>
    <row r="305" spans="1:7" ht="15">
      <c r="A305" s="14" t="s">
        <v>121</v>
      </c>
      <c r="B305" s="20">
        <f t="shared" si="4"/>
        <v>1.9193857965451055E-3</v>
      </c>
      <c r="C305" s="21">
        <f>VLOOKUP(A305,Transcriptome!B:L,11,FALSE)</f>
        <v>3.6919831223629265E-3</v>
      </c>
      <c r="D305" s="21">
        <f>VLOOKUP(A305,Proteome!B:I,8,FALSE)</f>
        <v>2.1679209637957119E-3</v>
      </c>
      <c r="E305" s="21">
        <f>VLOOKUP(A305,'Consensus Phospho site'!$B$2:$G$522,6,FALSE)</f>
        <v>5.9956659900129697E-4</v>
      </c>
      <c r="F305" s="21">
        <f>VLOOKUP(A305,'AVP Regulation (PTM &amp; Ca-cAMP'!B:K,10,FALSE)</f>
        <v>5.665909943922909E-4</v>
      </c>
      <c r="G305" s="21">
        <f>VLOOKUP(A305,'AQP2 Colocalization'!A:F,6,FALSE)</f>
        <v>4.1829243615979861E-4</v>
      </c>
    </row>
    <row r="306" spans="1:7" ht="15">
      <c r="A306" s="14" t="s">
        <v>103</v>
      </c>
      <c r="B306" s="20">
        <f t="shared" si="4"/>
        <v>1.9193857965451055E-3</v>
      </c>
      <c r="C306" s="21">
        <f>VLOOKUP(A306,Transcriptome!B:L,11,FALSE)</f>
        <v>3.6919831223629265E-3</v>
      </c>
      <c r="D306" s="21">
        <f>VLOOKUP(A306,Proteome!B:I,8,FALSE)</f>
        <v>2.1679209637957119E-3</v>
      </c>
      <c r="E306" s="21">
        <f>VLOOKUP(A306,'Consensus Phospho site'!$B$2:$G$522,6,FALSE)</f>
        <v>5.9956659900129697E-4</v>
      </c>
      <c r="F306" s="21">
        <f>VLOOKUP(A306,'AVP Regulation (PTM &amp; Ca-cAMP'!B:K,10,FALSE)</f>
        <v>5.665909943922909E-4</v>
      </c>
      <c r="G306" s="21">
        <f>VLOOKUP(A306,'AQP2 Colocalization'!A:F,6,FALSE)</f>
        <v>4.1829243615979861E-4</v>
      </c>
    </row>
    <row r="307" spans="1:7" ht="15">
      <c r="A307" s="14" t="s">
        <v>406</v>
      </c>
      <c r="B307" s="20">
        <f t="shared" si="4"/>
        <v>1.9193857965451055E-3</v>
      </c>
      <c r="C307" s="21">
        <f>VLOOKUP(A307,Transcriptome!B:L,11,FALSE)</f>
        <v>3.6919831223629265E-3</v>
      </c>
      <c r="D307" s="21">
        <f>VLOOKUP(A307,Proteome!B:I,8,FALSE)</f>
        <v>2.1679209637957119E-3</v>
      </c>
      <c r="E307" s="21">
        <f>VLOOKUP(A307,'Consensus Phospho site'!$B$2:$G$522,6,FALSE)</f>
        <v>5.9956659900129697E-4</v>
      </c>
      <c r="F307" s="21">
        <f>VLOOKUP(A307,'AVP Regulation (PTM &amp; Ca-cAMP'!B:K,10,FALSE)</f>
        <v>5.665909943922909E-4</v>
      </c>
      <c r="G307" s="21">
        <f>VLOOKUP(A307,'AQP2 Colocalization'!A:F,6,FALSE)</f>
        <v>4.1829243615979861E-4</v>
      </c>
    </row>
    <row r="308" spans="1:7" ht="15">
      <c r="A308" s="14" t="s">
        <v>63</v>
      </c>
      <c r="B308" s="20">
        <f t="shared" si="4"/>
        <v>1.9193857965451055E-3</v>
      </c>
      <c r="C308" s="21">
        <f>VLOOKUP(A308,Transcriptome!B:L,11,FALSE)</f>
        <v>5.0105485232068295E-3</v>
      </c>
      <c r="D308" s="21">
        <f>VLOOKUP(A308,Proteome!B:I,8,FALSE)</f>
        <v>5.5901390566446578E-3</v>
      </c>
      <c r="E308" s="21">
        <f>VLOOKUP(A308,'Consensus Phospho site'!$B$2:$G$522,6,FALSE)</f>
        <v>1.5460253017104872E-3</v>
      </c>
      <c r="F308" s="21">
        <f>VLOOKUP(A308,'AVP Regulation (PTM &amp; Ca-cAMP'!B:K,10,FALSE)</f>
        <v>1.1687962798606687E-4</v>
      </c>
      <c r="G308" s="21">
        <f>VLOOKUP(A308,'AQP2 Colocalization'!A:F,6,FALSE)</f>
        <v>1.9414744644045509E-4</v>
      </c>
    </row>
    <row r="309" spans="1:7" ht="15">
      <c r="A309" s="14" t="s">
        <v>110</v>
      </c>
      <c r="B309" s="20">
        <f t="shared" si="4"/>
        <v>1.9193857965451055E-3</v>
      </c>
      <c r="C309" s="21">
        <f>VLOOKUP(A309,Transcriptome!B:L,11,FALSE)</f>
        <v>5.2742616033756105E-4</v>
      </c>
      <c r="D309" s="21">
        <f>VLOOKUP(A309,Proteome!B:I,8,FALSE)</f>
        <v>5.8843569017312199E-4</v>
      </c>
      <c r="E309" s="21">
        <f>VLOOKUP(A309,'Consensus Phospho site'!$B$2:$G$522,6,FALSE)</f>
        <v>1.6273950544320925E-4</v>
      </c>
      <c r="F309" s="21">
        <f>VLOOKUP(A309,'AVP Regulation (PTM &amp; Ca-cAMP'!B:K,10,FALSE)</f>
        <v>1.5378898419219332E-4</v>
      </c>
      <c r="G309" s="21">
        <f>VLOOKUP(A309,'AQP2 Colocalization'!A:F,6,FALSE)</f>
        <v>1.1353651838623112E-4</v>
      </c>
    </row>
    <row r="310" spans="1:7" ht="15">
      <c r="A310" s="14" t="s">
        <v>52</v>
      </c>
      <c r="B310" s="20">
        <f t="shared" si="4"/>
        <v>1.9193857965451055E-3</v>
      </c>
      <c r="C310" s="21">
        <f>VLOOKUP(A310,Transcriptome!B:L,11,FALSE)</f>
        <v>5.2742616033756105E-4</v>
      </c>
      <c r="D310" s="21">
        <f>VLOOKUP(A310,Proteome!B:I,8,FALSE)</f>
        <v>5.8843569017312199E-4</v>
      </c>
      <c r="E310" s="21">
        <f>VLOOKUP(A310,'Consensus Phospho site'!$B$2:$G$522,6,FALSE)</f>
        <v>1.6273950544320925E-4</v>
      </c>
      <c r="F310" s="21">
        <f>VLOOKUP(A310,'AVP Regulation (PTM &amp; Ca-cAMP'!B:K,10,FALSE)</f>
        <v>1.5378898419219332E-4</v>
      </c>
      <c r="G310" s="21">
        <f>VLOOKUP(A310,'AQP2 Colocalization'!A:F,6,FALSE)</f>
        <v>1.1353651838623112E-4</v>
      </c>
    </row>
    <row r="311" spans="1:7" ht="15">
      <c r="A311" s="14" t="s">
        <v>35</v>
      </c>
      <c r="B311" s="20">
        <f t="shared" si="4"/>
        <v>1.9193857965451055E-3</v>
      </c>
      <c r="C311" s="21">
        <f>VLOOKUP(A311,Transcriptome!B:L,11,FALSE)</f>
        <v>5.2742616033756105E-4</v>
      </c>
      <c r="D311" s="21">
        <f>VLOOKUP(A311,Proteome!B:I,8,FALSE)</f>
        <v>5.8843569017312199E-4</v>
      </c>
      <c r="E311" s="21">
        <f>VLOOKUP(A311,'Consensus Phospho site'!$B$2:$G$522,6,FALSE)</f>
        <v>1.6273950544320925E-4</v>
      </c>
      <c r="F311" s="21">
        <f>VLOOKUP(A311,'AVP Regulation (PTM &amp; Ca-cAMP'!B:K,10,FALSE)</f>
        <v>1.5378898419219332E-4</v>
      </c>
      <c r="G311" s="21">
        <f>VLOOKUP(A311,'AQP2 Colocalization'!A:F,6,FALSE)</f>
        <v>1.1353651838623112E-4</v>
      </c>
    </row>
    <row r="312" spans="1:7" ht="15">
      <c r="A312" s="14" t="s">
        <v>37</v>
      </c>
      <c r="B312" s="20">
        <f t="shared" si="4"/>
        <v>1.9193857965451055E-3</v>
      </c>
      <c r="C312" s="21">
        <f>VLOOKUP(A312,Transcriptome!B:L,11,FALSE)</f>
        <v>5.2742616033756105E-4</v>
      </c>
      <c r="D312" s="21">
        <f>VLOOKUP(A312,Proteome!B:I,8,FALSE)</f>
        <v>5.8843569017312199E-4</v>
      </c>
      <c r="E312" s="21">
        <f>VLOOKUP(A312,'Consensus Phospho site'!$B$2:$G$522,6,FALSE)</f>
        <v>1.6273950544320925E-4</v>
      </c>
      <c r="F312" s="21">
        <f>VLOOKUP(A312,'AVP Regulation (PTM &amp; Ca-cAMP'!B:K,10,FALSE)</f>
        <v>1.5378898419219332E-4</v>
      </c>
      <c r="G312" s="21">
        <f>VLOOKUP(A312,'AQP2 Colocalization'!A:F,6,FALSE)</f>
        <v>1.1353651838623112E-4</v>
      </c>
    </row>
    <row r="313" spans="1:7" ht="15">
      <c r="A313" s="14" t="s">
        <v>365</v>
      </c>
      <c r="B313" s="20">
        <f t="shared" si="4"/>
        <v>1.9193857965451055E-3</v>
      </c>
      <c r="C313" s="21">
        <f>VLOOKUP(A313,Transcriptome!B:L,11,FALSE)</f>
        <v>5.2742616033756105E-4</v>
      </c>
      <c r="D313" s="21">
        <f>VLOOKUP(A313,Proteome!B:I,8,FALSE)</f>
        <v>5.8843569017312199E-4</v>
      </c>
      <c r="E313" s="21">
        <f>VLOOKUP(A313,'Consensus Phospho site'!$B$2:$G$522,6,FALSE)</f>
        <v>1.6273950544320925E-4</v>
      </c>
      <c r="F313" s="21">
        <f>VLOOKUP(A313,'AVP Regulation (PTM &amp; Ca-cAMP'!B:K,10,FALSE)</f>
        <v>1.5378898419219332E-4</v>
      </c>
      <c r="G313" s="21">
        <f>VLOOKUP(A313,'AQP2 Colocalization'!A:F,6,FALSE)</f>
        <v>1.1353651838623112E-4</v>
      </c>
    </row>
    <row r="314" spans="1:7" ht="15">
      <c r="A314" s="14" t="s">
        <v>377</v>
      </c>
      <c r="B314" s="20">
        <f t="shared" si="4"/>
        <v>1.9193857965451055E-3</v>
      </c>
      <c r="C314" s="21">
        <f>VLOOKUP(A314,Transcriptome!B:L,11,FALSE)</f>
        <v>5.2742616033756105E-4</v>
      </c>
      <c r="D314" s="21">
        <f>VLOOKUP(A314,Proteome!B:I,8,FALSE)</f>
        <v>5.8843569017312199E-4</v>
      </c>
      <c r="E314" s="21">
        <f>VLOOKUP(A314,'Consensus Phospho site'!$B$2:$G$522,6,FALSE)</f>
        <v>1.6273950544320925E-4</v>
      </c>
      <c r="F314" s="21">
        <f>VLOOKUP(A314,'AVP Regulation (PTM &amp; Ca-cAMP'!B:K,10,FALSE)</f>
        <v>1.5378898419219332E-4</v>
      </c>
      <c r="G314" s="21">
        <f>VLOOKUP(A314,'AQP2 Colocalization'!A:F,6,FALSE)</f>
        <v>1.1353651838623112E-4</v>
      </c>
    </row>
    <row r="315" spans="1:7" ht="15">
      <c r="A315" s="14" t="s">
        <v>1</v>
      </c>
      <c r="B315" s="20">
        <f t="shared" si="4"/>
        <v>1.9193857965451055E-3</v>
      </c>
      <c r="C315" s="21">
        <f>VLOOKUP(A315,Transcriptome!B:L,11,FALSE)</f>
        <v>5.2742616033756105E-4</v>
      </c>
      <c r="D315" s="21">
        <f>VLOOKUP(A315,Proteome!B:I,8,FALSE)</f>
        <v>5.8843569017312199E-4</v>
      </c>
      <c r="E315" s="21">
        <f>VLOOKUP(A315,'Consensus Phospho site'!$B$2:$G$522,6,FALSE)</f>
        <v>1.6273950544320925E-4</v>
      </c>
      <c r="F315" s="21">
        <f>VLOOKUP(A315,'AVP Regulation (PTM &amp; Ca-cAMP'!B:K,10,FALSE)</f>
        <v>1.5378898419219332E-4</v>
      </c>
      <c r="G315" s="21">
        <f>VLOOKUP(A315,'AQP2 Colocalization'!A:F,6,FALSE)</f>
        <v>1.1353651838623112E-4</v>
      </c>
    </row>
    <row r="316" spans="1:7" ht="15">
      <c r="A316" s="14" t="s">
        <v>56</v>
      </c>
      <c r="B316" s="20">
        <f t="shared" si="4"/>
        <v>1.9193857965451055E-3</v>
      </c>
      <c r="C316" s="21">
        <f>VLOOKUP(A316,Transcriptome!B:L,11,FALSE)</f>
        <v>5.2742616033756105E-4</v>
      </c>
      <c r="D316" s="21">
        <f>VLOOKUP(A316,Proteome!B:I,8,FALSE)</f>
        <v>5.8843569017312199E-4</v>
      </c>
      <c r="E316" s="21">
        <f>VLOOKUP(A316,'Consensus Phospho site'!$B$2:$G$522,6,FALSE)</f>
        <v>1.6273950544320925E-4</v>
      </c>
      <c r="F316" s="21">
        <f>VLOOKUP(A316,'AVP Regulation (PTM &amp; Ca-cAMP'!B:K,10,FALSE)</f>
        <v>1.5378898419219332E-4</v>
      </c>
      <c r="G316" s="21">
        <f>VLOOKUP(A316,'AQP2 Colocalization'!A:F,6,FALSE)</f>
        <v>1.1353651838623112E-4</v>
      </c>
    </row>
    <row r="317" spans="1:7" ht="15">
      <c r="A317" s="15" t="s">
        <v>224</v>
      </c>
      <c r="B317" s="20">
        <f t="shared" si="4"/>
        <v>1.9193857965451055E-3</v>
      </c>
      <c r="C317" s="21">
        <f>VLOOKUP(A317,Transcriptome!B:L,11,FALSE)</f>
        <v>5.2742616033756105E-4</v>
      </c>
      <c r="D317" s="21">
        <f>VLOOKUP(A317,Proteome!B:I,8,FALSE)</f>
        <v>5.8843569017312199E-4</v>
      </c>
      <c r="E317" s="21">
        <f>VLOOKUP(A317,'Consensus Phospho site'!$B$2:$G$522,6,FALSE)</f>
        <v>1.6273950544320925E-4</v>
      </c>
      <c r="F317" s="21">
        <f>VLOOKUP(A317,'AVP Regulation (PTM &amp; Ca-cAMP'!B:K,10,FALSE)</f>
        <v>1.5378898419219332E-4</v>
      </c>
      <c r="G317" s="21">
        <f>VLOOKUP(A317,'AQP2 Colocalization'!A:F,6,FALSE)</f>
        <v>1.1353651838623112E-4</v>
      </c>
    </row>
    <row r="318" spans="1:7" ht="15">
      <c r="A318" s="14" t="s">
        <v>485</v>
      </c>
      <c r="B318" s="20">
        <f t="shared" si="4"/>
        <v>1.9193857965451055E-3</v>
      </c>
      <c r="C318" s="21">
        <f>VLOOKUP(A318,Transcriptome!B:L,11,FALSE)</f>
        <v>5.2742616033756105E-4</v>
      </c>
      <c r="D318" s="21">
        <f>VLOOKUP(A318,Proteome!B:I,8,FALSE)</f>
        <v>3.0970299482795891E-4</v>
      </c>
      <c r="E318" s="21">
        <f>VLOOKUP(A318,'Consensus Phospho site'!$B$2:$G$522,6,FALSE)</f>
        <v>4.2826185642949794E-4</v>
      </c>
      <c r="F318" s="21">
        <f>VLOOKUP(A318,'AVP Regulation (PTM &amp; Ca-cAMP'!B:K,10,FALSE)</f>
        <v>5.2612020907855594E-4</v>
      </c>
      <c r="G318" s="21">
        <f>VLOOKUP(A318,'AQP2 Colocalization'!A:F,6,FALSE)</f>
        <v>3.8841440500552734E-4</v>
      </c>
    </row>
    <row r="319" spans="1:7" ht="15">
      <c r="A319" s="14" t="s">
        <v>309</v>
      </c>
      <c r="B319" s="20">
        <f t="shared" si="4"/>
        <v>1.9193857965451055E-3</v>
      </c>
      <c r="C319" s="21">
        <f>VLOOKUP(A319,Transcriptome!B:L,11,FALSE)</f>
        <v>5.2742616033756105E-4</v>
      </c>
      <c r="D319" s="21">
        <f>VLOOKUP(A319,Proteome!B:I,8,FALSE)</f>
        <v>5.8843569017312199E-4</v>
      </c>
      <c r="E319" s="21">
        <f>VLOOKUP(A319,'Consensus Phospho site'!$B$2:$G$522,6,FALSE)</f>
        <v>4.8821851632962771E-4</v>
      </c>
      <c r="F319" s="21">
        <f>VLOOKUP(A319,'AVP Regulation (PTM &amp; Ca-cAMP'!B:K,10,FALSE)</f>
        <v>4.613669525765799E-4</v>
      </c>
      <c r="G319" s="21">
        <f>VLOOKUP(A319,'AQP2 Colocalization'!A:F,6,FALSE)</f>
        <v>3.4060955515869329E-4</v>
      </c>
    </row>
    <row r="320" spans="1:7" ht="15">
      <c r="A320" s="14" t="s">
        <v>283</v>
      </c>
      <c r="B320" s="20">
        <f t="shared" si="4"/>
        <v>1.9193857965451055E-3</v>
      </c>
      <c r="C320" s="21">
        <f>VLOOKUP(A320,Transcriptome!B:L,11,FALSE)</f>
        <v>5.2742616033756105E-4</v>
      </c>
      <c r="D320" s="21">
        <f>VLOOKUP(A320,Proteome!B:I,8,FALSE)</f>
        <v>5.8843569017312199E-4</v>
      </c>
      <c r="E320" s="21">
        <f>VLOOKUP(A320,'Consensus Phospho site'!$B$2:$G$522,6,FALSE)</f>
        <v>4.8821851632962771E-4</v>
      </c>
      <c r="F320" s="21">
        <f>VLOOKUP(A320,'AVP Regulation (PTM &amp; Ca-cAMP'!B:K,10,FALSE)</f>
        <v>4.613669525765799E-4</v>
      </c>
      <c r="G320" s="21">
        <f>VLOOKUP(A320,'AQP2 Colocalization'!A:F,6,FALSE)</f>
        <v>3.4060955515869329E-4</v>
      </c>
    </row>
    <row r="321" spans="1:7" ht="15">
      <c r="A321" s="14" t="s">
        <v>148</v>
      </c>
      <c r="B321" s="20">
        <f t="shared" si="4"/>
        <v>1.9193857965451055E-3</v>
      </c>
      <c r="C321" s="21">
        <f>VLOOKUP(A321,Transcriptome!B:L,11,FALSE)</f>
        <v>5.2742616033756105E-4</v>
      </c>
      <c r="D321" s="21">
        <f>VLOOKUP(A321,Proteome!B:I,8,FALSE)</f>
        <v>5.8843569017312199E-4</v>
      </c>
      <c r="E321" s="21">
        <f>VLOOKUP(A321,'Consensus Phospho site'!$B$2:$G$522,6,FALSE)</f>
        <v>4.8821851632962771E-4</v>
      </c>
      <c r="F321" s="21">
        <f>VLOOKUP(A321,'AVP Regulation (PTM &amp; Ca-cAMP'!B:K,10,FALSE)</f>
        <v>4.613669525765799E-4</v>
      </c>
      <c r="G321" s="21">
        <f>VLOOKUP(A321,'AQP2 Colocalization'!A:F,6,FALSE)</f>
        <v>3.4060955515869329E-4</v>
      </c>
    </row>
    <row r="322" spans="1:7" ht="15">
      <c r="A322" s="14" t="s">
        <v>237</v>
      </c>
      <c r="B322" s="20">
        <f t="shared" ref="B322:B385" si="5">1/521</f>
        <v>1.9193857965451055E-3</v>
      </c>
      <c r="C322" s="21">
        <f>VLOOKUP(A322,Transcriptome!B:L,11,FALSE)</f>
        <v>5.2742616033756105E-4</v>
      </c>
      <c r="D322" s="21">
        <f>VLOOKUP(A322,Proteome!B:I,8,FALSE)</f>
        <v>5.8843569017312199E-4</v>
      </c>
      <c r="E322" s="21">
        <f>VLOOKUP(A322,'Consensus Phospho site'!$B$2:$G$522,6,FALSE)</f>
        <v>4.8821851632962771E-4</v>
      </c>
      <c r="F322" s="21">
        <f>VLOOKUP(A322,'AVP Regulation (PTM &amp; Ca-cAMP'!B:K,10,FALSE)</f>
        <v>4.613669525765799E-4</v>
      </c>
      <c r="G322" s="21">
        <f>VLOOKUP(A322,'AQP2 Colocalization'!A:F,6,FALSE)</f>
        <v>3.4060955515869329E-4</v>
      </c>
    </row>
    <row r="323" spans="1:7" ht="15">
      <c r="A323" s="14" t="s">
        <v>264</v>
      </c>
      <c r="B323" s="20">
        <f t="shared" si="5"/>
        <v>1.9193857965451055E-3</v>
      </c>
      <c r="C323" s="21">
        <f>VLOOKUP(A323,Transcriptome!B:L,11,FALSE)</f>
        <v>5.2742616033756105E-4</v>
      </c>
      <c r="D323" s="21">
        <f>VLOOKUP(A323,Proteome!B:I,8,FALSE)</f>
        <v>5.8843569017312199E-4</v>
      </c>
      <c r="E323" s="21">
        <f>VLOOKUP(A323,'Consensus Phospho site'!$B$2:$G$522,6,FALSE)</f>
        <v>4.8821851632962771E-4</v>
      </c>
      <c r="F323" s="21">
        <f>VLOOKUP(A323,'AVP Regulation (PTM &amp; Ca-cAMP'!B:K,10,FALSE)</f>
        <v>4.613669525765799E-4</v>
      </c>
      <c r="G323" s="21">
        <f>VLOOKUP(A323,'AQP2 Colocalization'!A:F,6,FALSE)</f>
        <v>3.4060955515869329E-4</v>
      </c>
    </row>
    <row r="324" spans="1:7" ht="15">
      <c r="A324" s="14" t="s">
        <v>251</v>
      </c>
      <c r="B324" s="20">
        <f t="shared" si="5"/>
        <v>1.9193857965451055E-3</v>
      </c>
      <c r="C324" s="21">
        <f>VLOOKUP(A324,Transcriptome!B:L,11,FALSE)</f>
        <v>5.2742616033756105E-4</v>
      </c>
      <c r="D324" s="21">
        <f>VLOOKUP(A324,Proteome!B:I,8,FALSE)</f>
        <v>5.8843569017312199E-4</v>
      </c>
      <c r="E324" s="21">
        <f>VLOOKUP(A324,'Consensus Phospho site'!$B$2:$G$522,6,FALSE)</f>
        <v>4.8821851632962771E-4</v>
      </c>
      <c r="F324" s="21">
        <f>VLOOKUP(A324,'AVP Regulation (PTM &amp; Ca-cAMP'!B:K,10,FALSE)</f>
        <v>4.613669525765799E-4</v>
      </c>
      <c r="G324" s="21">
        <f>VLOOKUP(A324,'AQP2 Colocalization'!A:F,6,FALSE)</f>
        <v>3.4060955515869329E-4</v>
      </c>
    </row>
    <row r="325" spans="1:7" ht="15">
      <c r="A325" s="14" t="s">
        <v>316</v>
      </c>
      <c r="B325" s="20">
        <f t="shared" si="5"/>
        <v>1.9193857965451055E-3</v>
      </c>
      <c r="C325" s="21">
        <f>VLOOKUP(A325,Transcriptome!B:L,11,FALSE)</f>
        <v>5.2742616033756105E-4</v>
      </c>
      <c r="D325" s="21">
        <f>VLOOKUP(A325,Proteome!B:I,8,FALSE)</f>
        <v>5.8843569017312199E-4</v>
      </c>
      <c r="E325" s="21">
        <f>VLOOKUP(A325,'Consensus Phospho site'!$B$2:$G$522,6,FALSE)</f>
        <v>4.8821851632962771E-4</v>
      </c>
      <c r="F325" s="21">
        <f>VLOOKUP(A325,'AVP Regulation (PTM &amp; Ca-cAMP'!B:K,10,FALSE)</f>
        <v>4.613669525765799E-4</v>
      </c>
      <c r="G325" s="21">
        <f>VLOOKUP(A325,'AQP2 Colocalization'!A:F,6,FALSE)</f>
        <v>3.4060955515869329E-4</v>
      </c>
    </row>
    <row r="326" spans="1:7" ht="15">
      <c r="A326" s="14" t="s">
        <v>296</v>
      </c>
      <c r="B326" s="20">
        <f t="shared" si="5"/>
        <v>1.9193857965451055E-3</v>
      </c>
      <c r="C326" s="21">
        <f>VLOOKUP(A326,Transcriptome!B:L,11,FALSE)</f>
        <v>5.2742616033756105E-4</v>
      </c>
      <c r="D326" s="21">
        <f>VLOOKUP(A326,Proteome!B:I,8,FALSE)</f>
        <v>5.8843569017312199E-4</v>
      </c>
      <c r="E326" s="21">
        <f>VLOOKUP(A326,'Consensus Phospho site'!$B$2:$G$522,6,FALSE)</f>
        <v>4.8821851632962771E-4</v>
      </c>
      <c r="F326" s="21">
        <f>VLOOKUP(A326,'AVP Regulation (PTM &amp; Ca-cAMP'!B:K,10,FALSE)</f>
        <v>4.613669525765799E-4</v>
      </c>
      <c r="G326" s="21">
        <f>VLOOKUP(A326,'AQP2 Colocalization'!A:F,6,FALSE)</f>
        <v>3.4060955515869329E-4</v>
      </c>
    </row>
    <row r="327" spans="1:7" ht="15">
      <c r="A327" s="14" t="s">
        <v>304</v>
      </c>
      <c r="B327" s="20">
        <f t="shared" si="5"/>
        <v>1.9193857965451055E-3</v>
      </c>
      <c r="C327" s="21">
        <f>VLOOKUP(A327,Transcriptome!B:L,11,FALSE)</f>
        <v>5.2742616033756105E-4</v>
      </c>
      <c r="D327" s="21">
        <f>VLOOKUP(A327,Proteome!B:I,8,FALSE)</f>
        <v>5.8843569017312199E-4</v>
      </c>
      <c r="E327" s="21">
        <f>VLOOKUP(A327,'Consensus Phospho site'!$B$2:$G$522,6,FALSE)</f>
        <v>4.8821851632962771E-4</v>
      </c>
      <c r="F327" s="21">
        <f>VLOOKUP(A327,'AVP Regulation (PTM &amp; Ca-cAMP'!B:K,10,FALSE)</f>
        <v>4.613669525765799E-4</v>
      </c>
      <c r="G327" s="21">
        <f>VLOOKUP(A327,'AQP2 Colocalization'!A:F,6,FALSE)</f>
        <v>3.4060955515869329E-4</v>
      </c>
    </row>
    <row r="328" spans="1:7" ht="15">
      <c r="A328" s="14" t="s">
        <v>306</v>
      </c>
      <c r="B328" s="20">
        <f t="shared" si="5"/>
        <v>1.9193857965451055E-3</v>
      </c>
      <c r="C328" s="21">
        <f>VLOOKUP(A328,Transcriptome!B:L,11,FALSE)</f>
        <v>5.2742616033756105E-4</v>
      </c>
      <c r="D328" s="21">
        <f>VLOOKUP(A328,Proteome!B:I,8,FALSE)</f>
        <v>5.8843569017312199E-4</v>
      </c>
      <c r="E328" s="21">
        <f>VLOOKUP(A328,'Consensus Phospho site'!$B$2:$G$522,6,FALSE)</f>
        <v>4.8821851632962771E-4</v>
      </c>
      <c r="F328" s="21">
        <f>VLOOKUP(A328,'AVP Regulation (PTM &amp; Ca-cAMP'!B:K,10,FALSE)</f>
        <v>4.613669525765799E-4</v>
      </c>
      <c r="G328" s="21">
        <f>VLOOKUP(A328,'AQP2 Colocalization'!A:F,6,FALSE)</f>
        <v>3.4060955515869329E-4</v>
      </c>
    </row>
    <row r="329" spans="1:7" ht="15">
      <c r="A329" s="14" t="s">
        <v>253</v>
      </c>
      <c r="B329" s="20">
        <f t="shared" si="5"/>
        <v>1.9193857965451055E-3</v>
      </c>
      <c r="C329" s="21">
        <f>VLOOKUP(A329,Transcriptome!B:L,11,FALSE)</f>
        <v>5.2742616033756105E-4</v>
      </c>
      <c r="D329" s="21">
        <f>VLOOKUP(A329,Proteome!B:I,8,FALSE)</f>
        <v>5.8843569017312199E-4</v>
      </c>
      <c r="E329" s="21">
        <f>VLOOKUP(A329,'Consensus Phospho site'!$B$2:$G$522,6,FALSE)</f>
        <v>4.8821851632962771E-4</v>
      </c>
      <c r="F329" s="21">
        <f>VLOOKUP(A329,'AVP Regulation (PTM &amp; Ca-cAMP'!B:K,10,FALSE)</f>
        <v>4.613669525765799E-4</v>
      </c>
      <c r="G329" s="21">
        <f>VLOOKUP(A329,'AQP2 Colocalization'!A:F,6,FALSE)</f>
        <v>3.4060955515869329E-4</v>
      </c>
    </row>
    <row r="330" spans="1:7" ht="15">
      <c r="A330" s="14" t="s">
        <v>262</v>
      </c>
      <c r="B330" s="20">
        <f t="shared" si="5"/>
        <v>1.9193857965451055E-3</v>
      </c>
      <c r="C330" s="21">
        <f>VLOOKUP(A330,Transcriptome!B:L,11,FALSE)</f>
        <v>5.2742616033756105E-4</v>
      </c>
      <c r="D330" s="21">
        <f>VLOOKUP(A330,Proteome!B:I,8,FALSE)</f>
        <v>5.8843569017312199E-4</v>
      </c>
      <c r="E330" s="21">
        <f>VLOOKUP(A330,'Consensus Phospho site'!$B$2:$G$522,6,FALSE)</f>
        <v>4.8821851632962771E-4</v>
      </c>
      <c r="F330" s="21">
        <f>VLOOKUP(A330,'AVP Regulation (PTM &amp; Ca-cAMP'!B:K,10,FALSE)</f>
        <v>4.613669525765799E-4</v>
      </c>
      <c r="G330" s="21">
        <f>VLOOKUP(A330,'AQP2 Colocalization'!A:F,6,FALSE)</f>
        <v>3.4060955515869329E-4</v>
      </c>
    </row>
    <row r="331" spans="1:7" ht="15">
      <c r="A331" s="14" t="s">
        <v>213</v>
      </c>
      <c r="B331" s="20">
        <f t="shared" si="5"/>
        <v>1.9193857965451055E-3</v>
      </c>
      <c r="C331" s="21">
        <f>VLOOKUP(A331,Transcriptome!B:L,11,FALSE)</f>
        <v>5.2742616033756105E-4</v>
      </c>
      <c r="D331" s="21">
        <f>VLOOKUP(A331,Proteome!B:I,8,FALSE)</f>
        <v>5.8843569017312199E-4</v>
      </c>
      <c r="E331" s="21">
        <f>VLOOKUP(A331,'Consensus Phospho site'!$B$2:$G$522,6,FALSE)</f>
        <v>4.8821851632962771E-4</v>
      </c>
      <c r="F331" s="21">
        <f>VLOOKUP(A331,'AVP Regulation (PTM &amp; Ca-cAMP'!B:K,10,FALSE)</f>
        <v>4.613669525765799E-4</v>
      </c>
      <c r="G331" s="21">
        <f>VLOOKUP(A331,'AQP2 Colocalization'!A:F,6,FALSE)</f>
        <v>3.4060955515869329E-4</v>
      </c>
    </row>
    <row r="332" spans="1:7" ht="15">
      <c r="A332" s="14" t="s">
        <v>217</v>
      </c>
      <c r="B332" s="20">
        <f t="shared" si="5"/>
        <v>1.9193857965451055E-3</v>
      </c>
      <c r="C332" s="21">
        <f>VLOOKUP(A332,Transcriptome!B:L,11,FALSE)</f>
        <v>5.2742616033756105E-4</v>
      </c>
      <c r="D332" s="21">
        <f>VLOOKUP(A332,Proteome!B:I,8,FALSE)</f>
        <v>5.8843569017312199E-4</v>
      </c>
      <c r="E332" s="21">
        <f>VLOOKUP(A332,'Consensus Phospho site'!$B$2:$G$522,6,FALSE)</f>
        <v>4.8821851632962771E-4</v>
      </c>
      <c r="F332" s="21">
        <f>VLOOKUP(A332,'AVP Regulation (PTM &amp; Ca-cAMP'!B:K,10,FALSE)</f>
        <v>4.613669525765799E-4</v>
      </c>
      <c r="G332" s="21">
        <f>VLOOKUP(A332,'AQP2 Colocalization'!A:F,6,FALSE)</f>
        <v>3.4060955515869329E-4</v>
      </c>
    </row>
    <row r="333" spans="1:7" ht="15">
      <c r="A333" s="14" t="s">
        <v>218</v>
      </c>
      <c r="B333" s="20">
        <f t="shared" si="5"/>
        <v>1.9193857965451055E-3</v>
      </c>
      <c r="C333" s="21">
        <f>VLOOKUP(A333,Transcriptome!B:L,11,FALSE)</f>
        <v>5.2742616033756105E-4</v>
      </c>
      <c r="D333" s="21">
        <f>VLOOKUP(A333,Proteome!B:I,8,FALSE)</f>
        <v>5.8843569017312199E-4</v>
      </c>
      <c r="E333" s="21">
        <f>VLOOKUP(A333,'Consensus Phospho site'!$B$2:$G$522,6,FALSE)</f>
        <v>4.8821851632962771E-4</v>
      </c>
      <c r="F333" s="21">
        <f>VLOOKUP(A333,'AVP Regulation (PTM &amp; Ca-cAMP'!B:K,10,FALSE)</f>
        <v>4.613669525765799E-4</v>
      </c>
      <c r="G333" s="21">
        <f>VLOOKUP(A333,'AQP2 Colocalization'!A:F,6,FALSE)</f>
        <v>3.4060955515869329E-4</v>
      </c>
    </row>
    <row r="334" spans="1:7" ht="15">
      <c r="A334" s="14" t="s">
        <v>315</v>
      </c>
      <c r="B334" s="20">
        <f t="shared" si="5"/>
        <v>1.9193857965451055E-3</v>
      </c>
      <c r="C334" s="21">
        <f>VLOOKUP(A334,Transcriptome!B:L,11,FALSE)</f>
        <v>5.2742616033756105E-4</v>
      </c>
      <c r="D334" s="21">
        <f>VLOOKUP(A334,Proteome!B:I,8,FALSE)</f>
        <v>5.8843569017312199E-4</v>
      </c>
      <c r="E334" s="21">
        <f>VLOOKUP(A334,'Consensus Phospho site'!$B$2:$G$522,6,FALSE)</f>
        <v>4.8821851632962771E-4</v>
      </c>
      <c r="F334" s="21">
        <f>VLOOKUP(A334,'AVP Regulation (PTM &amp; Ca-cAMP'!B:K,10,FALSE)</f>
        <v>4.613669525765799E-4</v>
      </c>
      <c r="G334" s="21">
        <f>VLOOKUP(A334,'AQP2 Colocalization'!A:F,6,FALSE)</f>
        <v>3.4060955515869329E-4</v>
      </c>
    </row>
    <row r="335" spans="1:7" ht="15">
      <c r="A335" s="14" t="s">
        <v>214</v>
      </c>
      <c r="B335" s="20">
        <f t="shared" si="5"/>
        <v>1.9193857965451055E-3</v>
      </c>
      <c r="C335" s="21">
        <f>VLOOKUP(A335,Transcriptome!B:L,11,FALSE)</f>
        <v>5.2742616033756105E-4</v>
      </c>
      <c r="D335" s="21">
        <f>VLOOKUP(A335,Proteome!B:I,8,FALSE)</f>
        <v>5.8843569017312199E-4</v>
      </c>
      <c r="E335" s="21">
        <f>VLOOKUP(A335,'Consensus Phospho site'!$B$2:$G$522,6,FALSE)</f>
        <v>4.8821851632962771E-4</v>
      </c>
      <c r="F335" s="21">
        <f>VLOOKUP(A335,'AVP Regulation (PTM &amp; Ca-cAMP'!B:K,10,FALSE)</f>
        <v>4.613669525765799E-4</v>
      </c>
      <c r="G335" s="21">
        <f>VLOOKUP(A335,'AQP2 Colocalization'!A:F,6,FALSE)</f>
        <v>3.4060955515869329E-4</v>
      </c>
    </row>
    <row r="336" spans="1:7" ht="15">
      <c r="A336" s="14" t="s">
        <v>235</v>
      </c>
      <c r="B336" s="20">
        <f t="shared" si="5"/>
        <v>1.9193857965451055E-3</v>
      </c>
      <c r="C336" s="21">
        <f>VLOOKUP(A336,Transcriptome!B:L,11,FALSE)</f>
        <v>5.2742616033756105E-4</v>
      </c>
      <c r="D336" s="21">
        <f>VLOOKUP(A336,Proteome!B:I,8,FALSE)</f>
        <v>3.0970299482795891E-4</v>
      </c>
      <c r="E336" s="21">
        <f>VLOOKUP(A336,'Consensus Phospho site'!$B$2:$G$522,6,FALSE)</f>
        <v>2.5695711385769875E-4</v>
      </c>
      <c r="F336" s="21">
        <f>VLOOKUP(A336,'AVP Regulation (PTM &amp; Ca-cAMP'!B:K,10,FALSE)</f>
        <v>4.3708448138833877E-4</v>
      </c>
      <c r="G336" s="21">
        <f>VLOOKUP(A336,'AQP2 Colocalization'!A:F,6,FALSE)</f>
        <v>3.226827364661304E-4</v>
      </c>
    </row>
    <row r="337" spans="1:7" ht="15">
      <c r="A337" s="14" t="s">
        <v>64</v>
      </c>
      <c r="B337" s="20">
        <f t="shared" si="5"/>
        <v>1.9193857965451055E-3</v>
      </c>
      <c r="C337" s="21">
        <f>VLOOKUP(A337,Transcriptome!B:L,11,FALSE)</f>
        <v>3.6919831223629265E-3</v>
      </c>
      <c r="D337" s="21">
        <f>VLOOKUP(A337,Proteome!B:I,8,FALSE)</f>
        <v>4.1190498312118524E-3</v>
      </c>
      <c r="E337" s="21">
        <f>VLOOKUP(A337,'Consensus Phospho site'!$B$2:$G$522,6,FALSE)</f>
        <v>1.1391765381024643E-3</v>
      </c>
      <c r="F337" s="21">
        <f>VLOOKUP(A337,'AVP Regulation (PTM &amp; Ca-cAMP'!B:K,10,FALSE)</f>
        <v>8.6121831147628204E-5</v>
      </c>
      <c r="G337" s="21">
        <f>VLOOKUP(A337,'AQP2 Colocalization'!A:F,6,FALSE)</f>
        <v>1.4305601316665111E-4</v>
      </c>
    </row>
    <row r="338" spans="1:7" ht="15">
      <c r="A338" s="14" t="s">
        <v>428</v>
      </c>
      <c r="B338" s="20">
        <f t="shared" si="5"/>
        <v>1.9193857965451055E-3</v>
      </c>
      <c r="C338" s="21">
        <f>VLOOKUP(A338,Transcriptome!B:L,11,FALSE)</f>
        <v>5.2742616033756105E-4</v>
      </c>
      <c r="D338" s="21">
        <f>VLOOKUP(A338,Proteome!B:I,8,FALSE)</f>
        <v>3.0970299482795891E-4</v>
      </c>
      <c r="E338" s="21">
        <f>VLOOKUP(A338,'Consensus Phospho site'!$B$2:$G$522,6,FALSE)</f>
        <v>4.2826185642949794E-4</v>
      </c>
      <c r="F338" s="21">
        <f>VLOOKUP(A338,'AVP Regulation (PTM &amp; Ca-cAMP'!B:K,10,FALSE)</f>
        <v>4.0470785313735072E-4</v>
      </c>
      <c r="G338" s="21">
        <f>VLOOKUP(A338,'AQP2 Colocalization'!A:F,6,FALSE)</f>
        <v>2.9878031154271335E-4</v>
      </c>
    </row>
    <row r="339" spans="1:7" ht="15">
      <c r="A339" s="14" t="s">
        <v>459</v>
      </c>
      <c r="B339" s="20">
        <f t="shared" si="5"/>
        <v>1.9193857965451055E-3</v>
      </c>
      <c r="C339" s="21">
        <f>VLOOKUP(A339,Transcriptome!B:L,11,FALSE)</f>
        <v>5.2742616033756105E-4</v>
      </c>
      <c r="D339" s="21">
        <f>VLOOKUP(A339,Proteome!B:I,8,FALSE)</f>
        <v>3.0970299482795891E-4</v>
      </c>
      <c r="E339" s="21">
        <f>VLOOKUP(A339,'Consensus Phospho site'!$B$2:$G$522,6,FALSE)</f>
        <v>4.2826185642949794E-4</v>
      </c>
      <c r="F339" s="21">
        <f>VLOOKUP(A339,'AVP Regulation (PTM &amp; Ca-cAMP'!B:K,10,FALSE)</f>
        <v>4.0470785313735072E-4</v>
      </c>
      <c r="G339" s="21">
        <f>VLOOKUP(A339,'AQP2 Colocalization'!A:F,6,FALSE)</f>
        <v>2.9878031154271335E-4</v>
      </c>
    </row>
    <row r="340" spans="1:7" ht="15">
      <c r="A340" s="14" t="s">
        <v>496</v>
      </c>
      <c r="B340" s="20">
        <f t="shared" si="5"/>
        <v>1.9193857965451055E-3</v>
      </c>
      <c r="C340" s="21">
        <f>VLOOKUP(A340,Transcriptome!B:L,11,FALSE)</f>
        <v>5.2742616033756105E-4</v>
      </c>
      <c r="D340" s="21">
        <f>VLOOKUP(A340,Proteome!B:I,8,FALSE)</f>
        <v>3.0970299482795891E-4</v>
      </c>
      <c r="E340" s="21">
        <f>VLOOKUP(A340,'Consensus Phospho site'!$B$2:$G$522,6,FALSE)</f>
        <v>4.2826185642949794E-4</v>
      </c>
      <c r="F340" s="21">
        <f>VLOOKUP(A340,'AVP Regulation (PTM &amp; Ca-cAMP'!B:K,10,FALSE)</f>
        <v>4.0470785313735072E-4</v>
      </c>
      <c r="G340" s="21">
        <f>VLOOKUP(A340,'AQP2 Colocalization'!A:F,6,FALSE)</f>
        <v>2.9878031154271335E-4</v>
      </c>
    </row>
    <row r="341" spans="1:7" ht="15">
      <c r="A341" s="14" t="s">
        <v>498</v>
      </c>
      <c r="B341" s="20">
        <f t="shared" si="5"/>
        <v>1.9193857965451055E-3</v>
      </c>
      <c r="C341" s="21">
        <f>VLOOKUP(A341,Transcriptome!B:L,11,FALSE)</f>
        <v>5.2742616033756105E-4</v>
      </c>
      <c r="D341" s="21">
        <f>VLOOKUP(A341,Proteome!B:I,8,FALSE)</f>
        <v>3.0970299482795891E-4</v>
      </c>
      <c r="E341" s="21">
        <f>VLOOKUP(A341,'Consensus Phospho site'!$B$2:$G$522,6,FALSE)</f>
        <v>4.2826185642949794E-4</v>
      </c>
      <c r="F341" s="21">
        <f>VLOOKUP(A341,'AVP Regulation (PTM &amp; Ca-cAMP'!B:K,10,FALSE)</f>
        <v>4.0470785313735072E-4</v>
      </c>
      <c r="G341" s="21">
        <f>VLOOKUP(A341,'AQP2 Colocalization'!A:F,6,FALSE)</f>
        <v>2.9878031154271335E-4</v>
      </c>
    </row>
    <row r="342" spans="1:7" ht="15">
      <c r="A342" s="14" t="s">
        <v>433</v>
      </c>
      <c r="B342" s="20">
        <f t="shared" si="5"/>
        <v>1.9193857965451055E-3</v>
      </c>
      <c r="C342" s="21">
        <f>VLOOKUP(A342,Transcriptome!B:L,11,FALSE)</f>
        <v>5.2742616033756105E-4</v>
      </c>
      <c r="D342" s="21">
        <f>VLOOKUP(A342,Proteome!B:I,8,FALSE)</f>
        <v>3.0970299482795891E-4</v>
      </c>
      <c r="E342" s="21">
        <f>VLOOKUP(A342,'Consensus Phospho site'!$B$2:$G$522,6,FALSE)</f>
        <v>4.2826185642949794E-4</v>
      </c>
      <c r="F342" s="21">
        <f>VLOOKUP(A342,'AVP Regulation (PTM &amp; Ca-cAMP'!B:K,10,FALSE)</f>
        <v>4.0470785313735072E-4</v>
      </c>
      <c r="G342" s="21">
        <f>VLOOKUP(A342,'AQP2 Colocalization'!A:F,6,FALSE)</f>
        <v>2.9878031154271335E-4</v>
      </c>
    </row>
    <row r="343" spans="1:7" ht="15">
      <c r="A343" s="14" t="s">
        <v>494</v>
      </c>
      <c r="B343" s="20">
        <f t="shared" si="5"/>
        <v>1.9193857965451055E-3</v>
      </c>
      <c r="C343" s="21">
        <f>VLOOKUP(A343,Transcriptome!B:L,11,FALSE)</f>
        <v>5.2742616033756105E-4</v>
      </c>
      <c r="D343" s="21">
        <f>VLOOKUP(A343,Proteome!B:I,8,FALSE)</f>
        <v>3.0970299482795891E-4</v>
      </c>
      <c r="E343" s="21">
        <f>VLOOKUP(A343,'Consensus Phospho site'!$B$2:$G$522,6,FALSE)</f>
        <v>4.2826185642949794E-4</v>
      </c>
      <c r="F343" s="21">
        <f>VLOOKUP(A343,'AVP Regulation (PTM &amp; Ca-cAMP'!B:K,10,FALSE)</f>
        <v>4.0470785313735072E-4</v>
      </c>
      <c r="G343" s="21">
        <f>VLOOKUP(A343,'AQP2 Colocalization'!A:F,6,FALSE)</f>
        <v>2.9878031154271335E-4</v>
      </c>
    </row>
    <row r="344" spans="1:7" ht="15">
      <c r="A344" s="14" t="s">
        <v>495</v>
      </c>
      <c r="B344" s="20">
        <f t="shared" si="5"/>
        <v>1.9193857965451055E-3</v>
      </c>
      <c r="C344" s="21">
        <f>VLOOKUP(A344,Transcriptome!B:L,11,FALSE)</f>
        <v>5.2742616033756105E-4</v>
      </c>
      <c r="D344" s="21">
        <f>VLOOKUP(A344,Proteome!B:I,8,FALSE)</f>
        <v>3.0970299482795891E-4</v>
      </c>
      <c r="E344" s="21">
        <f>VLOOKUP(A344,'Consensus Phospho site'!$B$2:$G$522,6,FALSE)</f>
        <v>4.2826185642949794E-4</v>
      </c>
      <c r="F344" s="21">
        <f>VLOOKUP(A344,'AVP Regulation (PTM &amp; Ca-cAMP'!B:K,10,FALSE)</f>
        <v>4.0470785313735072E-4</v>
      </c>
      <c r="G344" s="21">
        <f>VLOOKUP(A344,'AQP2 Colocalization'!A:F,6,FALSE)</f>
        <v>2.9878031154271335E-4</v>
      </c>
    </row>
    <row r="345" spans="1:7" ht="15">
      <c r="A345" s="14" t="s">
        <v>416</v>
      </c>
      <c r="B345" s="20">
        <f t="shared" si="5"/>
        <v>1.9193857965451055E-3</v>
      </c>
      <c r="C345" s="21">
        <f>VLOOKUP(A345,Transcriptome!B:L,11,FALSE)</f>
        <v>5.2742616033756105E-4</v>
      </c>
      <c r="D345" s="21">
        <f>VLOOKUP(A345,Proteome!B:I,8,FALSE)</f>
        <v>3.0970299482795891E-4</v>
      </c>
      <c r="E345" s="21">
        <f>VLOOKUP(A345,'Consensus Phospho site'!$B$2:$G$522,6,FALSE)</f>
        <v>4.2826185642949794E-4</v>
      </c>
      <c r="F345" s="21">
        <f>VLOOKUP(A345,'AVP Regulation (PTM &amp; Ca-cAMP'!B:K,10,FALSE)</f>
        <v>4.0470785313735072E-4</v>
      </c>
      <c r="G345" s="21">
        <f>VLOOKUP(A345,'AQP2 Colocalization'!A:F,6,FALSE)</f>
        <v>2.9878031154271335E-4</v>
      </c>
    </row>
    <row r="346" spans="1:7" ht="15">
      <c r="A346" s="15" t="s">
        <v>426</v>
      </c>
      <c r="B346" s="20">
        <f t="shared" si="5"/>
        <v>1.9193857965451055E-3</v>
      </c>
      <c r="C346" s="21">
        <f>VLOOKUP(A346,Transcriptome!B:L,11,FALSE)</f>
        <v>5.2742616033756105E-4</v>
      </c>
      <c r="D346" s="21">
        <f>VLOOKUP(A346,Proteome!B:I,8,FALSE)</f>
        <v>3.0970299482795891E-4</v>
      </c>
      <c r="E346" s="21">
        <f>VLOOKUP(A346,'Consensus Phospho site'!$B$2:$G$522,6,FALSE)</f>
        <v>4.2826185642949794E-4</v>
      </c>
      <c r="F346" s="21">
        <f>VLOOKUP(A346,'AVP Regulation (PTM &amp; Ca-cAMP'!B:K,10,FALSE)</f>
        <v>4.0470785313735072E-4</v>
      </c>
      <c r="G346" s="21">
        <f>VLOOKUP(A346,'AQP2 Colocalization'!A:F,6,FALSE)</f>
        <v>2.9878031154271335E-4</v>
      </c>
    </row>
    <row r="347" spans="1:7" ht="15">
      <c r="A347" s="14" t="s">
        <v>427</v>
      </c>
      <c r="B347" s="20">
        <f t="shared" si="5"/>
        <v>1.9193857965451055E-3</v>
      </c>
      <c r="C347" s="21">
        <f>VLOOKUP(A347,Transcriptome!B:L,11,FALSE)</f>
        <v>5.2742616033756105E-4</v>
      </c>
      <c r="D347" s="21">
        <f>VLOOKUP(A347,Proteome!B:I,8,FALSE)</f>
        <v>3.0970299482795891E-4</v>
      </c>
      <c r="E347" s="21">
        <f>VLOOKUP(A347,'Consensus Phospho site'!$B$2:$G$522,6,FALSE)</f>
        <v>4.2826185642949794E-4</v>
      </c>
      <c r="F347" s="21">
        <f>VLOOKUP(A347,'AVP Regulation (PTM &amp; Ca-cAMP'!B:K,10,FALSE)</f>
        <v>4.0470785313735072E-4</v>
      </c>
      <c r="G347" s="21">
        <f>VLOOKUP(A347,'AQP2 Colocalization'!A:F,6,FALSE)</f>
        <v>2.9878031154271335E-4</v>
      </c>
    </row>
    <row r="348" spans="1:7" ht="15">
      <c r="A348" s="14" t="s">
        <v>437</v>
      </c>
      <c r="B348" s="20">
        <f t="shared" si="5"/>
        <v>1.9193857965451055E-3</v>
      </c>
      <c r="C348" s="21">
        <f>VLOOKUP(A348,Transcriptome!B:L,11,FALSE)</f>
        <v>5.2742616033756105E-4</v>
      </c>
      <c r="D348" s="21">
        <f>VLOOKUP(A348,Proteome!B:I,8,FALSE)</f>
        <v>3.0970299482795891E-4</v>
      </c>
      <c r="E348" s="21">
        <f>VLOOKUP(A348,'Consensus Phospho site'!$B$2:$G$522,6,FALSE)</f>
        <v>4.2826185642949794E-4</v>
      </c>
      <c r="F348" s="21">
        <f>VLOOKUP(A348,'AVP Regulation (PTM &amp; Ca-cAMP'!B:K,10,FALSE)</f>
        <v>4.0470785313735072E-4</v>
      </c>
      <c r="G348" s="21">
        <f>VLOOKUP(A348,'AQP2 Colocalization'!A:F,6,FALSE)</f>
        <v>2.9878031154271335E-4</v>
      </c>
    </row>
    <row r="349" spans="1:7" ht="15">
      <c r="A349" s="14" t="s">
        <v>439</v>
      </c>
      <c r="B349" s="20">
        <f t="shared" si="5"/>
        <v>1.9193857965451055E-3</v>
      </c>
      <c r="C349" s="21">
        <f>VLOOKUP(A349,Transcriptome!B:L,11,FALSE)</f>
        <v>5.2742616033756105E-4</v>
      </c>
      <c r="D349" s="21">
        <f>VLOOKUP(A349,Proteome!B:I,8,FALSE)</f>
        <v>3.0970299482795891E-4</v>
      </c>
      <c r="E349" s="21">
        <f>VLOOKUP(A349,'Consensus Phospho site'!$B$2:$G$522,6,FALSE)</f>
        <v>4.2826185642949794E-4</v>
      </c>
      <c r="F349" s="21">
        <f>VLOOKUP(A349,'AVP Regulation (PTM &amp; Ca-cAMP'!B:K,10,FALSE)</f>
        <v>4.0470785313735072E-4</v>
      </c>
      <c r="G349" s="21">
        <f>VLOOKUP(A349,'AQP2 Colocalization'!A:F,6,FALSE)</f>
        <v>2.9878031154271335E-4</v>
      </c>
    </row>
    <row r="350" spans="1:7" ht="15">
      <c r="A350" s="14" t="s">
        <v>444</v>
      </c>
      <c r="B350" s="20">
        <f t="shared" si="5"/>
        <v>1.9193857965451055E-3</v>
      </c>
      <c r="C350" s="21">
        <f>VLOOKUP(A350,Transcriptome!B:L,11,FALSE)</f>
        <v>5.2742616033756105E-4</v>
      </c>
      <c r="D350" s="21">
        <f>VLOOKUP(A350,Proteome!B:I,8,FALSE)</f>
        <v>3.0970299482795891E-4</v>
      </c>
      <c r="E350" s="21">
        <f>VLOOKUP(A350,'Consensus Phospho site'!$B$2:$G$522,6,FALSE)</f>
        <v>4.2826185642949794E-4</v>
      </c>
      <c r="F350" s="21">
        <f>VLOOKUP(A350,'AVP Regulation (PTM &amp; Ca-cAMP'!B:K,10,FALSE)</f>
        <v>4.0470785313735072E-4</v>
      </c>
      <c r="G350" s="21">
        <f>VLOOKUP(A350,'AQP2 Colocalization'!A:F,6,FALSE)</f>
        <v>2.9878031154271335E-4</v>
      </c>
    </row>
    <row r="351" spans="1:7" ht="15">
      <c r="A351" s="14" t="s">
        <v>514</v>
      </c>
      <c r="B351" s="20">
        <f t="shared" si="5"/>
        <v>1.9193857965451055E-3</v>
      </c>
      <c r="C351" s="21">
        <f>VLOOKUP(A351,Transcriptome!B:L,11,FALSE)</f>
        <v>5.2742616033756105E-4</v>
      </c>
      <c r="D351" s="21">
        <f>VLOOKUP(A351,Proteome!B:I,8,FALSE)</f>
        <v>3.0970299482795891E-4</v>
      </c>
      <c r="E351" s="21">
        <f>VLOOKUP(A351,'Consensus Phospho site'!$B$2:$G$522,6,FALSE)</f>
        <v>4.2826185642949794E-4</v>
      </c>
      <c r="F351" s="21">
        <f>VLOOKUP(A351,'AVP Regulation (PTM &amp; Ca-cAMP'!B:K,10,FALSE)</f>
        <v>4.0470785313735072E-4</v>
      </c>
      <c r="G351" s="21">
        <f>VLOOKUP(A351,'AQP2 Colocalization'!A:F,6,FALSE)</f>
        <v>2.9878031154271335E-4</v>
      </c>
    </row>
    <row r="352" spans="1:7" ht="15">
      <c r="A352" s="14" t="s">
        <v>447</v>
      </c>
      <c r="B352" s="20">
        <f t="shared" si="5"/>
        <v>1.9193857965451055E-3</v>
      </c>
      <c r="C352" s="21">
        <f>VLOOKUP(A352,Transcriptome!B:L,11,FALSE)</f>
        <v>5.2742616033756105E-4</v>
      </c>
      <c r="D352" s="21">
        <f>VLOOKUP(A352,Proteome!B:I,8,FALSE)</f>
        <v>3.0970299482795891E-4</v>
      </c>
      <c r="E352" s="21">
        <f>VLOOKUP(A352,'Consensus Phospho site'!$B$2:$G$522,6,FALSE)</f>
        <v>4.2826185642949794E-4</v>
      </c>
      <c r="F352" s="21">
        <f>VLOOKUP(A352,'AVP Regulation (PTM &amp; Ca-cAMP'!B:K,10,FALSE)</f>
        <v>4.0470785313735072E-4</v>
      </c>
      <c r="G352" s="21">
        <f>VLOOKUP(A352,'AQP2 Colocalization'!A:F,6,FALSE)</f>
        <v>2.9878031154271335E-4</v>
      </c>
    </row>
    <row r="353" spans="1:7" ht="15">
      <c r="A353" s="14" t="s">
        <v>454</v>
      </c>
      <c r="B353" s="20">
        <f t="shared" si="5"/>
        <v>1.9193857965451055E-3</v>
      </c>
      <c r="C353" s="21">
        <f>VLOOKUP(A353,Transcriptome!B:L,11,FALSE)</f>
        <v>5.2742616033756105E-4</v>
      </c>
      <c r="D353" s="21">
        <f>VLOOKUP(A353,Proteome!B:I,8,FALSE)</f>
        <v>3.0970299482795891E-4</v>
      </c>
      <c r="E353" s="21">
        <f>VLOOKUP(A353,'Consensus Phospho site'!$B$2:$G$522,6,FALSE)</f>
        <v>4.2826185642949794E-4</v>
      </c>
      <c r="F353" s="21">
        <f>VLOOKUP(A353,'AVP Regulation (PTM &amp; Ca-cAMP'!B:K,10,FALSE)</f>
        <v>4.0470785313735072E-4</v>
      </c>
      <c r="G353" s="21">
        <f>VLOOKUP(A353,'AQP2 Colocalization'!A:F,6,FALSE)</f>
        <v>2.9878031154271335E-4</v>
      </c>
    </row>
    <row r="354" spans="1:7" ht="15">
      <c r="A354" s="14" t="s">
        <v>518</v>
      </c>
      <c r="B354" s="20">
        <f t="shared" si="5"/>
        <v>1.9193857965451055E-3</v>
      </c>
      <c r="C354" s="21">
        <f>VLOOKUP(A354,Transcriptome!B:L,11,FALSE)</f>
        <v>5.2742616033756105E-4</v>
      </c>
      <c r="D354" s="21">
        <f>VLOOKUP(A354,Proteome!B:I,8,FALSE)</f>
        <v>3.0970299482795891E-4</v>
      </c>
      <c r="E354" s="21">
        <f>VLOOKUP(A354,'Consensus Phospho site'!$B$2:$G$522,6,FALSE)</f>
        <v>4.2826185642949794E-4</v>
      </c>
      <c r="F354" s="21">
        <f>VLOOKUP(A354,'AVP Regulation (PTM &amp; Ca-cAMP'!B:K,10,FALSE)</f>
        <v>4.0470785313735072E-4</v>
      </c>
      <c r="G354" s="21">
        <f>VLOOKUP(A354,'AQP2 Colocalization'!A:F,6,FALSE)</f>
        <v>2.9878031154271335E-4</v>
      </c>
    </row>
    <row r="355" spans="1:7" ht="15">
      <c r="A355" s="14" t="s">
        <v>458</v>
      </c>
      <c r="B355" s="20">
        <f t="shared" si="5"/>
        <v>1.9193857965451055E-3</v>
      </c>
      <c r="C355" s="21">
        <f>VLOOKUP(A355,Transcriptome!B:L,11,FALSE)</f>
        <v>5.2742616033756105E-4</v>
      </c>
      <c r="D355" s="21">
        <f>VLOOKUP(A355,Proteome!B:I,8,FALSE)</f>
        <v>3.0970299482795891E-4</v>
      </c>
      <c r="E355" s="21">
        <f>VLOOKUP(A355,'Consensus Phospho site'!$B$2:$G$522,6,FALSE)</f>
        <v>4.2826185642949794E-4</v>
      </c>
      <c r="F355" s="21">
        <f>VLOOKUP(A355,'AVP Regulation (PTM &amp; Ca-cAMP'!B:K,10,FALSE)</f>
        <v>4.0470785313735072E-4</v>
      </c>
      <c r="G355" s="21">
        <f>VLOOKUP(A355,'AQP2 Colocalization'!A:F,6,FALSE)</f>
        <v>2.9878031154271335E-4</v>
      </c>
    </row>
    <row r="356" spans="1:7" ht="15">
      <c r="A356" s="14" t="s">
        <v>460</v>
      </c>
      <c r="B356" s="20">
        <f t="shared" si="5"/>
        <v>1.9193857965451055E-3</v>
      </c>
      <c r="C356" s="21">
        <f>VLOOKUP(A356,Transcriptome!B:L,11,FALSE)</f>
        <v>5.2742616033756105E-4</v>
      </c>
      <c r="D356" s="21">
        <f>VLOOKUP(A356,Proteome!B:I,8,FALSE)</f>
        <v>3.0970299482795891E-4</v>
      </c>
      <c r="E356" s="21">
        <f>VLOOKUP(A356,'Consensus Phospho site'!$B$2:$G$522,6,FALSE)</f>
        <v>4.2826185642949794E-4</v>
      </c>
      <c r="F356" s="21">
        <f>VLOOKUP(A356,'AVP Regulation (PTM &amp; Ca-cAMP'!B:K,10,FALSE)</f>
        <v>4.0470785313735072E-4</v>
      </c>
      <c r="G356" s="21">
        <f>VLOOKUP(A356,'AQP2 Colocalization'!A:F,6,FALSE)</f>
        <v>2.9878031154271335E-4</v>
      </c>
    </row>
    <row r="357" spans="1:7" ht="15">
      <c r="A357" s="14" t="s">
        <v>464</v>
      </c>
      <c r="B357" s="20">
        <f t="shared" si="5"/>
        <v>1.9193857965451055E-3</v>
      </c>
      <c r="C357" s="21">
        <f>VLOOKUP(A357,Transcriptome!B:L,11,FALSE)</f>
        <v>5.2742616033756105E-4</v>
      </c>
      <c r="D357" s="21">
        <f>VLOOKUP(A357,Proteome!B:I,8,FALSE)</f>
        <v>3.0970299482795891E-4</v>
      </c>
      <c r="E357" s="21">
        <f>VLOOKUP(A357,'Consensus Phospho site'!$B$2:$G$522,6,FALSE)</f>
        <v>4.2826185642949794E-4</v>
      </c>
      <c r="F357" s="21">
        <f>VLOOKUP(A357,'AVP Regulation (PTM &amp; Ca-cAMP'!B:K,10,FALSE)</f>
        <v>4.0470785313735072E-4</v>
      </c>
      <c r="G357" s="21">
        <f>VLOOKUP(A357,'AQP2 Colocalization'!A:F,6,FALSE)</f>
        <v>2.9878031154271335E-4</v>
      </c>
    </row>
    <row r="358" spans="1:7" ht="15">
      <c r="A358" s="14" t="s">
        <v>465</v>
      </c>
      <c r="B358" s="20">
        <f t="shared" si="5"/>
        <v>1.9193857965451055E-3</v>
      </c>
      <c r="C358" s="21">
        <f>VLOOKUP(A358,Transcriptome!B:L,11,FALSE)</f>
        <v>5.2742616033756105E-4</v>
      </c>
      <c r="D358" s="21">
        <f>VLOOKUP(A358,Proteome!B:I,8,FALSE)</f>
        <v>3.0970299482795891E-4</v>
      </c>
      <c r="E358" s="21">
        <f>VLOOKUP(A358,'Consensus Phospho site'!$B$2:$G$522,6,FALSE)</f>
        <v>4.2826185642949794E-4</v>
      </c>
      <c r="F358" s="21">
        <f>VLOOKUP(A358,'AVP Regulation (PTM &amp; Ca-cAMP'!B:K,10,FALSE)</f>
        <v>4.0470785313735072E-4</v>
      </c>
      <c r="G358" s="21">
        <f>VLOOKUP(A358,'AQP2 Colocalization'!A:F,6,FALSE)</f>
        <v>2.9878031154271335E-4</v>
      </c>
    </row>
    <row r="359" spans="1:7" ht="15">
      <c r="A359" s="14" t="s">
        <v>466</v>
      </c>
      <c r="B359" s="20">
        <f t="shared" si="5"/>
        <v>1.9193857965451055E-3</v>
      </c>
      <c r="C359" s="21">
        <f>VLOOKUP(A359,Transcriptome!B:L,11,FALSE)</f>
        <v>5.2742616033756105E-4</v>
      </c>
      <c r="D359" s="21">
        <f>VLOOKUP(A359,Proteome!B:I,8,FALSE)</f>
        <v>3.0970299482795891E-4</v>
      </c>
      <c r="E359" s="21">
        <f>VLOOKUP(A359,'Consensus Phospho site'!$B$2:$G$522,6,FALSE)</f>
        <v>4.2826185642949794E-4</v>
      </c>
      <c r="F359" s="21">
        <f>VLOOKUP(A359,'AVP Regulation (PTM &amp; Ca-cAMP'!B:K,10,FALSE)</f>
        <v>4.0470785313735072E-4</v>
      </c>
      <c r="G359" s="21">
        <f>VLOOKUP(A359,'AQP2 Colocalization'!A:F,6,FALSE)</f>
        <v>2.9878031154271335E-4</v>
      </c>
    </row>
    <row r="360" spans="1:7" ht="15">
      <c r="A360" s="14" t="s">
        <v>467</v>
      </c>
      <c r="B360" s="20">
        <f t="shared" si="5"/>
        <v>1.9193857965451055E-3</v>
      </c>
      <c r="C360" s="21">
        <f>VLOOKUP(A360,Transcriptome!B:L,11,FALSE)</f>
        <v>5.2742616033756105E-4</v>
      </c>
      <c r="D360" s="21">
        <f>VLOOKUP(A360,Proteome!B:I,8,FALSE)</f>
        <v>3.0970299482795891E-4</v>
      </c>
      <c r="E360" s="21">
        <f>VLOOKUP(A360,'Consensus Phospho site'!$B$2:$G$522,6,FALSE)</f>
        <v>4.2826185642949794E-4</v>
      </c>
      <c r="F360" s="21">
        <f>VLOOKUP(A360,'AVP Regulation (PTM &amp; Ca-cAMP'!B:K,10,FALSE)</f>
        <v>4.0470785313735072E-4</v>
      </c>
      <c r="G360" s="21">
        <f>VLOOKUP(A360,'AQP2 Colocalization'!A:F,6,FALSE)</f>
        <v>2.9878031154271335E-4</v>
      </c>
    </row>
    <row r="361" spans="1:7" ht="15">
      <c r="A361" s="14" t="s">
        <v>469</v>
      </c>
      <c r="B361" s="20">
        <f t="shared" si="5"/>
        <v>1.9193857965451055E-3</v>
      </c>
      <c r="C361" s="21">
        <f>VLOOKUP(A361,Transcriptome!B:L,11,FALSE)</f>
        <v>5.2742616033756105E-4</v>
      </c>
      <c r="D361" s="21">
        <f>VLOOKUP(A361,Proteome!B:I,8,FALSE)</f>
        <v>3.0970299482795891E-4</v>
      </c>
      <c r="E361" s="21">
        <f>VLOOKUP(A361,'Consensus Phospho site'!$B$2:$G$522,6,FALSE)</f>
        <v>4.2826185642949794E-4</v>
      </c>
      <c r="F361" s="21">
        <f>VLOOKUP(A361,'AVP Regulation (PTM &amp; Ca-cAMP'!B:K,10,FALSE)</f>
        <v>4.0470785313735072E-4</v>
      </c>
      <c r="G361" s="21">
        <f>VLOOKUP(A361,'AQP2 Colocalization'!A:F,6,FALSE)</f>
        <v>2.9878031154271335E-4</v>
      </c>
    </row>
    <row r="362" spans="1:7" ht="15">
      <c r="A362" s="14" t="s">
        <v>470</v>
      </c>
      <c r="B362" s="20">
        <f t="shared" si="5"/>
        <v>1.9193857965451055E-3</v>
      </c>
      <c r="C362" s="21">
        <f>VLOOKUP(A362,Transcriptome!B:L,11,FALSE)</f>
        <v>5.2742616033756105E-4</v>
      </c>
      <c r="D362" s="21">
        <f>VLOOKUP(A362,Proteome!B:I,8,FALSE)</f>
        <v>3.0970299482795891E-4</v>
      </c>
      <c r="E362" s="21">
        <f>VLOOKUP(A362,'Consensus Phospho site'!$B$2:$G$522,6,FALSE)</f>
        <v>4.2826185642949794E-4</v>
      </c>
      <c r="F362" s="21">
        <f>VLOOKUP(A362,'AVP Regulation (PTM &amp; Ca-cAMP'!B:K,10,FALSE)</f>
        <v>4.0470785313735072E-4</v>
      </c>
      <c r="G362" s="21">
        <f>VLOOKUP(A362,'AQP2 Colocalization'!A:F,6,FALSE)</f>
        <v>2.9878031154271335E-4</v>
      </c>
    </row>
    <row r="363" spans="1:7" ht="15">
      <c r="A363" s="14" t="s">
        <v>471</v>
      </c>
      <c r="B363" s="20">
        <f t="shared" si="5"/>
        <v>1.9193857965451055E-3</v>
      </c>
      <c r="C363" s="21">
        <f>VLOOKUP(A363,Transcriptome!B:L,11,FALSE)</f>
        <v>5.2742616033756105E-4</v>
      </c>
      <c r="D363" s="21">
        <f>VLOOKUP(A363,Proteome!B:I,8,FALSE)</f>
        <v>3.0970299482795891E-4</v>
      </c>
      <c r="E363" s="21">
        <f>VLOOKUP(A363,'Consensus Phospho site'!$B$2:$G$522,6,FALSE)</f>
        <v>4.2826185642949794E-4</v>
      </c>
      <c r="F363" s="21">
        <f>VLOOKUP(A363,'AVP Regulation (PTM &amp; Ca-cAMP'!B:K,10,FALSE)</f>
        <v>4.0470785313735072E-4</v>
      </c>
      <c r="G363" s="21">
        <f>VLOOKUP(A363,'AQP2 Colocalization'!A:F,6,FALSE)</f>
        <v>2.9878031154271335E-4</v>
      </c>
    </row>
    <row r="364" spans="1:7" ht="15">
      <c r="A364" s="14" t="s">
        <v>472</v>
      </c>
      <c r="B364" s="20">
        <f t="shared" si="5"/>
        <v>1.9193857965451055E-3</v>
      </c>
      <c r="C364" s="21">
        <f>VLOOKUP(A364,Transcriptome!B:L,11,FALSE)</f>
        <v>5.2742616033756105E-4</v>
      </c>
      <c r="D364" s="21">
        <f>VLOOKUP(A364,Proteome!B:I,8,FALSE)</f>
        <v>3.0970299482795891E-4</v>
      </c>
      <c r="E364" s="21">
        <f>VLOOKUP(A364,'Consensus Phospho site'!$B$2:$G$522,6,FALSE)</f>
        <v>4.2826185642949794E-4</v>
      </c>
      <c r="F364" s="21">
        <f>VLOOKUP(A364,'AVP Regulation (PTM &amp; Ca-cAMP'!B:K,10,FALSE)</f>
        <v>4.0470785313735072E-4</v>
      </c>
      <c r="G364" s="21">
        <f>VLOOKUP(A364,'AQP2 Colocalization'!A:F,6,FALSE)</f>
        <v>2.9878031154271335E-4</v>
      </c>
    </row>
    <row r="365" spans="1:7" ht="15">
      <c r="A365" s="14" t="s">
        <v>473</v>
      </c>
      <c r="B365" s="20">
        <f t="shared" si="5"/>
        <v>1.9193857965451055E-3</v>
      </c>
      <c r="C365" s="21">
        <f>VLOOKUP(A365,Transcriptome!B:L,11,FALSE)</f>
        <v>5.2742616033756105E-4</v>
      </c>
      <c r="D365" s="21">
        <f>VLOOKUP(A365,Proteome!B:I,8,FALSE)</f>
        <v>3.0970299482795891E-4</v>
      </c>
      <c r="E365" s="21">
        <f>VLOOKUP(A365,'Consensus Phospho site'!$B$2:$G$522,6,FALSE)</f>
        <v>4.2826185642949794E-4</v>
      </c>
      <c r="F365" s="21">
        <f>VLOOKUP(A365,'AVP Regulation (PTM &amp; Ca-cAMP'!B:K,10,FALSE)</f>
        <v>4.0470785313735072E-4</v>
      </c>
      <c r="G365" s="21">
        <f>VLOOKUP(A365,'AQP2 Colocalization'!A:F,6,FALSE)</f>
        <v>2.9878031154271335E-4</v>
      </c>
    </row>
    <row r="366" spans="1:7" ht="15">
      <c r="A366" s="14" t="s">
        <v>474</v>
      </c>
      <c r="B366" s="20">
        <f t="shared" si="5"/>
        <v>1.9193857965451055E-3</v>
      </c>
      <c r="C366" s="21">
        <f>VLOOKUP(A366,Transcriptome!B:L,11,FALSE)</f>
        <v>5.2742616033756105E-4</v>
      </c>
      <c r="D366" s="21">
        <f>VLOOKUP(A366,Proteome!B:I,8,FALSE)</f>
        <v>3.0970299482795891E-4</v>
      </c>
      <c r="E366" s="21">
        <f>VLOOKUP(A366,'Consensus Phospho site'!$B$2:$G$522,6,FALSE)</f>
        <v>4.2826185642949794E-4</v>
      </c>
      <c r="F366" s="21">
        <f>VLOOKUP(A366,'AVP Regulation (PTM &amp; Ca-cAMP'!B:K,10,FALSE)</f>
        <v>4.0470785313735072E-4</v>
      </c>
      <c r="G366" s="21">
        <f>VLOOKUP(A366,'AQP2 Colocalization'!A:F,6,FALSE)</f>
        <v>2.9878031154271335E-4</v>
      </c>
    </row>
    <row r="367" spans="1:7" ht="15">
      <c r="A367" s="14" t="s">
        <v>475</v>
      </c>
      <c r="B367" s="20">
        <f t="shared" si="5"/>
        <v>1.9193857965451055E-3</v>
      </c>
      <c r="C367" s="21">
        <f>VLOOKUP(A367,Transcriptome!B:L,11,FALSE)</f>
        <v>5.2742616033756105E-4</v>
      </c>
      <c r="D367" s="21">
        <f>VLOOKUP(A367,Proteome!B:I,8,FALSE)</f>
        <v>3.0970299482795891E-4</v>
      </c>
      <c r="E367" s="21">
        <f>VLOOKUP(A367,'Consensus Phospho site'!$B$2:$G$522,6,FALSE)</f>
        <v>4.2826185642949794E-4</v>
      </c>
      <c r="F367" s="21">
        <f>VLOOKUP(A367,'AVP Regulation (PTM &amp; Ca-cAMP'!B:K,10,FALSE)</f>
        <v>4.0470785313735072E-4</v>
      </c>
      <c r="G367" s="21">
        <f>VLOOKUP(A367,'AQP2 Colocalization'!A:F,6,FALSE)</f>
        <v>2.9878031154271335E-4</v>
      </c>
    </row>
    <row r="368" spans="1:7" ht="15">
      <c r="A368" s="14" t="s">
        <v>477</v>
      </c>
      <c r="B368" s="20">
        <f t="shared" si="5"/>
        <v>1.9193857965451055E-3</v>
      </c>
      <c r="C368" s="21">
        <f>VLOOKUP(A368,Transcriptome!B:L,11,FALSE)</f>
        <v>5.2742616033756105E-4</v>
      </c>
      <c r="D368" s="21">
        <f>VLOOKUP(A368,Proteome!B:I,8,FALSE)</f>
        <v>3.0970299482795891E-4</v>
      </c>
      <c r="E368" s="21">
        <f>VLOOKUP(A368,'Consensus Phospho site'!$B$2:$G$522,6,FALSE)</f>
        <v>4.2826185642949794E-4</v>
      </c>
      <c r="F368" s="21">
        <f>VLOOKUP(A368,'AVP Regulation (PTM &amp; Ca-cAMP'!B:K,10,FALSE)</f>
        <v>4.0470785313735072E-4</v>
      </c>
      <c r="G368" s="21">
        <f>VLOOKUP(A368,'AQP2 Colocalization'!A:F,6,FALSE)</f>
        <v>2.9878031154271335E-4</v>
      </c>
    </row>
    <row r="369" spans="1:7" ht="15">
      <c r="A369" s="14" t="s">
        <v>480</v>
      </c>
      <c r="B369" s="20">
        <f t="shared" si="5"/>
        <v>1.9193857965451055E-3</v>
      </c>
      <c r="C369" s="21">
        <f>VLOOKUP(A369,Transcriptome!B:L,11,FALSE)</f>
        <v>5.2742616033756105E-4</v>
      </c>
      <c r="D369" s="21">
        <f>VLOOKUP(A369,Proteome!B:I,8,FALSE)</f>
        <v>3.0970299482795891E-4</v>
      </c>
      <c r="E369" s="21">
        <f>VLOOKUP(A369,'Consensus Phospho site'!$B$2:$G$522,6,FALSE)</f>
        <v>4.2826185642949794E-4</v>
      </c>
      <c r="F369" s="21">
        <f>VLOOKUP(A369,'AVP Regulation (PTM &amp; Ca-cAMP'!B:K,10,FALSE)</f>
        <v>4.0470785313735072E-4</v>
      </c>
      <c r="G369" s="21">
        <f>VLOOKUP(A369,'AQP2 Colocalization'!A:F,6,FALSE)</f>
        <v>2.9878031154271335E-4</v>
      </c>
    </row>
    <row r="370" spans="1:7" ht="15">
      <c r="A370" s="14" t="s">
        <v>486</v>
      </c>
      <c r="B370" s="20">
        <f t="shared" si="5"/>
        <v>1.9193857965451055E-3</v>
      </c>
      <c r="C370" s="21">
        <f>VLOOKUP(A370,Transcriptome!B:L,11,FALSE)</f>
        <v>5.2742616033756105E-4</v>
      </c>
      <c r="D370" s="21">
        <f>VLOOKUP(A370,Proteome!B:I,8,FALSE)</f>
        <v>3.0970299482795891E-4</v>
      </c>
      <c r="E370" s="21">
        <f>VLOOKUP(A370,'Consensus Phospho site'!$B$2:$G$522,6,FALSE)</f>
        <v>4.2826185642949794E-4</v>
      </c>
      <c r="F370" s="21">
        <f>VLOOKUP(A370,'AVP Regulation (PTM &amp; Ca-cAMP'!B:K,10,FALSE)</f>
        <v>4.0470785313735072E-4</v>
      </c>
      <c r="G370" s="21">
        <f>VLOOKUP(A370,'AQP2 Colocalization'!A:F,6,FALSE)</f>
        <v>2.9878031154271335E-4</v>
      </c>
    </row>
    <row r="371" spans="1:7" ht="15">
      <c r="A371" s="15" t="s">
        <v>139</v>
      </c>
      <c r="B371" s="20">
        <f t="shared" si="5"/>
        <v>1.9193857965451055E-3</v>
      </c>
      <c r="C371" s="21">
        <f>VLOOKUP(A371,Transcriptome!B:L,11,FALSE)</f>
        <v>5.2742616033756105E-4</v>
      </c>
      <c r="D371" s="21">
        <f>VLOOKUP(A371,Proteome!B:I,8,FALSE)</f>
        <v>3.0970299482795891E-4</v>
      </c>
      <c r="E371" s="21">
        <f>VLOOKUP(A371,'Consensus Phospho site'!$B$2:$G$522,6,FALSE)</f>
        <v>2.5695711385769875E-4</v>
      </c>
      <c r="F371" s="21">
        <f>VLOOKUP(A371,'AVP Regulation (PTM &amp; Ca-cAMP'!B:K,10,FALSE)</f>
        <v>2.4282471188241043E-4</v>
      </c>
      <c r="G371" s="21">
        <f>VLOOKUP(A371,'AQP2 Colocalization'!A:F,6,FALSE)</f>
        <v>1.7926818692562803E-4</v>
      </c>
    </row>
    <row r="372" spans="1:7" ht="15">
      <c r="A372" s="14" t="s">
        <v>145</v>
      </c>
      <c r="B372" s="20">
        <f t="shared" si="5"/>
        <v>1.9193857965451055E-3</v>
      </c>
      <c r="C372" s="21">
        <f>VLOOKUP(A372,Transcriptome!B:L,11,FALSE)</f>
        <v>5.2742616033756105E-4</v>
      </c>
      <c r="D372" s="21">
        <f>VLOOKUP(A372,Proteome!B:I,8,FALSE)</f>
        <v>3.0970299482795891E-4</v>
      </c>
      <c r="E372" s="21">
        <f>VLOOKUP(A372,'Consensus Phospho site'!$B$2:$G$522,6,FALSE)</f>
        <v>2.5695711385769875E-4</v>
      </c>
      <c r="F372" s="21">
        <f>VLOOKUP(A372,'AVP Regulation (PTM &amp; Ca-cAMP'!B:K,10,FALSE)</f>
        <v>2.4282471188241043E-4</v>
      </c>
      <c r="G372" s="21">
        <f>VLOOKUP(A372,'AQP2 Colocalization'!A:F,6,FALSE)</f>
        <v>1.7926818692562803E-4</v>
      </c>
    </row>
    <row r="373" spans="1:7" ht="15">
      <c r="A373" s="14" t="s">
        <v>278</v>
      </c>
      <c r="B373" s="20">
        <f t="shared" si="5"/>
        <v>1.9193857965451055E-3</v>
      </c>
      <c r="C373" s="21">
        <f>VLOOKUP(A373,Transcriptome!B:L,11,FALSE)</f>
        <v>5.2742616033756105E-4</v>
      </c>
      <c r="D373" s="21">
        <f>VLOOKUP(A373,Proteome!B:I,8,FALSE)</f>
        <v>3.0970299482795891E-4</v>
      </c>
      <c r="E373" s="21">
        <f>VLOOKUP(A373,'Consensus Phospho site'!$B$2:$G$522,6,FALSE)</f>
        <v>2.5695711385769875E-4</v>
      </c>
      <c r="F373" s="21">
        <f>VLOOKUP(A373,'AVP Regulation (PTM &amp; Ca-cAMP'!B:K,10,FALSE)</f>
        <v>2.4282471188241043E-4</v>
      </c>
      <c r="G373" s="21">
        <f>VLOOKUP(A373,'AQP2 Colocalization'!A:F,6,FALSE)</f>
        <v>1.7926818692562803E-4</v>
      </c>
    </row>
    <row r="374" spans="1:7" ht="15">
      <c r="A374" s="14" t="s">
        <v>301</v>
      </c>
      <c r="B374" s="20">
        <f t="shared" si="5"/>
        <v>1.9193857965451055E-3</v>
      </c>
      <c r="C374" s="21">
        <f>VLOOKUP(A374,Transcriptome!B:L,11,FALSE)</f>
        <v>5.2742616033756105E-4</v>
      </c>
      <c r="D374" s="21">
        <f>VLOOKUP(A374,Proteome!B:I,8,FALSE)</f>
        <v>3.0970299482795891E-4</v>
      </c>
      <c r="E374" s="21">
        <f>VLOOKUP(A374,'Consensus Phospho site'!$B$2:$G$522,6,FALSE)</f>
        <v>2.5695711385769875E-4</v>
      </c>
      <c r="F374" s="21">
        <f>VLOOKUP(A374,'AVP Regulation (PTM &amp; Ca-cAMP'!B:K,10,FALSE)</f>
        <v>2.4282471188241043E-4</v>
      </c>
      <c r="G374" s="21">
        <f>VLOOKUP(A374,'AQP2 Colocalization'!A:F,6,FALSE)</f>
        <v>1.7926818692562803E-4</v>
      </c>
    </row>
    <row r="375" spans="1:7" ht="15">
      <c r="A375" s="14" t="s">
        <v>312</v>
      </c>
      <c r="B375" s="20">
        <f t="shared" si="5"/>
        <v>1.9193857965451055E-3</v>
      </c>
      <c r="C375" s="21">
        <f>VLOOKUP(A375,Transcriptome!B:L,11,FALSE)</f>
        <v>5.2742616033756105E-4</v>
      </c>
      <c r="D375" s="21">
        <f>VLOOKUP(A375,Proteome!B:I,8,FALSE)</f>
        <v>3.0970299482795891E-4</v>
      </c>
      <c r="E375" s="21">
        <f>VLOOKUP(A375,'Consensus Phospho site'!$B$2:$G$522,6,FALSE)</f>
        <v>2.5695711385769875E-4</v>
      </c>
      <c r="F375" s="21">
        <f>VLOOKUP(A375,'AVP Regulation (PTM &amp; Ca-cAMP'!B:K,10,FALSE)</f>
        <v>2.4282471188241043E-4</v>
      </c>
      <c r="G375" s="21">
        <f>VLOOKUP(A375,'AQP2 Colocalization'!A:F,6,FALSE)</f>
        <v>1.7926818692562803E-4</v>
      </c>
    </row>
    <row r="376" spans="1:7" ht="15">
      <c r="A376" s="14" t="s">
        <v>313</v>
      </c>
      <c r="B376" s="20">
        <f t="shared" si="5"/>
        <v>1.9193857965451055E-3</v>
      </c>
      <c r="C376" s="21">
        <f>VLOOKUP(A376,Transcriptome!B:L,11,FALSE)</f>
        <v>5.2742616033756105E-4</v>
      </c>
      <c r="D376" s="21">
        <f>VLOOKUP(A376,Proteome!B:I,8,FALSE)</f>
        <v>3.0970299482795891E-4</v>
      </c>
      <c r="E376" s="21">
        <f>VLOOKUP(A376,'Consensus Phospho site'!$B$2:$G$522,6,FALSE)</f>
        <v>2.5695711385769875E-4</v>
      </c>
      <c r="F376" s="21">
        <f>VLOOKUP(A376,'AVP Regulation (PTM &amp; Ca-cAMP'!B:K,10,FALSE)</f>
        <v>2.4282471188241043E-4</v>
      </c>
      <c r="G376" s="21">
        <f>VLOOKUP(A376,'AQP2 Colocalization'!A:F,6,FALSE)</f>
        <v>1.7926818692562803E-4</v>
      </c>
    </row>
    <row r="377" spans="1:7" ht="15">
      <c r="A377" s="14" t="s">
        <v>241</v>
      </c>
      <c r="B377" s="20">
        <f t="shared" si="5"/>
        <v>1.9193857965451055E-3</v>
      </c>
      <c r="C377" s="21">
        <f>VLOOKUP(A377,Transcriptome!B:L,11,FALSE)</f>
        <v>5.2742616033756105E-4</v>
      </c>
      <c r="D377" s="21">
        <f>VLOOKUP(A377,Proteome!B:I,8,FALSE)</f>
        <v>3.0970299482795891E-4</v>
      </c>
      <c r="E377" s="21">
        <f>VLOOKUP(A377,'Consensus Phospho site'!$B$2:$G$522,6,FALSE)</f>
        <v>2.5695711385769875E-4</v>
      </c>
      <c r="F377" s="21">
        <f>VLOOKUP(A377,'AVP Regulation (PTM &amp; Ca-cAMP'!B:K,10,FALSE)</f>
        <v>2.4282471188241043E-4</v>
      </c>
      <c r="G377" s="21">
        <f>VLOOKUP(A377,'AQP2 Colocalization'!A:F,6,FALSE)</f>
        <v>1.7926818692562803E-4</v>
      </c>
    </row>
    <row r="378" spans="1:7" ht="15">
      <c r="A378" s="14" t="s">
        <v>261</v>
      </c>
      <c r="B378" s="20">
        <f t="shared" si="5"/>
        <v>1.9193857965451055E-3</v>
      </c>
      <c r="C378" s="21">
        <f>VLOOKUP(A378,Transcriptome!B:L,11,FALSE)</f>
        <v>5.2742616033756105E-4</v>
      </c>
      <c r="D378" s="21">
        <f>VLOOKUP(A378,Proteome!B:I,8,FALSE)</f>
        <v>3.0970299482795891E-4</v>
      </c>
      <c r="E378" s="21">
        <f>VLOOKUP(A378,'Consensus Phospho site'!$B$2:$G$522,6,FALSE)</f>
        <v>2.5695711385769875E-4</v>
      </c>
      <c r="F378" s="21">
        <f>VLOOKUP(A378,'AVP Regulation (PTM &amp; Ca-cAMP'!B:K,10,FALSE)</f>
        <v>2.4282471188241043E-4</v>
      </c>
      <c r="G378" s="21">
        <f>VLOOKUP(A378,'AQP2 Colocalization'!A:F,6,FALSE)</f>
        <v>1.7926818692562803E-4</v>
      </c>
    </row>
    <row r="379" spans="1:7" ht="15">
      <c r="A379" s="14" t="s">
        <v>216</v>
      </c>
      <c r="B379" s="20">
        <f t="shared" si="5"/>
        <v>1.9193857965451055E-3</v>
      </c>
      <c r="C379" s="21">
        <f>VLOOKUP(A379,Transcriptome!B:L,11,FALSE)</f>
        <v>5.2742616033756105E-4</v>
      </c>
      <c r="D379" s="21">
        <f>VLOOKUP(A379,Proteome!B:I,8,FALSE)</f>
        <v>3.0970299482795891E-4</v>
      </c>
      <c r="E379" s="21">
        <f>VLOOKUP(A379,'Consensus Phospho site'!$B$2:$G$522,6,FALSE)</f>
        <v>2.5695711385769875E-4</v>
      </c>
      <c r="F379" s="21">
        <f>VLOOKUP(A379,'AVP Regulation (PTM &amp; Ca-cAMP'!B:K,10,FALSE)</f>
        <v>2.4282471188241043E-4</v>
      </c>
      <c r="G379" s="21">
        <f>VLOOKUP(A379,'AQP2 Colocalization'!A:F,6,FALSE)</f>
        <v>1.7926818692562803E-4</v>
      </c>
    </row>
    <row r="380" spans="1:7" ht="15">
      <c r="A380" s="14" t="s">
        <v>221</v>
      </c>
      <c r="B380" s="20">
        <f t="shared" si="5"/>
        <v>1.9193857965451055E-3</v>
      </c>
      <c r="C380" s="21">
        <f>VLOOKUP(A380,Transcriptome!B:L,11,FALSE)</f>
        <v>5.2742616033756105E-4</v>
      </c>
      <c r="D380" s="21">
        <f>VLOOKUP(A380,Proteome!B:I,8,FALSE)</f>
        <v>3.0970299482795891E-4</v>
      </c>
      <c r="E380" s="21">
        <f>VLOOKUP(A380,'Consensus Phospho site'!$B$2:$G$522,6,FALSE)</f>
        <v>2.5695711385769875E-4</v>
      </c>
      <c r="F380" s="21">
        <f>VLOOKUP(A380,'AVP Regulation (PTM &amp; Ca-cAMP'!B:K,10,FALSE)</f>
        <v>2.4282471188241043E-4</v>
      </c>
      <c r="G380" s="21">
        <f>VLOOKUP(A380,'AQP2 Colocalization'!A:F,6,FALSE)</f>
        <v>1.7926818692562803E-4</v>
      </c>
    </row>
    <row r="381" spans="1:7" ht="15">
      <c r="A381" s="14" t="s">
        <v>286</v>
      </c>
      <c r="B381" s="20">
        <f t="shared" si="5"/>
        <v>1.9193857965451055E-3</v>
      </c>
      <c r="C381" s="21">
        <f>VLOOKUP(A381,Transcriptome!B:L,11,FALSE)</f>
        <v>5.2742616033756105E-4</v>
      </c>
      <c r="D381" s="21">
        <f>VLOOKUP(A381,Proteome!B:I,8,FALSE)</f>
        <v>3.0970299482795891E-4</v>
      </c>
      <c r="E381" s="21">
        <f>VLOOKUP(A381,'Consensus Phospho site'!$B$2:$G$522,6,FALSE)</f>
        <v>2.5695711385769875E-4</v>
      </c>
      <c r="F381" s="21">
        <f>VLOOKUP(A381,'AVP Regulation (PTM &amp; Ca-cAMP'!B:K,10,FALSE)</f>
        <v>2.4282471188241043E-4</v>
      </c>
      <c r="G381" s="21">
        <f>VLOOKUP(A381,'AQP2 Colocalization'!A:F,6,FALSE)</f>
        <v>1.7926818692562803E-4</v>
      </c>
    </row>
    <row r="382" spans="1:7" ht="15">
      <c r="A382" s="14" t="s">
        <v>288</v>
      </c>
      <c r="B382" s="20">
        <f t="shared" si="5"/>
        <v>1.9193857965451055E-3</v>
      </c>
      <c r="C382" s="21">
        <f>VLOOKUP(A382,Transcriptome!B:L,11,FALSE)</f>
        <v>5.2742616033756105E-4</v>
      </c>
      <c r="D382" s="21">
        <f>VLOOKUP(A382,Proteome!B:I,8,FALSE)</f>
        <v>3.0970299482795891E-4</v>
      </c>
      <c r="E382" s="21">
        <f>VLOOKUP(A382,'Consensus Phospho site'!$B$2:$G$522,6,FALSE)</f>
        <v>2.5695711385769875E-4</v>
      </c>
      <c r="F382" s="21">
        <f>VLOOKUP(A382,'AVP Regulation (PTM &amp; Ca-cAMP'!B:K,10,FALSE)</f>
        <v>2.4282471188241043E-4</v>
      </c>
      <c r="G382" s="21">
        <f>VLOOKUP(A382,'AQP2 Colocalization'!A:F,6,FALSE)</f>
        <v>1.7926818692562803E-4</v>
      </c>
    </row>
    <row r="383" spans="1:7" ht="15">
      <c r="A383" s="14" t="s">
        <v>290</v>
      </c>
      <c r="B383" s="20">
        <f t="shared" si="5"/>
        <v>1.9193857965451055E-3</v>
      </c>
      <c r="C383" s="21">
        <f>VLOOKUP(A383,Transcriptome!B:L,11,FALSE)</f>
        <v>5.2742616033756105E-4</v>
      </c>
      <c r="D383" s="21">
        <f>VLOOKUP(A383,Proteome!B:I,8,FALSE)</f>
        <v>3.0970299482795891E-4</v>
      </c>
      <c r="E383" s="21">
        <f>VLOOKUP(A383,'Consensus Phospho site'!$B$2:$G$522,6,FALSE)</f>
        <v>2.5695711385769875E-4</v>
      </c>
      <c r="F383" s="21">
        <f>VLOOKUP(A383,'AVP Regulation (PTM &amp; Ca-cAMP'!B:K,10,FALSE)</f>
        <v>2.4282471188241043E-4</v>
      </c>
      <c r="G383" s="21">
        <f>VLOOKUP(A383,'AQP2 Colocalization'!A:F,6,FALSE)</f>
        <v>1.7926818692562803E-4</v>
      </c>
    </row>
    <row r="384" spans="1:7" ht="15">
      <c r="A384" s="14" t="s">
        <v>291</v>
      </c>
      <c r="B384" s="20">
        <f t="shared" si="5"/>
        <v>1.9193857965451055E-3</v>
      </c>
      <c r="C384" s="21">
        <f>VLOOKUP(A384,Transcriptome!B:L,11,FALSE)</f>
        <v>5.2742616033756105E-4</v>
      </c>
      <c r="D384" s="21">
        <f>VLOOKUP(A384,Proteome!B:I,8,FALSE)</f>
        <v>3.0970299482795891E-4</v>
      </c>
      <c r="E384" s="21">
        <f>VLOOKUP(A384,'Consensus Phospho site'!$B$2:$G$522,6,FALSE)</f>
        <v>2.5695711385769875E-4</v>
      </c>
      <c r="F384" s="21">
        <f>VLOOKUP(A384,'AVP Regulation (PTM &amp; Ca-cAMP'!B:K,10,FALSE)</f>
        <v>2.4282471188241043E-4</v>
      </c>
      <c r="G384" s="21">
        <f>VLOOKUP(A384,'AQP2 Colocalization'!A:F,6,FALSE)</f>
        <v>1.7926818692562803E-4</v>
      </c>
    </row>
    <row r="385" spans="1:7" ht="15">
      <c r="A385" s="14" t="s">
        <v>292</v>
      </c>
      <c r="B385" s="20">
        <f t="shared" si="5"/>
        <v>1.9193857965451055E-3</v>
      </c>
      <c r="C385" s="21">
        <f>VLOOKUP(A385,Transcriptome!B:L,11,FALSE)</f>
        <v>5.2742616033756105E-4</v>
      </c>
      <c r="D385" s="21">
        <f>VLOOKUP(A385,Proteome!B:I,8,FALSE)</f>
        <v>3.0970299482795891E-4</v>
      </c>
      <c r="E385" s="21">
        <f>VLOOKUP(A385,'Consensus Phospho site'!$B$2:$G$522,6,FALSE)</f>
        <v>2.5695711385769875E-4</v>
      </c>
      <c r="F385" s="21">
        <f>VLOOKUP(A385,'AVP Regulation (PTM &amp; Ca-cAMP'!B:K,10,FALSE)</f>
        <v>2.4282471188241043E-4</v>
      </c>
      <c r="G385" s="21">
        <f>VLOOKUP(A385,'AQP2 Colocalization'!A:F,6,FALSE)</f>
        <v>1.7926818692562803E-4</v>
      </c>
    </row>
    <row r="386" spans="1:7" ht="15">
      <c r="A386" s="14" t="s">
        <v>293</v>
      </c>
      <c r="B386" s="20">
        <f t="shared" ref="B386:B449" si="6">1/521</f>
        <v>1.9193857965451055E-3</v>
      </c>
      <c r="C386" s="21">
        <f>VLOOKUP(A386,Transcriptome!B:L,11,FALSE)</f>
        <v>5.2742616033756105E-4</v>
      </c>
      <c r="D386" s="21">
        <f>VLOOKUP(A386,Proteome!B:I,8,FALSE)</f>
        <v>3.0970299482795891E-4</v>
      </c>
      <c r="E386" s="21">
        <f>VLOOKUP(A386,'Consensus Phospho site'!$B$2:$G$522,6,FALSE)</f>
        <v>2.5695711385769875E-4</v>
      </c>
      <c r="F386" s="21">
        <f>VLOOKUP(A386,'AVP Regulation (PTM &amp; Ca-cAMP'!B:K,10,FALSE)</f>
        <v>2.4282471188241043E-4</v>
      </c>
      <c r="G386" s="21">
        <f>VLOOKUP(A386,'AQP2 Colocalization'!A:F,6,FALSE)</f>
        <v>1.7926818692562803E-4</v>
      </c>
    </row>
    <row r="387" spans="1:7" ht="15">
      <c r="A387" s="14" t="s">
        <v>302</v>
      </c>
      <c r="B387" s="20">
        <f t="shared" si="6"/>
        <v>1.9193857965451055E-3</v>
      </c>
      <c r="C387" s="21">
        <f>VLOOKUP(A387,Transcriptome!B:L,11,FALSE)</f>
        <v>5.2742616033756105E-4</v>
      </c>
      <c r="D387" s="21">
        <f>VLOOKUP(A387,Proteome!B:I,8,FALSE)</f>
        <v>3.0970299482795891E-4</v>
      </c>
      <c r="E387" s="21">
        <f>VLOOKUP(A387,'Consensus Phospho site'!$B$2:$G$522,6,FALSE)</f>
        <v>2.5695711385769875E-4</v>
      </c>
      <c r="F387" s="21">
        <f>VLOOKUP(A387,'AVP Regulation (PTM &amp; Ca-cAMP'!B:K,10,FALSE)</f>
        <v>2.4282471188241043E-4</v>
      </c>
      <c r="G387" s="21">
        <f>VLOOKUP(A387,'AQP2 Colocalization'!A:F,6,FALSE)</f>
        <v>1.7926818692562803E-4</v>
      </c>
    </row>
    <row r="388" spans="1:7" ht="15">
      <c r="A388" s="14" t="s">
        <v>305</v>
      </c>
      <c r="B388" s="20">
        <f t="shared" si="6"/>
        <v>1.9193857965451055E-3</v>
      </c>
      <c r="C388" s="21">
        <f>VLOOKUP(A388,Transcriptome!B:L,11,FALSE)</f>
        <v>5.2742616033756105E-4</v>
      </c>
      <c r="D388" s="21">
        <f>VLOOKUP(A388,Proteome!B:I,8,FALSE)</f>
        <v>3.0970299482795891E-4</v>
      </c>
      <c r="E388" s="21">
        <f>VLOOKUP(A388,'Consensus Phospho site'!$B$2:$G$522,6,FALSE)</f>
        <v>2.5695711385769875E-4</v>
      </c>
      <c r="F388" s="21">
        <f>VLOOKUP(A388,'AVP Regulation (PTM &amp; Ca-cAMP'!B:K,10,FALSE)</f>
        <v>2.4282471188241043E-4</v>
      </c>
      <c r="G388" s="21">
        <f>VLOOKUP(A388,'AQP2 Colocalization'!A:F,6,FALSE)</f>
        <v>1.7926818692562803E-4</v>
      </c>
    </row>
    <row r="389" spans="1:7" ht="15">
      <c r="A389" s="14" t="s">
        <v>244</v>
      </c>
      <c r="B389" s="20">
        <f t="shared" si="6"/>
        <v>1.9193857965451055E-3</v>
      </c>
      <c r="C389" s="21">
        <f>VLOOKUP(A389,Transcriptome!B:L,11,FALSE)</f>
        <v>5.2742616033756105E-4</v>
      </c>
      <c r="D389" s="21">
        <f>VLOOKUP(A389,Proteome!B:I,8,FALSE)</f>
        <v>3.0970299482795891E-4</v>
      </c>
      <c r="E389" s="21">
        <f>VLOOKUP(A389,'Consensus Phospho site'!$B$2:$G$522,6,FALSE)</f>
        <v>2.5695711385769875E-4</v>
      </c>
      <c r="F389" s="21">
        <f>VLOOKUP(A389,'AVP Regulation (PTM &amp; Ca-cAMP'!B:K,10,FALSE)</f>
        <v>2.4282471188241043E-4</v>
      </c>
      <c r="G389" s="21">
        <f>VLOOKUP(A389,'AQP2 Colocalization'!A:F,6,FALSE)</f>
        <v>1.7926818692562803E-4</v>
      </c>
    </row>
    <row r="390" spans="1:7" ht="15">
      <c r="A390" s="14" t="s">
        <v>249</v>
      </c>
      <c r="B390" s="20">
        <f t="shared" si="6"/>
        <v>1.9193857965451055E-3</v>
      </c>
      <c r="C390" s="21">
        <f>VLOOKUP(A390,Transcriptome!B:L,11,FALSE)</f>
        <v>5.2742616033756105E-4</v>
      </c>
      <c r="D390" s="21">
        <f>VLOOKUP(A390,Proteome!B:I,8,FALSE)</f>
        <v>3.0970299482795891E-4</v>
      </c>
      <c r="E390" s="21">
        <f>VLOOKUP(A390,'Consensus Phospho site'!$B$2:$G$522,6,FALSE)</f>
        <v>2.5695711385769875E-4</v>
      </c>
      <c r="F390" s="21">
        <f>VLOOKUP(A390,'AVP Regulation (PTM &amp; Ca-cAMP'!B:K,10,FALSE)</f>
        <v>2.4282471188241043E-4</v>
      </c>
      <c r="G390" s="21">
        <f>VLOOKUP(A390,'AQP2 Colocalization'!A:F,6,FALSE)</f>
        <v>1.7926818692562803E-4</v>
      </c>
    </row>
    <row r="391" spans="1:7" ht="15">
      <c r="A391" s="14" t="s">
        <v>259</v>
      </c>
      <c r="B391" s="20">
        <f t="shared" si="6"/>
        <v>1.9193857965451055E-3</v>
      </c>
      <c r="C391" s="21">
        <f>VLOOKUP(A391,Transcriptome!B:L,11,FALSE)</f>
        <v>5.2742616033756105E-4</v>
      </c>
      <c r="D391" s="21">
        <f>VLOOKUP(A391,Proteome!B:I,8,FALSE)</f>
        <v>3.0970299482795891E-4</v>
      </c>
      <c r="E391" s="21">
        <f>VLOOKUP(A391,'Consensus Phospho site'!$B$2:$G$522,6,FALSE)</f>
        <v>2.5695711385769875E-4</v>
      </c>
      <c r="F391" s="21">
        <f>VLOOKUP(A391,'AVP Regulation (PTM &amp; Ca-cAMP'!B:K,10,FALSE)</f>
        <v>2.4282471188241043E-4</v>
      </c>
      <c r="G391" s="21">
        <f>VLOOKUP(A391,'AQP2 Colocalization'!A:F,6,FALSE)</f>
        <v>1.7926818692562803E-4</v>
      </c>
    </row>
    <row r="392" spans="1:7" ht="15">
      <c r="A392" s="14" t="s">
        <v>260</v>
      </c>
      <c r="B392" s="20">
        <f t="shared" si="6"/>
        <v>1.9193857965451055E-3</v>
      </c>
      <c r="C392" s="21">
        <f>VLOOKUP(A392,Transcriptome!B:L,11,FALSE)</f>
        <v>5.2742616033756105E-4</v>
      </c>
      <c r="D392" s="21">
        <f>VLOOKUP(A392,Proteome!B:I,8,FALSE)</f>
        <v>3.0970299482795891E-4</v>
      </c>
      <c r="E392" s="21">
        <f>VLOOKUP(A392,'Consensus Phospho site'!$B$2:$G$522,6,FALSE)</f>
        <v>2.5695711385769875E-4</v>
      </c>
      <c r="F392" s="21">
        <f>VLOOKUP(A392,'AVP Regulation (PTM &amp; Ca-cAMP'!B:K,10,FALSE)</f>
        <v>2.4282471188241043E-4</v>
      </c>
      <c r="G392" s="21">
        <f>VLOOKUP(A392,'AQP2 Colocalization'!A:F,6,FALSE)</f>
        <v>1.7926818692562803E-4</v>
      </c>
    </row>
    <row r="393" spans="1:7" ht="15">
      <c r="A393" s="14" t="s">
        <v>271</v>
      </c>
      <c r="B393" s="20">
        <f t="shared" si="6"/>
        <v>1.9193857965451055E-3</v>
      </c>
      <c r="C393" s="21">
        <f>VLOOKUP(A393,Transcriptome!B:L,11,FALSE)</f>
        <v>5.2742616033756105E-4</v>
      </c>
      <c r="D393" s="21">
        <f>VLOOKUP(A393,Proteome!B:I,8,FALSE)</f>
        <v>3.0970299482795891E-4</v>
      </c>
      <c r="E393" s="21">
        <f>VLOOKUP(A393,'Consensus Phospho site'!$B$2:$G$522,6,FALSE)</f>
        <v>2.5695711385769875E-4</v>
      </c>
      <c r="F393" s="21">
        <f>VLOOKUP(A393,'AVP Regulation (PTM &amp; Ca-cAMP'!B:K,10,FALSE)</f>
        <v>2.4282471188241043E-4</v>
      </c>
      <c r="G393" s="21">
        <f>VLOOKUP(A393,'AQP2 Colocalization'!A:F,6,FALSE)</f>
        <v>1.7926818692562803E-4</v>
      </c>
    </row>
    <row r="394" spans="1:7" ht="15">
      <c r="A394" s="14" t="s">
        <v>280</v>
      </c>
      <c r="B394" s="20">
        <f t="shared" si="6"/>
        <v>1.9193857965451055E-3</v>
      </c>
      <c r="C394" s="21">
        <f>VLOOKUP(A394,Transcriptome!B:L,11,FALSE)</f>
        <v>5.2742616033756105E-4</v>
      </c>
      <c r="D394" s="21">
        <f>VLOOKUP(A394,Proteome!B:I,8,FALSE)</f>
        <v>3.0970299482795891E-4</v>
      </c>
      <c r="E394" s="21">
        <f>VLOOKUP(A394,'Consensus Phospho site'!$B$2:$G$522,6,FALSE)</f>
        <v>2.5695711385769875E-4</v>
      </c>
      <c r="F394" s="21">
        <f>VLOOKUP(A394,'AVP Regulation (PTM &amp; Ca-cAMP'!B:K,10,FALSE)</f>
        <v>2.4282471188241043E-4</v>
      </c>
      <c r="G394" s="21">
        <f>VLOOKUP(A394,'AQP2 Colocalization'!A:F,6,FALSE)</f>
        <v>1.7926818692562803E-4</v>
      </c>
    </row>
    <row r="395" spans="1:7" ht="15">
      <c r="A395" s="14" t="s">
        <v>281</v>
      </c>
      <c r="B395" s="20">
        <f t="shared" si="6"/>
        <v>1.9193857965451055E-3</v>
      </c>
      <c r="C395" s="21">
        <f>VLOOKUP(A395,Transcriptome!B:L,11,FALSE)</f>
        <v>5.2742616033756105E-4</v>
      </c>
      <c r="D395" s="21">
        <f>VLOOKUP(A395,Proteome!B:I,8,FALSE)</f>
        <v>3.0970299482795891E-4</v>
      </c>
      <c r="E395" s="21">
        <f>VLOOKUP(A395,'Consensus Phospho site'!$B$2:$G$522,6,FALSE)</f>
        <v>2.5695711385769875E-4</v>
      </c>
      <c r="F395" s="21">
        <f>VLOOKUP(A395,'AVP Regulation (PTM &amp; Ca-cAMP'!B:K,10,FALSE)</f>
        <v>2.4282471188241043E-4</v>
      </c>
      <c r="G395" s="21">
        <f>VLOOKUP(A395,'AQP2 Colocalization'!A:F,6,FALSE)</f>
        <v>1.7926818692562803E-4</v>
      </c>
    </row>
    <row r="396" spans="1:7" ht="15">
      <c r="A396" s="14" t="s">
        <v>319</v>
      </c>
      <c r="B396" s="20">
        <f t="shared" si="6"/>
        <v>1.9193857965451055E-3</v>
      </c>
      <c r="C396" s="21">
        <f>VLOOKUP(A396,Transcriptome!B:L,11,FALSE)</f>
        <v>5.2742616033756105E-4</v>
      </c>
      <c r="D396" s="21">
        <f>VLOOKUP(A396,Proteome!B:I,8,FALSE)</f>
        <v>3.0970299482795891E-4</v>
      </c>
      <c r="E396" s="21">
        <f>VLOOKUP(A396,'Consensus Phospho site'!$B$2:$G$522,6,FALSE)</f>
        <v>2.5695711385769875E-4</v>
      </c>
      <c r="F396" s="21">
        <f>VLOOKUP(A396,'AVP Regulation (PTM &amp; Ca-cAMP'!B:K,10,FALSE)</f>
        <v>2.4282471188241043E-4</v>
      </c>
      <c r="G396" s="21">
        <f>VLOOKUP(A396,'AQP2 Colocalization'!A:F,6,FALSE)</f>
        <v>1.7926818692562803E-4</v>
      </c>
    </row>
    <row r="397" spans="1:7" ht="15">
      <c r="A397" s="14" t="s">
        <v>50</v>
      </c>
      <c r="B397" s="20">
        <f t="shared" si="6"/>
        <v>1.9193857965451055E-3</v>
      </c>
      <c r="C397" s="21">
        <f>VLOOKUP(A397,Transcriptome!B:L,11,FALSE)</f>
        <v>5.2742616033756105E-4</v>
      </c>
      <c r="D397" s="21">
        <f>VLOOKUP(A397,Proteome!B:I,8,FALSE)</f>
        <v>5.8843569017312199E-4</v>
      </c>
      <c r="E397" s="21">
        <f>VLOOKUP(A397,'Consensus Phospho site'!$B$2:$G$522,6,FALSE)</f>
        <v>1.6273950544320925E-4</v>
      </c>
      <c r="F397" s="21">
        <f>VLOOKUP(A397,'AVP Regulation (PTM &amp; Ca-cAMP'!B:K,10,FALSE)</f>
        <v>1.5378898419219332E-4</v>
      </c>
      <c r="G397" s="21">
        <f>VLOOKUP(A397,'AQP2 Colocalization'!A:F,6,FALSE)</f>
        <v>5.6768259193115561E-5</v>
      </c>
    </row>
    <row r="398" spans="1:7" ht="15">
      <c r="A398" s="14" t="s">
        <v>70</v>
      </c>
      <c r="B398" s="20">
        <f t="shared" si="6"/>
        <v>1.9193857965451055E-3</v>
      </c>
      <c r="C398" s="21">
        <f>VLOOKUP(A398,Transcriptome!B:L,11,FALSE)</f>
        <v>5.2742616033756105E-4</v>
      </c>
      <c r="D398" s="21">
        <f>VLOOKUP(A398,Proteome!B:I,8,FALSE)</f>
        <v>5.8843569017312199E-4</v>
      </c>
      <c r="E398" s="21">
        <f>VLOOKUP(A398,'Consensus Phospho site'!$B$2:$G$522,6,FALSE)</f>
        <v>1.6273950544320925E-4</v>
      </c>
      <c r="F398" s="21">
        <f>VLOOKUP(A398,'AVP Regulation (PTM &amp; Ca-cAMP'!B:K,10,FALSE)</f>
        <v>1.5378898419219332E-4</v>
      </c>
      <c r="G398" s="21">
        <f>VLOOKUP(A398,'AQP2 Colocalization'!A:F,6,FALSE)</f>
        <v>1.1353651838623112E-4</v>
      </c>
    </row>
    <row r="399" spans="1:7" ht="15">
      <c r="A399" s="14" t="s">
        <v>97</v>
      </c>
      <c r="B399" s="20">
        <f t="shared" si="6"/>
        <v>1.9193857965451055E-3</v>
      </c>
      <c r="C399" s="21">
        <f>VLOOKUP(A399,Transcriptome!B:L,11,FALSE)</f>
        <v>5.2742616033756105E-4</v>
      </c>
      <c r="D399" s="21">
        <f>VLOOKUP(A399,Proteome!B:I,8,FALSE)</f>
        <v>5.8843569017312199E-4</v>
      </c>
      <c r="E399" s="21">
        <f>VLOOKUP(A399,'Consensus Phospho site'!$B$2:$G$522,6,FALSE)</f>
        <v>1.6273950544320925E-4</v>
      </c>
      <c r="F399" s="21">
        <f>VLOOKUP(A399,'AVP Regulation (PTM &amp; Ca-cAMP'!B:K,10,FALSE)</f>
        <v>1.5378898419219332E-4</v>
      </c>
      <c r="G399" s="21">
        <f>VLOOKUP(A399,'AQP2 Colocalization'!A:F,6,FALSE)</f>
        <v>1.1353651838623112E-4</v>
      </c>
    </row>
    <row r="400" spans="1:7" ht="15">
      <c r="A400" s="14" t="s">
        <v>135</v>
      </c>
      <c r="B400" s="20">
        <f t="shared" si="6"/>
        <v>1.9193857965451055E-3</v>
      </c>
      <c r="C400" s="21">
        <f>VLOOKUP(A400,Transcriptome!B:L,11,FALSE)</f>
        <v>5.2742616033756105E-4</v>
      </c>
      <c r="D400" s="21">
        <f>VLOOKUP(A400,Proteome!B:I,8,FALSE)</f>
        <v>5.8843569017312199E-4</v>
      </c>
      <c r="E400" s="21">
        <f>VLOOKUP(A400,'Consensus Phospho site'!$B$2:$G$522,6,FALSE)</f>
        <v>1.6273950544320925E-4</v>
      </c>
      <c r="F400" s="21">
        <f>VLOOKUP(A400,'AVP Regulation (PTM &amp; Ca-cAMP'!B:K,10,FALSE)</f>
        <v>1.5378898419219332E-4</v>
      </c>
      <c r="G400" s="21">
        <f>VLOOKUP(A400,'AQP2 Colocalization'!A:F,6,FALSE)</f>
        <v>1.1353651838623112E-4</v>
      </c>
    </row>
    <row r="401" spans="1:7" ht="15">
      <c r="A401" s="14" t="s">
        <v>530</v>
      </c>
      <c r="B401" s="20">
        <f t="shared" si="6"/>
        <v>1.9193857965451055E-3</v>
      </c>
      <c r="C401" s="21">
        <f>VLOOKUP(A401,Transcriptome!B:L,11,FALSE)</f>
        <v>5.2742616033756105E-4</v>
      </c>
      <c r="D401" s="21">
        <f>VLOOKUP(A401,Proteome!B:I,8,FALSE)</f>
        <v>5.8843569017312199E-4</v>
      </c>
      <c r="E401" s="21">
        <f>VLOOKUP(A401,'Consensus Phospho site'!$B$2:$G$522,6,FALSE)</f>
        <v>1.6273950544320925E-4</v>
      </c>
      <c r="F401" s="21">
        <f>VLOOKUP(A401,'AVP Regulation (PTM &amp; Ca-cAMP'!B:K,10,FALSE)</f>
        <v>1.5378898419219332E-4</v>
      </c>
      <c r="G401" s="21">
        <f>VLOOKUP(A401,'AQP2 Colocalization'!A:F,6,FALSE)</f>
        <v>1.1353651838623112E-4</v>
      </c>
    </row>
    <row r="402" spans="1:7" ht="15">
      <c r="A402" s="14" t="s">
        <v>118</v>
      </c>
      <c r="B402" s="20">
        <f t="shared" si="6"/>
        <v>1.9193857965451055E-3</v>
      </c>
      <c r="C402" s="21">
        <f>VLOOKUP(A402,Transcriptome!B:L,11,FALSE)</f>
        <v>5.2742616033756105E-4</v>
      </c>
      <c r="D402" s="21">
        <f>VLOOKUP(A402,Proteome!B:I,8,FALSE)</f>
        <v>5.8843569017312199E-4</v>
      </c>
      <c r="E402" s="21">
        <f>VLOOKUP(A402,'Consensus Phospho site'!$B$2:$G$522,6,FALSE)</f>
        <v>1.6273950544320925E-4</v>
      </c>
      <c r="F402" s="21">
        <f>VLOOKUP(A402,'AVP Regulation (PTM &amp; Ca-cAMP'!B:K,10,FALSE)</f>
        <v>1.5378898419219332E-4</v>
      </c>
      <c r="G402" s="21">
        <f>VLOOKUP(A402,'AQP2 Colocalization'!A:F,6,FALSE)</f>
        <v>1.1353651838623112E-4</v>
      </c>
    </row>
    <row r="403" spans="1:7" ht="15">
      <c r="A403" s="14" t="s">
        <v>76</v>
      </c>
      <c r="B403" s="20">
        <f t="shared" si="6"/>
        <v>1.9193857965451055E-3</v>
      </c>
      <c r="C403" s="21">
        <f>VLOOKUP(A403,Transcriptome!B:L,11,FALSE)</f>
        <v>5.2742616033756105E-4</v>
      </c>
      <c r="D403" s="21">
        <f>VLOOKUP(A403,Proteome!B:I,8,FALSE)</f>
        <v>5.8843569017312199E-4</v>
      </c>
      <c r="E403" s="21">
        <f>VLOOKUP(A403,'Consensus Phospho site'!$B$2:$G$522,6,FALSE)</f>
        <v>1.6273950544320925E-4</v>
      </c>
      <c r="F403" s="21">
        <f>VLOOKUP(A403,'AVP Regulation (PTM &amp; Ca-cAMP'!B:K,10,FALSE)</f>
        <v>1.5378898419219332E-4</v>
      </c>
      <c r="G403" s="21">
        <f>VLOOKUP(A403,'AQP2 Colocalization'!A:F,6,FALSE)</f>
        <v>1.1353651838623112E-4</v>
      </c>
    </row>
    <row r="404" spans="1:7" ht="15">
      <c r="A404" s="14" t="s">
        <v>12</v>
      </c>
      <c r="B404" s="20">
        <f t="shared" si="6"/>
        <v>1.9193857965451055E-3</v>
      </c>
      <c r="C404" s="21">
        <f>VLOOKUP(A404,Transcriptome!B:L,11,FALSE)</f>
        <v>5.2742616033756105E-4</v>
      </c>
      <c r="D404" s="21">
        <f>VLOOKUP(A404,Proteome!B:I,8,FALSE)</f>
        <v>5.8843569017312199E-4</v>
      </c>
      <c r="E404" s="21">
        <f>VLOOKUP(A404,'Consensus Phospho site'!$B$2:$G$522,6,FALSE)</f>
        <v>1.6273950544320925E-4</v>
      </c>
      <c r="F404" s="21">
        <f>VLOOKUP(A404,'AVP Regulation (PTM &amp; Ca-cAMP'!B:K,10,FALSE)</f>
        <v>1.5378898419219332E-4</v>
      </c>
      <c r="G404" s="21">
        <f>VLOOKUP(A404,'AQP2 Colocalization'!A:F,6,FALSE)</f>
        <v>1.1353651838623112E-4</v>
      </c>
    </row>
    <row r="405" spans="1:7" ht="15">
      <c r="A405" s="14" t="s">
        <v>21</v>
      </c>
      <c r="B405" s="20">
        <f t="shared" si="6"/>
        <v>1.9193857965451055E-3</v>
      </c>
      <c r="C405" s="21">
        <f>VLOOKUP(A405,Transcriptome!B:L,11,FALSE)</f>
        <v>5.2742616033756105E-4</v>
      </c>
      <c r="D405" s="21">
        <f>VLOOKUP(A405,Proteome!B:I,8,FALSE)</f>
        <v>5.8843569017312199E-4</v>
      </c>
      <c r="E405" s="21">
        <f>VLOOKUP(A405,'Consensus Phospho site'!$B$2:$G$522,6,FALSE)</f>
        <v>1.6273950544320925E-4</v>
      </c>
      <c r="F405" s="21">
        <f>VLOOKUP(A405,'AVP Regulation (PTM &amp; Ca-cAMP'!B:K,10,FALSE)</f>
        <v>1.5378898419219332E-4</v>
      </c>
      <c r="G405" s="21">
        <f>VLOOKUP(A405,'AQP2 Colocalization'!A:F,6,FALSE)</f>
        <v>1.1353651838623112E-4</v>
      </c>
    </row>
    <row r="406" spans="1:7" ht="15">
      <c r="A406" s="14" t="s">
        <v>104</v>
      </c>
      <c r="B406" s="20">
        <f t="shared" si="6"/>
        <v>1.9193857965451055E-3</v>
      </c>
      <c r="C406" s="21">
        <f>VLOOKUP(A406,Transcriptome!B:L,11,FALSE)</f>
        <v>5.2742616033756105E-4</v>
      </c>
      <c r="D406" s="21">
        <f>VLOOKUP(A406,Proteome!B:I,8,FALSE)</f>
        <v>5.8843569017312199E-4</v>
      </c>
      <c r="E406" s="21">
        <f>VLOOKUP(A406,'Consensus Phospho site'!$B$2:$G$522,6,FALSE)</f>
        <v>1.6273950544320925E-4</v>
      </c>
      <c r="F406" s="21">
        <f>VLOOKUP(A406,'AVP Regulation (PTM &amp; Ca-cAMP'!B:K,10,FALSE)</f>
        <v>1.5378898419219332E-4</v>
      </c>
      <c r="G406" s="21">
        <f>VLOOKUP(A406,'AQP2 Colocalization'!A:F,6,FALSE)</f>
        <v>1.1353651838623112E-4</v>
      </c>
    </row>
    <row r="407" spans="1:7" ht="15">
      <c r="A407" s="14" t="s">
        <v>111</v>
      </c>
      <c r="B407" s="20">
        <f t="shared" si="6"/>
        <v>1.9193857965451055E-3</v>
      </c>
      <c r="C407" s="21">
        <f>VLOOKUP(A407,Transcriptome!B:L,11,FALSE)</f>
        <v>5.2742616033756105E-4</v>
      </c>
      <c r="D407" s="21">
        <f>VLOOKUP(A407,Proteome!B:I,8,FALSE)</f>
        <v>5.8843569017312199E-4</v>
      </c>
      <c r="E407" s="21">
        <f>VLOOKUP(A407,'Consensus Phospho site'!$B$2:$G$522,6,FALSE)</f>
        <v>1.6273950544320925E-4</v>
      </c>
      <c r="F407" s="21">
        <f>VLOOKUP(A407,'AVP Regulation (PTM &amp; Ca-cAMP'!B:K,10,FALSE)</f>
        <v>1.5378898419219332E-4</v>
      </c>
      <c r="G407" s="21">
        <f>VLOOKUP(A407,'AQP2 Colocalization'!A:F,6,FALSE)</f>
        <v>1.1353651838623112E-4</v>
      </c>
    </row>
    <row r="408" spans="1:7" ht="15">
      <c r="A408" s="14" t="s">
        <v>40</v>
      </c>
      <c r="B408" s="20">
        <f t="shared" si="6"/>
        <v>1.9193857965451055E-3</v>
      </c>
      <c r="C408" s="21">
        <f>VLOOKUP(A408,Transcriptome!B:L,11,FALSE)</f>
        <v>5.2742616033756105E-4</v>
      </c>
      <c r="D408" s="21">
        <f>VLOOKUP(A408,Proteome!B:I,8,FALSE)</f>
        <v>5.8843569017312199E-4</v>
      </c>
      <c r="E408" s="21">
        <f>VLOOKUP(A408,'Consensus Phospho site'!$B$2:$G$522,6,FALSE)</f>
        <v>1.6273950544320925E-4</v>
      </c>
      <c r="F408" s="21">
        <f>VLOOKUP(A408,'AVP Regulation (PTM &amp; Ca-cAMP'!B:K,10,FALSE)</f>
        <v>1.5378898419219332E-4</v>
      </c>
      <c r="G408" s="21">
        <f>VLOOKUP(A408,'AQP2 Colocalization'!A:F,6,FALSE)</f>
        <v>1.1353651838623112E-4</v>
      </c>
    </row>
    <row r="409" spans="1:7" ht="15">
      <c r="A409" s="14" t="s">
        <v>115</v>
      </c>
      <c r="B409" s="20">
        <f t="shared" si="6"/>
        <v>1.9193857965451055E-3</v>
      </c>
      <c r="C409" s="21">
        <f>VLOOKUP(A409,Transcriptome!B:L,11,FALSE)</f>
        <v>5.2742616033756105E-4</v>
      </c>
      <c r="D409" s="21">
        <f>VLOOKUP(A409,Proteome!B:I,8,FALSE)</f>
        <v>5.8843569017312199E-4</v>
      </c>
      <c r="E409" s="21">
        <f>VLOOKUP(A409,'Consensus Phospho site'!$B$2:$G$522,6,FALSE)</f>
        <v>1.6273950544320925E-4</v>
      </c>
      <c r="F409" s="21">
        <f>VLOOKUP(A409,'AVP Regulation (PTM &amp; Ca-cAMP'!B:K,10,FALSE)</f>
        <v>1.5378898419219332E-4</v>
      </c>
      <c r="G409" s="21">
        <f>VLOOKUP(A409,'AQP2 Colocalization'!A:F,6,FALSE)</f>
        <v>1.1353651838623112E-4</v>
      </c>
    </row>
    <row r="410" spans="1:7" ht="15">
      <c r="A410" s="14" t="s">
        <v>116</v>
      </c>
      <c r="B410" s="20">
        <f t="shared" si="6"/>
        <v>1.9193857965451055E-3</v>
      </c>
      <c r="C410" s="21">
        <f>VLOOKUP(A410,Transcriptome!B:L,11,FALSE)</f>
        <v>5.2742616033756105E-4</v>
      </c>
      <c r="D410" s="21">
        <f>VLOOKUP(A410,Proteome!B:I,8,FALSE)</f>
        <v>5.8843569017312199E-4</v>
      </c>
      <c r="E410" s="21">
        <f>VLOOKUP(A410,'Consensus Phospho site'!$B$2:$G$522,6,FALSE)</f>
        <v>1.6273950544320925E-4</v>
      </c>
      <c r="F410" s="21">
        <f>VLOOKUP(A410,'AVP Regulation (PTM &amp; Ca-cAMP'!B:K,10,FALSE)</f>
        <v>1.5378898419219332E-4</v>
      </c>
      <c r="G410" s="21">
        <f>VLOOKUP(A410,'AQP2 Colocalization'!A:F,6,FALSE)</f>
        <v>1.1353651838623112E-4</v>
      </c>
    </row>
    <row r="411" spans="1:7" ht="15">
      <c r="A411" s="14" t="s">
        <v>8</v>
      </c>
      <c r="B411" s="20">
        <f t="shared" si="6"/>
        <v>1.9193857965451055E-3</v>
      </c>
      <c r="C411" s="21">
        <f>VLOOKUP(A411,Transcriptome!B:L,11,FALSE)</f>
        <v>5.2742616033756105E-4</v>
      </c>
      <c r="D411" s="21">
        <f>VLOOKUP(A411,Proteome!B:I,8,FALSE)</f>
        <v>5.8843569017312199E-4</v>
      </c>
      <c r="E411" s="21">
        <f>VLOOKUP(A411,'Consensus Phospho site'!$B$2:$G$522,6,FALSE)</f>
        <v>1.6273950544320925E-4</v>
      </c>
      <c r="F411" s="21">
        <f>VLOOKUP(A411,'AVP Regulation (PTM &amp; Ca-cAMP'!B:K,10,FALSE)</f>
        <v>1.5378898419219332E-4</v>
      </c>
      <c r="G411" s="21">
        <f>VLOOKUP(A411,'AQP2 Colocalization'!A:F,6,FALSE)</f>
        <v>1.1353651838623112E-4</v>
      </c>
    </row>
    <row r="412" spans="1:7" ht="15">
      <c r="A412" s="14" t="s">
        <v>57</v>
      </c>
      <c r="B412" s="20">
        <f t="shared" si="6"/>
        <v>1.9193857965451055E-3</v>
      </c>
      <c r="C412" s="21">
        <f>VLOOKUP(A412,Transcriptome!B:L,11,FALSE)</f>
        <v>5.2742616033756105E-4</v>
      </c>
      <c r="D412" s="21">
        <f>VLOOKUP(A412,Proteome!B:I,8,FALSE)</f>
        <v>5.8843569017312199E-4</v>
      </c>
      <c r="E412" s="21">
        <f>VLOOKUP(A412,'Consensus Phospho site'!$B$2:$G$522,6,FALSE)</f>
        <v>1.6273950544320925E-4</v>
      </c>
      <c r="F412" s="21">
        <f>VLOOKUP(A412,'AVP Regulation (PTM &amp; Ca-cAMP'!B:K,10,FALSE)</f>
        <v>1.5378898419219332E-4</v>
      </c>
      <c r="G412" s="21">
        <f>VLOOKUP(A412,'AQP2 Colocalization'!A:F,6,FALSE)</f>
        <v>1.1353651838623112E-4</v>
      </c>
    </row>
    <row r="413" spans="1:7" ht="15">
      <c r="A413" s="14" t="s">
        <v>75</v>
      </c>
      <c r="B413" s="20">
        <f t="shared" si="6"/>
        <v>1.9193857965451055E-3</v>
      </c>
      <c r="C413" s="21">
        <f>VLOOKUP(A413,Transcriptome!B:L,11,FALSE)</f>
        <v>5.2742616033756105E-4</v>
      </c>
      <c r="D413" s="21">
        <f>VLOOKUP(A413,Proteome!B:I,8,FALSE)</f>
        <v>5.8843569017312199E-4</v>
      </c>
      <c r="E413" s="21">
        <f>VLOOKUP(A413,'Consensus Phospho site'!$B$2:$G$522,6,FALSE)</f>
        <v>1.6273950544320925E-4</v>
      </c>
      <c r="F413" s="21">
        <f>VLOOKUP(A413,'AVP Regulation (PTM &amp; Ca-cAMP'!B:K,10,FALSE)</f>
        <v>1.5378898419219332E-4</v>
      </c>
      <c r="G413" s="21">
        <f>VLOOKUP(A413,'AQP2 Colocalization'!A:F,6,FALSE)</f>
        <v>1.1353651838623112E-4</v>
      </c>
    </row>
    <row r="414" spans="1:7" ht="15">
      <c r="A414" s="14" t="s">
        <v>15</v>
      </c>
      <c r="B414" s="20">
        <f t="shared" si="6"/>
        <v>1.9193857965451055E-3</v>
      </c>
      <c r="C414" s="21">
        <f>VLOOKUP(A414,Transcriptome!B:L,11,FALSE)</f>
        <v>5.2742616033756105E-4</v>
      </c>
      <c r="D414" s="21">
        <f>VLOOKUP(A414,Proteome!B:I,8,FALSE)</f>
        <v>5.8843569017312199E-4</v>
      </c>
      <c r="E414" s="21">
        <f>VLOOKUP(A414,'Consensus Phospho site'!$B$2:$G$522,6,FALSE)</f>
        <v>1.6273950544320925E-4</v>
      </c>
      <c r="F414" s="21">
        <f>VLOOKUP(A414,'AVP Regulation (PTM &amp; Ca-cAMP'!B:K,10,FALSE)</f>
        <v>1.5378898419219332E-4</v>
      </c>
      <c r="G414" s="21">
        <f>VLOOKUP(A414,'AQP2 Colocalization'!A:F,6,FALSE)</f>
        <v>1.1353651838623112E-4</v>
      </c>
    </row>
    <row r="415" spans="1:7" ht="15">
      <c r="A415" s="14" t="s">
        <v>19</v>
      </c>
      <c r="B415" s="20">
        <f t="shared" si="6"/>
        <v>1.9193857965451055E-3</v>
      </c>
      <c r="C415" s="21">
        <f>VLOOKUP(A415,Transcriptome!B:L,11,FALSE)</f>
        <v>5.2742616033756105E-4</v>
      </c>
      <c r="D415" s="21">
        <f>VLOOKUP(A415,Proteome!B:I,8,FALSE)</f>
        <v>5.8843569017312199E-4</v>
      </c>
      <c r="E415" s="21">
        <f>VLOOKUP(A415,'Consensus Phospho site'!$B$2:$G$522,6,FALSE)</f>
        <v>1.6273950544320925E-4</v>
      </c>
      <c r="F415" s="21">
        <f>VLOOKUP(A415,'AVP Regulation (PTM &amp; Ca-cAMP'!B:K,10,FALSE)</f>
        <v>1.5378898419219332E-4</v>
      </c>
      <c r="G415" s="21">
        <f>VLOOKUP(A415,'AQP2 Colocalization'!A:F,6,FALSE)</f>
        <v>1.1353651838623112E-4</v>
      </c>
    </row>
    <row r="416" spans="1:7" ht="15">
      <c r="A416" s="14" t="s">
        <v>129</v>
      </c>
      <c r="B416" s="20">
        <f t="shared" si="6"/>
        <v>1.9193857965451055E-3</v>
      </c>
      <c r="C416" s="21">
        <f>VLOOKUP(A416,Transcriptome!B:L,11,FALSE)</f>
        <v>5.2742616033756105E-4</v>
      </c>
      <c r="D416" s="21">
        <f>VLOOKUP(A416,Proteome!B:I,8,FALSE)</f>
        <v>5.8843569017312199E-4</v>
      </c>
      <c r="E416" s="21">
        <f>VLOOKUP(A416,'Consensus Phospho site'!$B$2:$G$522,6,FALSE)</f>
        <v>1.6273950544320925E-4</v>
      </c>
      <c r="F416" s="21">
        <f>VLOOKUP(A416,'AVP Regulation (PTM &amp; Ca-cAMP'!B:K,10,FALSE)</f>
        <v>1.5378898419219332E-4</v>
      </c>
      <c r="G416" s="21">
        <f>VLOOKUP(A416,'AQP2 Colocalization'!A:F,6,FALSE)</f>
        <v>1.1353651838623112E-4</v>
      </c>
    </row>
    <row r="417" spans="1:7" ht="15">
      <c r="A417" s="14" t="s">
        <v>369</v>
      </c>
      <c r="B417" s="20">
        <f t="shared" si="6"/>
        <v>1.9193857965451055E-3</v>
      </c>
      <c r="C417" s="21">
        <f>VLOOKUP(A417,Transcriptome!B:L,11,FALSE)</f>
        <v>5.2742616033756105E-4</v>
      </c>
      <c r="D417" s="21">
        <f>VLOOKUP(A417,Proteome!B:I,8,FALSE)</f>
        <v>5.8843569017312199E-4</v>
      </c>
      <c r="E417" s="21">
        <f>VLOOKUP(A417,'Consensus Phospho site'!$B$2:$G$522,6,FALSE)</f>
        <v>1.6273950544320925E-4</v>
      </c>
      <c r="F417" s="21">
        <f>VLOOKUP(A417,'AVP Regulation (PTM &amp; Ca-cAMP'!B:K,10,FALSE)</f>
        <v>1.5378898419219332E-4</v>
      </c>
      <c r="G417" s="21">
        <f>VLOOKUP(A417,'AQP2 Colocalization'!A:F,6,FALSE)</f>
        <v>1.1353651838623112E-4</v>
      </c>
    </row>
    <row r="418" spans="1:7" ht="15">
      <c r="A418" s="14" t="s">
        <v>336</v>
      </c>
      <c r="B418" s="20">
        <f t="shared" si="6"/>
        <v>1.9193857965451055E-3</v>
      </c>
      <c r="C418" s="21">
        <f>VLOOKUP(A418,Transcriptome!B:L,11,FALSE)</f>
        <v>5.2742616033756105E-4</v>
      </c>
      <c r="D418" s="21">
        <f>VLOOKUP(A418,Proteome!B:I,8,FALSE)</f>
        <v>5.8843569017312199E-4</v>
      </c>
      <c r="E418" s="21">
        <f>VLOOKUP(A418,'Consensus Phospho site'!$B$2:$G$522,6,FALSE)</f>
        <v>1.6273950544320925E-4</v>
      </c>
      <c r="F418" s="21">
        <f>VLOOKUP(A418,'AVP Regulation (PTM &amp; Ca-cAMP'!B:K,10,FALSE)</f>
        <v>1.5378898419219332E-4</v>
      </c>
      <c r="G418" s="21">
        <f>VLOOKUP(A418,'AQP2 Colocalization'!A:F,6,FALSE)</f>
        <v>1.1353651838623112E-4</v>
      </c>
    </row>
    <row r="419" spans="1:7" ht="15">
      <c r="A419" s="14" t="s">
        <v>323</v>
      </c>
      <c r="B419" s="20">
        <f t="shared" si="6"/>
        <v>1.9193857965451055E-3</v>
      </c>
      <c r="C419" s="21">
        <f>VLOOKUP(A419,Transcriptome!B:L,11,FALSE)</f>
        <v>5.2742616033756105E-4</v>
      </c>
      <c r="D419" s="21">
        <f>VLOOKUP(A419,Proteome!B:I,8,FALSE)</f>
        <v>5.8843569017312199E-4</v>
      </c>
      <c r="E419" s="21">
        <f>VLOOKUP(A419,'Consensus Phospho site'!$B$2:$G$522,6,FALSE)</f>
        <v>1.6273950544320925E-4</v>
      </c>
      <c r="F419" s="21">
        <f>VLOOKUP(A419,'AVP Regulation (PTM &amp; Ca-cAMP'!B:K,10,FALSE)</f>
        <v>1.5378898419219332E-4</v>
      </c>
      <c r="G419" s="21">
        <f>VLOOKUP(A419,'AQP2 Colocalization'!A:F,6,FALSE)</f>
        <v>1.1353651838623112E-4</v>
      </c>
    </row>
    <row r="420" spans="1:7" ht="15">
      <c r="A420" s="14" t="s">
        <v>366</v>
      </c>
      <c r="B420" s="20">
        <f t="shared" si="6"/>
        <v>1.9193857965451055E-3</v>
      </c>
      <c r="C420" s="21">
        <f>VLOOKUP(A420,Transcriptome!B:L,11,FALSE)</f>
        <v>5.2742616033756105E-4</v>
      </c>
      <c r="D420" s="21">
        <f>VLOOKUP(A420,Proteome!B:I,8,FALSE)</f>
        <v>5.8843569017312199E-4</v>
      </c>
      <c r="E420" s="21">
        <f>VLOOKUP(A420,'Consensus Phospho site'!$B$2:$G$522,6,FALSE)</f>
        <v>1.6273950544320925E-4</v>
      </c>
      <c r="F420" s="21">
        <f>VLOOKUP(A420,'AVP Regulation (PTM &amp; Ca-cAMP'!B:K,10,FALSE)</f>
        <v>1.5378898419219332E-4</v>
      </c>
      <c r="G420" s="21">
        <f>VLOOKUP(A420,'AQP2 Colocalization'!A:F,6,FALSE)</f>
        <v>1.1353651838623112E-4</v>
      </c>
    </row>
    <row r="421" spans="1:7" ht="15">
      <c r="A421" s="14" t="s">
        <v>398</v>
      </c>
      <c r="B421" s="20">
        <f t="shared" si="6"/>
        <v>1.9193857965451055E-3</v>
      </c>
      <c r="C421" s="21">
        <f>VLOOKUP(A421,Transcriptome!B:L,11,FALSE)</f>
        <v>5.2742616033756105E-4</v>
      </c>
      <c r="D421" s="21">
        <f>VLOOKUP(A421,Proteome!B:I,8,FALSE)</f>
        <v>5.8843569017312199E-4</v>
      </c>
      <c r="E421" s="21">
        <f>VLOOKUP(A421,'Consensus Phospho site'!$B$2:$G$522,6,FALSE)</f>
        <v>1.6273950544320925E-4</v>
      </c>
      <c r="F421" s="21">
        <f>VLOOKUP(A421,'AVP Regulation (PTM &amp; Ca-cAMP'!B:K,10,FALSE)</f>
        <v>1.5378898419219332E-4</v>
      </c>
      <c r="G421" s="21">
        <f>VLOOKUP(A421,'AQP2 Colocalization'!A:F,6,FALSE)</f>
        <v>1.1353651838623112E-4</v>
      </c>
    </row>
    <row r="422" spans="1:7" ht="15">
      <c r="A422" s="14" t="s">
        <v>404</v>
      </c>
      <c r="B422" s="20">
        <f t="shared" si="6"/>
        <v>1.9193857965451055E-3</v>
      </c>
      <c r="C422" s="21">
        <f>VLOOKUP(A422,Transcriptome!B:L,11,FALSE)</f>
        <v>5.2742616033756105E-4</v>
      </c>
      <c r="D422" s="21">
        <f>VLOOKUP(A422,Proteome!B:I,8,FALSE)</f>
        <v>5.8843569017312199E-4</v>
      </c>
      <c r="E422" s="21">
        <f>VLOOKUP(A422,'Consensus Phospho site'!$B$2:$G$522,6,FALSE)</f>
        <v>1.6273950544320925E-4</v>
      </c>
      <c r="F422" s="21">
        <f>VLOOKUP(A422,'AVP Regulation (PTM &amp; Ca-cAMP'!B:K,10,FALSE)</f>
        <v>1.5378898419219332E-4</v>
      </c>
      <c r="G422" s="21">
        <f>VLOOKUP(A422,'AQP2 Colocalization'!A:F,6,FALSE)</f>
        <v>1.1353651838623112E-4</v>
      </c>
    </row>
    <row r="423" spans="1:7" ht="15">
      <c r="A423" s="14" t="s">
        <v>403</v>
      </c>
      <c r="B423" s="20">
        <f t="shared" si="6"/>
        <v>1.9193857965451055E-3</v>
      </c>
      <c r="C423" s="21">
        <f>VLOOKUP(A423,Transcriptome!B:L,11,FALSE)</f>
        <v>5.2742616033756105E-4</v>
      </c>
      <c r="D423" s="21">
        <f>VLOOKUP(A423,Proteome!B:I,8,FALSE)</f>
        <v>5.8843569017312199E-4</v>
      </c>
      <c r="E423" s="21">
        <f>VLOOKUP(A423,'Consensus Phospho site'!$B$2:$G$522,6,FALSE)</f>
        <v>1.6273950544320925E-4</v>
      </c>
      <c r="F423" s="21">
        <f>VLOOKUP(A423,'AVP Regulation (PTM &amp; Ca-cAMP'!B:K,10,FALSE)</f>
        <v>1.5378898419219332E-4</v>
      </c>
      <c r="G423" s="21">
        <f>VLOOKUP(A423,'AQP2 Colocalization'!A:F,6,FALSE)</f>
        <v>1.1353651838623112E-4</v>
      </c>
    </row>
    <row r="424" spans="1:7" ht="15">
      <c r="A424" s="14" t="s">
        <v>333</v>
      </c>
      <c r="B424" s="20">
        <f t="shared" si="6"/>
        <v>1.9193857965451055E-3</v>
      </c>
      <c r="C424" s="21">
        <f>VLOOKUP(A424,Transcriptome!B:L,11,FALSE)</f>
        <v>5.2742616033756105E-4</v>
      </c>
      <c r="D424" s="21">
        <f>VLOOKUP(A424,Proteome!B:I,8,FALSE)</f>
        <v>5.8843569017312199E-4</v>
      </c>
      <c r="E424" s="21">
        <f>VLOOKUP(A424,'Consensus Phospho site'!$B$2:$G$522,6,FALSE)</f>
        <v>1.6273950544320925E-4</v>
      </c>
      <c r="F424" s="21">
        <f>VLOOKUP(A424,'AVP Regulation (PTM &amp; Ca-cAMP'!B:K,10,FALSE)</f>
        <v>1.5378898419219332E-4</v>
      </c>
      <c r="G424" s="21">
        <f>VLOOKUP(A424,'AQP2 Colocalization'!A:F,6,FALSE)</f>
        <v>1.1353651838623112E-4</v>
      </c>
    </row>
    <row r="425" spans="1:7" ht="15">
      <c r="A425" s="14" t="s">
        <v>375</v>
      </c>
      <c r="B425" s="20">
        <f t="shared" si="6"/>
        <v>1.9193857965451055E-3</v>
      </c>
      <c r="C425" s="21">
        <f>VLOOKUP(A425,Transcriptome!B:L,11,FALSE)</f>
        <v>5.2742616033756105E-4</v>
      </c>
      <c r="D425" s="21">
        <f>VLOOKUP(A425,Proteome!B:I,8,FALSE)</f>
        <v>5.8843569017312199E-4</v>
      </c>
      <c r="E425" s="21">
        <f>VLOOKUP(A425,'Consensus Phospho site'!$B$2:$G$522,6,FALSE)</f>
        <v>1.6273950544320925E-4</v>
      </c>
      <c r="F425" s="21">
        <f>VLOOKUP(A425,'AVP Regulation (PTM &amp; Ca-cAMP'!B:K,10,FALSE)</f>
        <v>1.5378898419219332E-4</v>
      </c>
      <c r="G425" s="21">
        <f>VLOOKUP(A425,'AQP2 Colocalization'!A:F,6,FALSE)</f>
        <v>1.1353651838623112E-4</v>
      </c>
    </row>
    <row r="426" spans="1:7" ht="15">
      <c r="A426" s="14" t="s">
        <v>378</v>
      </c>
      <c r="B426" s="20">
        <f t="shared" si="6"/>
        <v>1.9193857965451055E-3</v>
      </c>
      <c r="C426" s="21">
        <f>VLOOKUP(A426,Transcriptome!B:L,11,FALSE)</f>
        <v>5.2742616033756105E-4</v>
      </c>
      <c r="D426" s="21">
        <f>VLOOKUP(A426,Proteome!B:I,8,FALSE)</f>
        <v>5.8843569017312199E-4</v>
      </c>
      <c r="E426" s="21">
        <f>VLOOKUP(A426,'Consensus Phospho site'!$B$2:$G$522,6,FALSE)</f>
        <v>1.6273950544320925E-4</v>
      </c>
      <c r="F426" s="21">
        <f>VLOOKUP(A426,'AVP Regulation (PTM &amp; Ca-cAMP'!B:K,10,FALSE)</f>
        <v>1.5378898419219332E-4</v>
      </c>
      <c r="G426" s="21">
        <f>VLOOKUP(A426,'AQP2 Colocalization'!A:F,6,FALSE)</f>
        <v>1.1353651838623112E-4</v>
      </c>
    </row>
    <row r="427" spans="1:7" ht="15">
      <c r="A427" s="14" t="s">
        <v>389</v>
      </c>
      <c r="B427" s="20">
        <f t="shared" si="6"/>
        <v>1.9193857965451055E-3</v>
      </c>
      <c r="C427" s="21">
        <f>VLOOKUP(A427,Transcriptome!B:L,11,FALSE)</f>
        <v>5.2742616033756105E-4</v>
      </c>
      <c r="D427" s="21">
        <f>VLOOKUP(A427,Proteome!B:I,8,FALSE)</f>
        <v>5.8843569017312199E-4</v>
      </c>
      <c r="E427" s="21">
        <f>VLOOKUP(A427,'Consensus Phospho site'!$B$2:$G$522,6,FALSE)</f>
        <v>1.6273950544320925E-4</v>
      </c>
      <c r="F427" s="21">
        <f>VLOOKUP(A427,'AVP Regulation (PTM &amp; Ca-cAMP'!B:K,10,FALSE)</f>
        <v>1.5378898419219332E-4</v>
      </c>
      <c r="G427" s="21">
        <f>VLOOKUP(A427,'AQP2 Colocalization'!A:F,6,FALSE)</f>
        <v>1.1353651838623112E-4</v>
      </c>
    </row>
    <row r="428" spans="1:7" ht="15">
      <c r="A428" s="14" t="s">
        <v>391</v>
      </c>
      <c r="B428" s="20">
        <f t="shared" si="6"/>
        <v>1.9193857965451055E-3</v>
      </c>
      <c r="C428" s="21">
        <f>VLOOKUP(A428,Transcriptome!B:L,11,FALSE)</f>
        <v>5.2742616033756105E-4</v>
      </c>
      <c r="D428" s="21">
        <f>VLOOKUP(A428,Proteome!B:I,8,FALSE)</f>
        <v>5.8843569017312199E-4</v>
      </c>
      <c r="E428" s="21">
        <f>VLOOKUP(A428,'Consensus Phospho site'!$B$2:$G$522,6,FALSE)</f>
        <v>1.6273950544320925E-4</v>
      </c>
      <c r="F428" s="21">
        <f>VLOOKUP(A428,'AVP Regulation (PTM &amp; Ca-cAMP'!B:K,10,FALSE)</f>
        <v>1.5378898419219332E-4</v>
      </c>
      <c r="G428" s="21">
        <f>VLOOKUP(A428,'AQP2 Colocalization'!A:F,6,FALSE)</f>
        <v>1.1353651838623112E-4</v>
      </c>
    </row>
    <row r="429" spans="1:7" ht="15">
      <c r="A429" s="14" t="s">
        <v>392</v>
      </c>
      <c r="B429" s="20">
        <f t="shared" si="6"/>
        <v>1.9193857965451055E-3</v>
      </c>
      <c r="C429" s="21">
        <f>VLOOKUP(A429,Transcriptome!B:L,11,FALSE)</f>
        <v>5.2742616033756105E-4</v>
      </c>
      <c r="D429" s="21">
        <f>VLOOKUP(A429,Proteome!B:I,8,FALSE)</f>
        <v>5.8843569017312199E-4</v>
      </c>
      <c r="E429" s="21">
        <f>VLOOKUP(A429,'Consensus Phospho site'!$B$2:$G$522,6,FALSE)</f>
        <v>1.6273950544320925E-4</v>
      </c>
      <c r="F429" s="21">
        <f>VLOOKUP(A429,'AVP Regulation (PTM &amp; Ca-cAMP'!B:K,10,FALSE)</f>
        <v>1.5378898419219332E-4</v>
      </c>
      <c r="G429" s="21">
        <f>VLOOKUP(A429,'AQP2 Colocalization'!A:F,6,FALSE)</f>
        <v>1.1353651838623112E-4</v>
      </c>
    </row>
    <row r="430" spans="1:7" ht="15">
      <c r="A430" s="14" t="s">
        <v>405</v>
      </c>
      <c r="B430" s="20">
        <f t="shared" si="6"/>
        <v>1.9193857965451055E-3</v>
      </c>
      <c r="C430" s="21">
        <f>VLOOKUP(A430,Transcriptome!B:L,11,FALSE)</f>
        <v>5.2742616033756105E-4</v>
      </c>
      <c r="D430" s="21">
        <f>VLOOKUP(A430,Proteome!B:I,8,FALSE)</f>
        <v>5.8843569017312199E-4</v>
      </c>
      <c r="E430" s="21">
        <f>VLOOKUP(A430,'Consensus Phospho site'!$B$2:$G$522,6,FALSE)</f>
        <v>1.6273950544320925E-4</v>
      </c>
      <c r="F430" s="21">
        <f>VLOOKUP(A430,'AVP Regulation (PTM &amp; Ca-cAMP'!B:K,10,FALSE)</f>
        <v>1.5378898419219332E-4</v>
      </c>
      <c r="G430" s="21">
        <f>VLOOKUP(A430,'AQP2 Colocalization'!A:F,6,FALSE)</f>
        <v>1.1353651838623112E-4</v>
      </c>
    </row>
    <row r="431" spans="1:7" ht="15">
      <c r="A431" s="14" t="s">
        <v>381</v>
      </c>
      <c r="B431" s="20">
        <f t="shared" si="6"/>
        <v>1.9193857965451055E-3</v>
      </c>
      <c r="C431" s="21">
        <f>VLOOKUP(A431,Transcriptome!B:L,11,FALSE)</f>
        <v>5.2742616033756105E-4</v>
      </c>
      <c r="D431" s="21">
        <f>VLOOKUP(A431,Proteome!B:I,8,FALSE)</f>
        <v>5.8843569017312199E-4</v>
      </c>
      <c r="E431" s="21">
        <f>VLOOKUP(A431,'Consensus Phospho site'!$B$2:$G$522,6,FALSE)</f>
        <v>1.6273950544320925E-4</v>
      </c>
      <c r="F431" s="21">
        <f>VLOOKUP(A431,'AVP Regulation (PTM &amp; Ca-cAMP'!B:K,10,FALSE)</f>
        <v>1.5378898419219332E-4</v>
      </c>
      <c r="G431" s="21">
        <f>VLOOKUP(A431,'AQP2 Colocalization'!A:F,6,FALSE)</f>
        <v>1.1353651838623112E-4</v>
      </c>
    </row>
    <row r="432" spans="1:7" ht="15">
      <c r="A432" s="14" t="s">
        <v>228</v>
      </c>
      <c r="B432" s="20">
        <f t="shared" si="6"/>
        <v>1.9193857965451055E-3</v>
      </c>
      <c r="C432" s="21">
        <f>VLOOKUP(A432,Transcriptome!B:L,11,FALSE)</f>
        <v>5.2742616033756105E-4</v>
      </c>
      <c r="D432" s="21">
        <f>VLOOKUP(A432,Proteome!B:I,8,FALSE)</f>
        <v>5.8843569017312199E-4</v>
      </c>
      <c r="E432" s="21">
        <f>VLOOKUP(A432,'Consensus Phospho site'!$B$2:$G$522,6,FALSE)</f>
        <v>1.6273950544320925E-4</v>
      </c>
      <c r="F432" s="21">
        <f>VLOOKUP(A432,'AVP Regulation (PTM &amp; Ca-cAMP'!B:K,10,FALSE)</f>
        <v>1.5378898419219332E-4</v>
      </c>
      <c r="G432" s="21">
        <f>VLOOKUP(A432,'AQP2 Colocalization'!A:F,6,FALSE)</f>
        <v>1.1353651838623112E-4</v>
      </c>
    </row>
    <row r="433" spans="1:7" ht="15">
      <c r="A433" s="14" t="s">
        <v>326</v>
      </c>
      <c r="B433" s="20">
        <f t="shared" si="6"/>
        <v>1.9193857965451055E-3</v>
      </c>
      <c r="C433" s="21">
        <f>VLOOKUP(A433,Transcriptome!B:L,11,FALSE)</f>
        <v>5.2742616033756105E-4</v>
      </c>
      <c r="D433" s="21">
        <f>VLOOKUP(A433,Proteome!B:I,8,FALSE)</f>
        <v>5.8843569017312199E-4</v>
      </c>
      <c r="E433" s="21">
        <f>VLOOKUP(A433,'Consensus Phospho site'!$B$2:$G$522,6,FALSE)</f>
        <v>1.6273950544320925E-4</v>
      </c>
      <c r="F433" s="21">
        <f>VLOOKUP(A433,'AVP Regulation (PTM &amp; Ca-cAMP'!B:K,10,FALSE)</f>
        <v>1.5378898419219332E-4</v>
      </c>
      <c r="G433" s="21">
        <f>VLOOKUP(A433,'AQP2 Colocalization'!A:F,6,FALSE)</f>
        <v>1.1353651838623112E-4</v>
      </c>
    </row>
    <row r="434" spans="1:7" ht="15">
      <c r="A434" s="14" t="s">
        <v>81</v>
      </c>
      <c r="B434" s="20">
        <f t="shared" si="6"/>
        <v>1.9193857965451055E-3</v>
      </c>
      <c r="C434" s="21">
        <f>VLOOKUP(A434,Transcriptome!B:L,11,FALSE)</f>
        <v>5.2742616033756105E-4</v>
      </c>
      <c r="D434" s="21">
        <f>VLOOKUP(A434,Proteome!B:I,8,FALSE)</f>
        <v>5.8843569017312199E-4</v>
      </c>
      <c r="E434" s="21">
        <f>VLOOKUP(A434,'Consensus Phospho site'!$B$2:$G$522,6,FALSE)</f>
        <v>1.6273950544320925E-4</v>
      </c>
      <c r="F434" s="21">
        <f>VLOOKUP(A434,'AVP Regulation (PTM &amp; Ca-cAMP'!B:K,10,FALSE)</f>
        <v>1.5378898419219332E-4</v>
      </c>
      <c r="G434" s="21">
        <f>VLOOKUP(A434,'AQP2 Colocalization'!A:F,6,FALSE)</f>
        <v>5.6768259193115561E-5</v>
      </c>
    </row>
    <row r="435" spans="1:7" ht="15">
      <c r="A435" s="14" t="s">
        <v>83</v>
      </c>
      <c r="B435" s="20">
        <f t="shared" si="6"/>
        <v>1.9193857965451055E-3</v>
      </c>
      <c r="C435" s="21">
        <f>VLOOKUP(A435,Transcriptome!B:L,11,FALSE)</f>
        <v>5.2742616033756105E-4</v>
      </c>
      <c r="D435" s="21">
        <f>VLOOKUP(A435,Proteome!B:I,8,FALSE)</f>
        <v>5.8843569017312199E-4</v>
      </c>
      <c r="E435" s="21">
        <f>VLOOKUP(A435,'Consensus Phospho site'!$B$2:$G$522,6,FALSE)</f>
        <v>1.6273950544320925E-4</v>
      </c>
      <c r="F435" s="21">
        <f>VLOOKUP(A435,'AVP Regulation (PTM &amp; Ca-cAMP'!B:K,10,FALSE)</f>
        <v>1.5378898419219332E-4</v>
      </c>
      <c r="G435" s="21">
        <f>VLOOKUP(A435,'AQP2 Colocalization'!A:F,6,FALSE)</f>
        <v>5.6768259193115561E-5</v>
      </c>
    </row>
    <row r="436" spans="1:7" ht="15">
      <c r="A436" s="14" t="s">
        <v>100</v>
      </c>
      <c r="B436" s="20">
        <f t="shared" si="6"/>
        <v>1.9193857965451055E-3</v>
      </c>
      <c r="C436" s="21">
        <f>VLOOKUP(A436,Transcriptome!B:L,11,FALSE)</f>
        <v>5.2742616033756105E-4</v>
      </c>
      <c r="D436" s="21">
        <f>VLOOKUP(A436,Proteome!B:I,8,FALSE)</f>
        <v>5.8843569017312199E-4</v>
      </c>
      <c r="E436" s="21">
        <f>VLOOKUP(A436,'Consensus Phospho site'!$B$2:$G$522,6,FALSE)</f>
        <v>1.6273950544320925E-4</v>
      </c>
      <c r="F436" s="21">
        <f>VLOOKUP(A436,'AVP Regulation (PTM &amp; Ca-cAMP'!B:K,10,FALSE)</f>
        <v>1.5378898419219332E-4</v>
      </c>
      <c r="G436" s="21">
        <f>VLOOKUP(A436,'AQP2 Colocalization'!A:F,6,FALSE)</f>
        <v>5.6768259193115561E-5</v>
      </c>
    </row>
    <row r="437" spans="1:7" ht="15">
      <c r="A437" s="14" t="s">
        <v>346</v>
      </c>
      <c r="B437" s="20">
        <f t="shared" si="6"/>
        <v>1.9193857965451055E-3</v>
      </c>
      <c r="C437" s="21">
        <f>VLOOKUP(A437,Transcriptome!B:L,11,FALSE)</f>
        <v>5.2742616033756105E-4</v>
      </c>
      <c r="D437" s="21">
        <f>VLOOKUP(A437,Proteome!B:I,8,FALSE)</f>
        <v>5.8843569017312199E-4</v>
      </c>
      <c r="E437" s="21">
        <f>VLOOKUP(A437,'Consensus Phospho site'!$B$2:$G$522,6,FALSE)</f>
        <v>1.6273950544320925E-4</v>
      </c>
      <c r="F437" s="21">
        <f>VLOOKUP(A437,'AVP Regulation (PTM &amp; Ca-cAMP'!B:K,10,FALSE)</f>
        <v>1.5378898419219332E-4</v>
      </c>
      <c r="G437" s="21">
        <f>VLOOKUP(A437,'AQP2 Colocalization'!A:F,6,FALSE)</f>
        <v>5.6768259193115561E-5</v>
      </c>
    </row>
    <row r="438" spans="1:7" ht="15">
      <c r="A438" s="14" t="s">
        <v>388</v>
      </c>
      <c r="B438" s="20">
        <f t="shared" si="6"/>
        <v>1.9193857965451055E-3</v>
      </c>
      <c r="C438" s="21">
        <f>VLOOKUP(A438,Transcriptome!B:L,11,FALSE)</f>
        <v>5.2742616033756105E-4</v>
      </c>
      <c r="D438" s="21">
        <f>VLOOKUP(A438,Proteome!B:I,8,FALSE)</f>
        <v>5.8843569017312199E-4</v>
      </c>
      <c r="E438" s="21">
        <f>VLOOKUP(A438,'Consensus Phospho site'!$B$2:$G$522,6,FALSE)</f>
        <v>1.6273950544320925E-4</v>
      </c>
      <c r="F438" s="21">
        <f>VLOOKUP(A438,'AVP Regulation (PTM &amp; Ca-cAMP'!B:K,10,FALSE)</f>
        <v>1.5378898419219332E-4</v>
      </c>
      <c r="G438" s="21">
        <f>VLOOKUP(A438,'AQP2 Colocalization'!A:F,6,FALSE)</f>
        <v>5.6768259193115561E-5</v>
      </c>
    </row>
    <row r="439" spans="1:7" ht="15">
      <c r="A439" s="14" t="s">
        <v>399</v>
      </c>
      <c r="B439" s="20">
        <f t="shared" si="6"/>
        <v>1.9193857965451055E-3</v>
      </c>
      <c r="C439" s="21">
        <f>VLOOKUP(A439,Transcriptome!B:L,11,FALSE)</f>
        <v>5.2742616033756105E-4</v>
      </c>
      <c r="D439" s="21">
        <f>VLOOKUP(A439,Proteome!B:I,8,FALSE)</f>
        <v>5.8843569017312199E-4</v>
      </c>
      <c r="E439" s="21">
        <f>VLOOKUP(A439,'Consensus Phospho site'!$B$2:$G$522,6,FALSE)</f>
        <v>1.6273950544320925E-4</v>
      </c>
      <c r="F439" s="21">
        <f>VLOOKUP(A439,'AVP Regulation (PTM &amp; Ca-cAMP'!B:K,10,FALSE)</f>
        <v>1.5378898419219332E-4</v>
      </c>
      <c r="G439" s="21">
        <f>VLOOKUP(A439,'AQP2 Colocalization'!A:F,6,FALSE)</f>
        <v>5.6768259193115561E-5</v>
      </c>
    </row>
    <row r="440" spans="1:7" ht="15">
      <c r="A440" s="14" t="s">
        <v>501</v>
      </c>
      <c r="B440" s="20">
        <f t="shared" si="6"/>
        <v>1.9193857965451055E-3</v>
      </c>
      <c r="C440" s="21">
        <f>VLOOKUP(A440,Transcriptome!B:L,11,FALSE)</f>
        <v>5.2742616033756105E-4</v>
      </c>
      <c r="D440" s="21">
        <f>VLOOKUP(A440,Proteome!B:I,8,FALSE)</f>
        <v>5.8843569017312199E-4</v>
      </c>
      <c r="E440" s="21">
        <f>VLOOKUP(A440,'Consensus Phospho site'!$B$2:$G$522,6,FALSE)</f>
        <v>8.1369752721604616E-4</v>
      </c>
      <c r="F440" s="21">
        <f>VLOOKUP(A440,'AVP Regulation (PTM &amp; Ca-cAMP'!B:K,10,FALSE)</f>
        <v>1.5378898419219326E-4</v>
      </c>
      <c r="G440" s="21">
        <f>VLOOKUP(A440,'AQP2 Colocalization'!A:F,6,FALSE)</f>
        <v>5.6768259193115534E-5</v>
      </c>
    </row>
    <row r="441" spans="1:7" ht="15">
      <c r="A441" s="14" t="s">
        <v>62</v>
      </c>
      <c r="B441" s="20">
        <f t="shared" si="6"/>
        <v>1.9193857965451055E-3</v>
      </c>
      <c r="C441" s="21">
        <f>VLOOKUP(A441,Transcriptome!B:L,11,FALSE)</f>
        <v>5.2742616033756105E-4</v>
      </c>
      <c r="D441" s="21">
        <f>VLOOKUP(A441,Proteome!B:I,8,FALSE)</f>
        <v>5.8843569017312199E-4</v>
      </c>
      <c r="E441" s="21">
        <f>VLOOKUP(A441,'Consensus Phospho site'!$B$2:$G$522,6,FALSE)</f>
        <v>1.6273950544320925E-4</v>
      </c>
      <c r="F441" s="21">
        <f>VLOOKUP(A441,'AVP Regulation (PTM &amp; Ca-cAMP'!B:K,10,FALSE)</f>
        <v>3.0757796838438661E-5</v>
      </c>
      <c r="G441" s="21">
        <f>VLOOKUP(A441,'AQP2 Colocalization'!A:F,6,FALSE)</f>
        <v>5.109143327380399E-5</v>
      </c>
    </row>
    <row r="442" spans="1:7" ht="15">
      <c r="A442" s="14" t="s">
        <v>95</v>
      </c>
      <c r="B442" s="20">
        <f t="shared" si="6"/>
        <v>1.9193857965451055E-3</v>
      </c>
      <c r="C442" s="21">
        <f>VLOOKUP(A442,Transcriptome!B:L,11,FALSE)</f>
        <v>5.2742616033756105E-4</v>
      </c>
      <c r="D442" s="21">
        <f>VLOOKUP(A442,Proteome!B:I,8,FALSE)</f>
        <v>5.8843569017312199E-4</v>
      </c>
      <c r="E442" s="21">
        <f>VLOOKUP(A442,'Consensus Phospho site'!$B$2:$G$522,6,FALSE)</f>
        <v>1.6273950544320925E-4</v>
      </c>
      <c r="F442" s="21">
        <f>VLOOKUP(A442,'AVP Regulation (PTM &amp; Ca-cAMP'!B:K,10,FALSE)</f>
        <v>3.0757796838438661E-5</v>
      </c>
      <c r="G442" s="21">
        <f>VLOOKUP(A442,'AQP2 Colocalization'!A:F,6,FALSE)</f>
        <v>4.5414607354492439E-5</v>
      </c>
    </row>
    <row r="443" spans="1:7" ht="15">
      <c r="A443" s="14" t="s">
        <v>93</v>
      </c>
      <c r="B443" s="20">
        <f t="shared" si="6"/>
        <v>1.9193857965451055E-3</v>
      </c>
      <c r="C443" s="21">
        <f>VLOOKUP(A443,Transcriptome!B:L,11,FALSE)</f>
        <v>5.2742616033756105E-4</v>
      </c>
      <c r="D443" s="21">
        <f>VLOOKUP(A443,Proteome!B:I,8,FALSE)</f>
        <v>5.8843569017312199E-4</v>
      </c>
      <c r="E443" s="21">
        <f>VLOOKUP(A443,'Consensus Phospho site'!$B$2:$G$522,6,FALSE)</f>
        <v>1.6273950544320925E-4</v>
      </c>
      <c r="F443" s="21">
        <f>VLOOKUP(A443,'AVP Regulation (PTM &amp; Ca-cAMP'!B:K,10,FALSE)</f>
        <v>3.0757796838438661E-5</v>
      </c>
      <c r="G443" s="21">
        <f>VLOOKUP(A443,'AQP2 Colocalization'!A:F,6,FALSE)</f>
        <v>3.9737781435180882E-5</v>
      </c>
    </row>
    <row r="444" spans="1:7" ht="15">
      <c r="A444" s="14" t="s">
        <v>94</v>
      </c>
      <c r="B444" s="20">
        <f t="shared" si="6"/>
        <v>1.9193857965451055E-3</v>
      </c>
      <c r="C444" s="21">
        <f>VLOOKUP(A444,Transcriptome!B:L,11,FALSE)</f>
        <v>5.2742616033756105E-4</v>
      </c>
      <c r="D444" s="21">
        <f>VLOOKUP(A444,Proteome!B:I,8,FALSE)</f>
        <v>5.8843569017312199E-4</v>
      </c>
      <c r="E444" s="21">
        <f>VLOOKUP(A444,'Consensus Phospho site'!$B$2:$G$522,6,FALSE)</f>
        <v>1.6273950544320925E-4</v>
      </c>
      <c r="F444" s="21">
        <f>VLOOKUP(A444,'AVP Regulation (PTM &amp; Ca-cAMP'!B:K,10,FALSE)</f>
        <v>3.0757796838438661E-5</v>
      </c>
      <c r="G444" s="21">
        <f>VLOOKUP(A444,'AQP2 Colocalization'!A:F,6,FALSE)</f>
        <v>3.4060955515869324E-5</v>
      </c>
    </row>
    <row r="445" spans="1:7" ht="15">
      <c r="A445" s="14" t="s">
        <v>30</v>
      </c>
      <c r="B445" s="20">
        <f t="shared" si="6"/>
        <v>1.9193857965451055E-3</v>
      </c>
      <c r="C445" s="21">
        <f>VLOOKUP(A445,Transcriptome!B:L,11,FALSE)</f>
        <v>5.2742616033756105E-4</v>
      </c>
      <c r="D445" s="21">
        <f>VLOOKUP(A445,Proteome!B:I,8,FALSE)</f>
        <v>5.8843569017312199E-4</v>
      </c>
      <c r="E445" s="21">
        <f>VLOOKUP(A445,'Consensus Phospho site'!$B$2:$G$522,6,FALSE)</f>
        <v>1.6273950544320925E-4</v>
      </c>
      <c r="F445" s="21">
        <f>VLOOKUP(A445,'AVP Regulation (PTM &amp; Ca-cAMP'!B:K,10,FALSE)</f>
        <v>3.0757796838438661E-5</v>
      </c>
      <c r="G445" s="21">
        <f>VLOOKUP(A445,'AQP2 Colocalization'!A:F,6,FALSE)</f>
        <v>2.270730367724622E-5</v>
      </c>
    </row>
    <row r="446" spans="1:7" ht="15">
      <c r="A446" s="14" t="s">
        <v>102</v>
      </c>
      <c r="B446" s="20">
        <f t="shared" si="6"/>
        <v>1.9193857965451055E-3</v>
      </c>
      <c r="C446" s="21">
        <f>VLOOKUP(A446,Transcriptome!B:L,11,FALSE)</f>
        <v>3.6919831223629265E-3</v>
      </c>
      <c r="D446" s="21">
        <f>VLOOKUP(A446,Proteome!B:I,8,FALSE)</f>
        <v>2.1679209637957119E-3</v>
      </c>
      <c r="E446" s="21">
        <f>VLOOKUP(A446,'Consensus Phospho site'!$B$2:$G$522,6,FALSE)</f>
        <v>5.9956659900129697E-4</v>
      </c>
      <c r="F446" s="21">
        <f>VLOOKUP(A446,'AVP Regulation (PTM &amp; Ca-cAMP'!B:K,10,FALSE)</f>
        <v>1.1331819887845815E-4</v>
      </c>
      <c r="G446" s="21">
        <f>VLOOKUP(A446,'AQP2 Colocalization'!A:F,6,FALSE)</f>
        <v>8.3658487231959698E-5</v>
      </c>
    </row>
    <row r="447" spans="1:7" ht="15">
      <c r="A447" s="14" t="s">
        <v>34</v>
      </c>
      <c r="B447" s="20">
        <f t="shared" si="6"/>
        <v>1.9193857965451055E-3</v>
      </c>
      <c r="C447" s="21">
        <f>VLOOKUP(A447,Transcriptome!B:L,11,FALSE)</f>
        <v>5.2742616033756105E-4</v>
      </c>
      <c r="D447" s="21">
        <f>VLOOKUP(A447,Proteome!B:I,8,FALSE)</f>
        <v>5.8843569017312199E-4</v>
      </c>
      <c r="E447" s="21">
        <f>VLOOKUP(A447,'Consensus Phospho site'!$B$2:$G$522,6,FALSE)</f>
        <v>1.6273950544320925E-4</v>
      </c>
      <c r="F447" s="21">
        <f>VLOOKUP(A447,'AVP Regulation (PTM &amp; Ca-cAMP'!B:K,10,FALSE)</f>
        <v>3.0757796838438661E-5</v>
      </c>
      <c r="G447" s="21">
        <f>VLOOKUP(A447,'AQP2 Colocalization'!A:F,6,FALSE)</f>
        <v>2.270730367724622E-5</v>
      </c>
    </row>
    <row r="448" spans="1:7" ht="15">
      <c r="A448" s="14" t="s">
        <v>31</v>
      </c>
      <c r="B448" s="20">
        <f t="shared" si="6"/>
        <v>1.9193857965451055E-3</v>
      </c>
      <c r="C448" s="21">
        <f>VLOOKUP(A448,Transcriptome!B:L,11,FALSE)</f>
        <v>5.2742616033756105E-4</v>
      </c>
      <c r="D448" s="21">
        <f>VLOOKUP(A448,Proteome!B:I,8,FALSE)</f>
        <v>5.8843569017312199E-4</v>
      </c>
      <c r="E448" s="21">
        <f>VLOOKUP(A448,'Consensus Phospho site'!$B$2:$G$522,6,FALSE)</f>
        <v>1.6273950544320925E-4</v>
      </c>
      <c r="F448" s="21">
        <f>VLOOKUP(A448,'AVP Regulation (PTM &amp; Ca-cAMP'!B:K,10,FALSE)</f>
        <v>3.0757796838438661E-5</v>
      </c>
      <c r="G448" s="21">
        <f>VLOOKUP(A448,'AQP2 Colocalization'!A:F,6,FALSE)</f>
        <v>2.270730367724622E-5</v>
      </c>
    </row>
    <row r="449" spans="1:7" ht="15">
      <c r="A449" s="14" t="s">
        <v>127</v>
      </c>
      <c r="B449" s="20">
        <f t="shared" si="6"/>
        <v>1.9193857965451055E-3</v>
      </c>
      <c r="C449" s="21">
        <f>VLOOKUP(A449,Transcriptome!B:L,11,FALSE)</f>
        <v>5.2742616033756105E-4</v>
      </c>
      <c r="D449" s="21">
        <f>VLOOKUP(A449,Proteome!B:I,8,FALSE)</f>
        <v>3.0970299482795891E-4</v>
      </c>
      <c r="E449" s="21">
        <f>VLOOKUP(A449,'Consensus Phospho site'!$B$2:$G$522,6,FALSE)</f>
        <v>8.5652371285899594E-5</v>
      </c>
      <c r="F449" s="21">
        <f>VLOOKUP(A449,'AVP Regulation (PTM &amp; Ca-cAMP'!B:K,10,FALSE)</f>
        <v>8.0941570627470158E-5</v>
      </c>
      <c r="G449" s="21">
        <f>VLOOKUP(A449,'AQP2 Colocalization'!A:F,6,FALSE)</f>
        <v>5.9756062308542686E-5</v>
      </c>
    </row>
    <row r="450" spans="1:7" ht="15">
      <c r="A450" s="14" t="s">
        <v>71</v>
      </c>
      <c r="B450" s="20">
        <f t="shared" ref="B450:B513" si="7">1/521</f>
        <v>1.9193857965451055E-3</v>
      </c>
      <c r="C450" s="21">
        <f>VLOOKUP(A450,Transcriptome!B:L,11,FALSE)</f>
        <v>5.2742616033756105E-4</v>
      </c>
      <c r="D450" s="21">
        <f>VLOOKUP(A450,Proteome!B:I,8,FALSE)</f>
        <v>3.0970299482795891E-4</v>
      </c>
      <c r="E450" s="21">
        <f>VLOOKUP(A450,'Consensus Phospho site'!$B$2:$G$522,6,FALSE)</f>
        <v>8.5652371285899594E-5</v>
      </c>
      <c r="F450" s="21">
        <f>VLOOKUP(A450,'AVP Regulation (PTM &amp; Ca-cAMP'!B:K,10,FALSE)</f>
        <v>8.0941570627470158E-5</v>
      </c>
      <c r="G450" s="21">
        <f>VLOOKUP(A450,'AQP2 Colocalization'!A:F,6,FALSE)</f>
        <v>5.9756062308542686E-5</v>
      </c>
    </row>
    <row r="451" spans="1:7" ht="15">
      <c r="A451" s="14" t="s">
        <v>72</v>
      </c>
      <c r="B451" s="20">
        <f t="shared" si="7"/>
        <v>1.9193857965451055E-3</v>
      </c>
      <c r="C451" s="21">
        <f>VLOOKUP(A451,Transcriptome!B:L,11,FALSE)</f>
        <v>5.2742616033756105E-4</v>
      </c>
      <c r="D451" s="21">
        <f>VLOOKUP(A451,Proteome!B:I,8,FALSE)</f>
        <v>3.0970299482795891E-4</v>
      </c>
      <c r="E451" s="21">
        <f>VLOOKUP(A451,'Consensus Phospho site'!$B$2:$G$522,6,FALSE)</f>
        <v>8.5652371285899594E-5</v>
      </c>
      <c r="F451" s="21">
        <f>VLOOKUP(A451,'AVP Regulation (PTM &amp; Ca-cAMP'!B:K,10,FALSE)</f>
        <v>8.0941570627470158E-5</v>
      </c>
      <c r="G451" s="21">
        <f>VLOOKUP(A451,'AQP2 Colocalization'!A:F,6,FALSE)</f>
        <v>5.9756062308542686E-5</v>
      </c>
    </row>
    <row r="452" spans="1:7" ht="15">
      <c r="A452" s="14" t="s">
        <v>74</v>
      </c>
      <c r="B452" s="20">
        <f t="shared" si="7"/>
        <v>1.9193857965451055E-3</v>
      </c>
      <c r="C452" s="21">
        <f>VLOOKUP(A452,Transcriptome!B:L,11,FALSE)</f>
        <v>5.2742616033756105E-4</v>
      </c>
      <c r="D452" s="21">
        <f>VLOOKUP(A452,Proteome!B:I,8,FALSE)</f>
        <v>3.0970299482795891E-4</v>
      </c>
      <c r="E452" s="21">
        <f>VLOOKUP(A452,'Consensus Phospho site'!$B$2:$G$522,6,FALSE)</f>
        <v>8.5652371285899594E-5</v>
      </c>
      <c r="F452" s="21">
        <f>VLOOKUP(A452,'AVP Regulation (PTM &amp; Ca-cAMP'!B:K,10,FALSE)</f>
        <v>8.0941570627470158E-5</v>
      </c>
      <c r="G452" s="21">
        <f>VLOOKUP(A452,'AQP2 Colocalization'!A:F,6,FALSE)</f>
        <v>5.9756062308542686E-5</v>
      </c>
    </row>
    <row r="453" spans="1:7" ht="15">
      <c r="A453" s="14" t="s">
        <v>10</v>
      </c>
      <c r="B453" s="20">
        <f t="shared" si="7"/>
        <v>1.9193857965451055E-3</v>
      </c>
      <c r="C453" s="21">
        <f>VLOOKUP(A453,Transcriptome!B:L,11,FALSE)</f>
        <v>5.2742616033756105E-4</v>
      </c>
      <c r="D453" s="21">
        <f>VLOOKUP(A453,Proteome!B:I,8,FALSE)</f>
        <v>3.0970299482795891E-4</v>
      </c>
      <c r="E453" s="21">
        <f>VLOOKUP(A453,'Consensus Phospho site'!$B$2:$G$522,6,FALSE)</f>
        <v>8.5652371285899594E-5</v>
      </c>
      <c r="F453" s="21">
        <f>VLOOKUP(A453,'AVP Regulation (PTM &amp; Ca-cAMP'!B:K,10,FALSE)</f>
        <v>8.0941570627470158E-5</v>
      </c>
      <c r="G453" s="21">
        <f>VLOOKUP(A453,'AQP2 Colocalization'!A:F,6,FALSE)</f>
        <v>5.9756062308542686E-5</v>
      </c>
    </row>
    <row r="454" spans="1:7" ht="15">
      <c r="A454" s="14" t="s">
        <v>16</v>
      </c>
      <c r="B454" s="20">
        <f t="shared" si="7"/>
        <v>1.9193857965451055E-3</v>
      </c>
      <c r="C454" s="21">
        <f>VLOOKUP(A454,Transcriptome!B:L,11,FALSE)</f>
        <v>5.2742616033756105E-4</v>
      </c>
      <c r="D454" s="21">
        <f>VLOOKUP(A454,Proteome!B:I,8,FALSE)</f>
        <v>3.0970299482795891E-4</v>
      </c>
      <c r="E454" s="21">
        <f>VLOOKUP(A454,'Consensus Phospho site'!$B$2:$G$522,6,FALSE)</f>
        <v>8.5652371285899594E-5</v>
      </c>
      <c r="F454" s="21">
        <f>VLOOKUP(A454,'AVP Regulation (PTM &amp; Ca-cAMP'!B:K,10,FALSE)</f>
        <v>8.0941570627470158E-5</v>
      </c>
      <c r="G454" s="21">
        <f>VLOOKUP(A454,'AQP2 Colocalization'!A:F,6,FALSE)</f>
        <v>5.9756062308542686E-5</v>
      </c>
    </row>
    <row r="455" spans="1:7" ht="15">
      <c r="A455" s="14" t="s">
        <v>17</v>
      </c>
      <c r="B455" s="20">
        <f t="shared" si="7"/>
        <v>1.9193857965451055E-3</v>
      </c>
      <c r="C455" s="21">
        <f>VLOOKUP(A455,Transcriptome!B:L,11,FALSE)</f>
        <v>5.2742616033756105E-4</v>
      </c>
      <c r="D455" s="21">
        <f>VLOOKUP(A455,Proteome!B:I,8,FALSE)</f>
        <v>3.0970299482795891E-4</v>
      </c>
      <c r="E455" s="21">
        <f>VLOOKUP(A455,'Consensus Phospho site'!$B$2:$G$522,6,FALSE)</f>
        <v>8.5652371285899594E-5</v>
      </c>
      <c r="F455" s="21">
        <f>VLOOKUP(A455,'AVP Regulation (PTM &amp; Ca-cAMP'!B:K,10,FALSE)</f>
        <v>8.0941570627470158E-5</v>
      </c>
      <c r="G455" s="21">
        <f>VLOOKUP(A455,'AQP2 Colocalization'!A:F,6,FALSE)</f>
        <v>5.9756062308542686E-5</v>
      </c>
    </row>
    <row r="456" spans="1:7" ht="15">
      <c r="A456" s="14" t="s">
        <v>20</v>
      </c>
      <c r="B456" s="20">
        <f t="shared" si="7"/>
        <v>1.9193857965451055E-3</v>
      </c>
      <c r="C456" s="21">
        <f>VLOOKUP(A456,Transcriptome!B:L,11,FALSE)</f>
        <v>5.2742616033756105E-4</v>
      </c>
      <c r="D456" s="21">
        <f>VLOOKUP(A456,Proteome!B:I,8,FALSE)</f>
        <v>3.0970299482795891E-4</v>
      </c>
      <c r="E456" s="21">
        <f>VLOOKUP(A456,'Consensus Phospho site'!$B$2:$G$522,6,FALSE)</f>
        <v>8.5652371285899594E-5</v>
      </c>
      <c r="F456" s="21">
        <f>VLOOKUP(A456,'AVP Regulation (PTM &amp; Ca-cAMP'!B:K,10,FALSE)</f>
        <v>8.0941570627470158E-5</v>
      </c>
      <c r="G456" s="21">
        <f>VLOOKUP(A456,'AQP2 Colocalization'!A:F,6,FALSE)</f>
        <v>5.9756062308542686E-5</v>
      </c>
    </row>
    <row r="457" spans="1:7" ht="15">
      <c r="A457" s="14" t="s">
        <v>106</v>
      </c>
      <c r="B457" s="20">
        <f t="shared" si="7"/>
        <v>1.9193857965451055E-3</v>
      </c>
      <c r="C457" s="21">
        <f>VLOOKUP(A457,Transcriptome!B:L,11,FALSE)</f>
        <v>5.2742616033756105E-4</v>
      </c>
      <c r="D457" s="21">
        <f>VLOOKUP(A457,Proteome!B:I,8,FALSE)</f>
        <v>3.0970299482795891E-4</v>
      </c>
      <c r="E457" s="21">
        <f>VLOOKUP(A457,'Consensus Phospho site'!$B$2:$G$522,6,FALSE)</f>
        <v>8.5652371285899594E-5</v>
      </c>
      <c r="F457" s="21">
        <f>VLOOKUP(A457,'AVP Regulation (PTM &amp; Ca-cAMP'!B:K,10,FALSE)</f>
        <v>8.0941570627470158E-5</v>
      </c>
      <c r="G457" s="21">
        <f>VLOOKUP(A457,'AQP2 Colocalization'!A:F,6,FALSE)</f>
        <v>5.9756062308542686E-5</v>
      </c>
    </row>
    <row r="458" spans="1:7" ht="15">
      <c r="A458" s="14" t="s">
        <v>58</v>
      </c>
      <c r="B458" s="20">
        <f t="shared" si="7"/>
        <v>1.9193857965451055E-3</v>
      </c>
      <c r="C458" s="21">
        <f>VLOOKUP(A458,Transcriptome!B:L,11,FALSE)</f>
        <v>5.2742616033756105E-4</v>
      </c>
      <c r="D458" s="21">
        <f>VLOOKUP(A458,Proteome!B:I,8,FALSE)</f>
        <v>3.0970299482795891E-4</v>
      </c>
      <c r="E458" s="21">
        <f>VLOOKUP(A458,'Consensus Phospho site'!$B$2:$G$522,6,FALSE)</f>
        <v>8.5652371285899594E-5</v>
      </c>
      <c r="F458" s="21">
        <f>VLOOKUP(A458,'AVP Regulation (PTM &amp; Ca-cAMP'!B:K,10,FALSE)</f>
        <v>8.0941570627470158E-5</v>
      </c>
      <c r="G458" s="21">
        <f>VLOOKUP(A458,'AQP2 Colocalization'!A:F,6,FALSE)</f>
        <v>5.9756062308542686E-5</v>
      </c>
    </row>
    <row r="459" spans="1:7" ht="15">
      <c r="A459" s="14" t="s">
        <v>9</v>
      </c>
      <c r="B459" s="20">
        <f t="shared" si="7"/>
        <v>1.9193857965451055E-3</v>
      </c>
      <c r="C459" s="21">
        <f>VLOOKUP(A459,Transcriptome!B:L,11,FALSE)</f>
        <v>5.2742616033756105E-4</v>
      </c>
      <c r="D459" s="21">
        <f>VLOOKUP(A459,Proteome!B:I,8,FALSE)</f>
        <v>3.0970299482795891E-4</v>
      </c>
      <c r="E459" s="21">
        <f>VLOOKUP(A459,'Consensus Phospho site'!$B$2:$G$522,6,FALSE)</f>
        <v>8.5652371285899594E-5</v>
      </c>
      <c r="F459" s="21">
        <f>VLOOKUP(A459,'AVP Regulation (PTM &amp; Ca-cAMP'!B:K,10,FALSE)</f>
        <v>8.0941570627470158E-5</v>
      </c>
      <c r="G459" s="21">
        <f>VLOOKUP(A459,'AQP2 Colocalization'!A:F,6,FALSE)</f>
        <v>5.9756062308542686E-5</v>
      </c>
    </row>
    <row r="460" spans="1:7" ht="15">
      <c r="A460" s="15" t="s">
        <v>77</v>
      </c>
      <c r="B460" s="20">
        <f t="shared" si="7"/>
        <v>1.9193857965451055E-3</v>
      </c>
      <c r="C460" s="21">
        <f>VLOOKUP(A460,Transcriptome!B:L,11,FALSE)</f>
        <v>5.2742616033756105E-4</v>
      </c>
      <c r="D460" s="21">
        <f>VLOOKUP(A460,Proteome!B:I,8,FALSE)</f>
        <v>3.0970299482795891E-4</v>
      </c>
      <c r="E460" s="21">
        <f>VLOOKUP(A460,'Consensus Phospho site'!$B$2:$G$522,6,FALSE)</f>
        <v>8.5652371285899594E-5</v>
      </c>
      <c r="F460" s="21">
        <f>VLOOKUP(A460,'AVP Regulation (PTM &amp; Ca-cAMP'!B:K,10,FALSE)</f>
        <v>8.0941570627470158E-5</v>
      </c>
      <c r="G460" s="21">
        <f>VLOOKUP(A460,'AQP2 Colocalization'!A:F,6,FALSE)</f>
        <v>5.9756062308542686E-5</v>
      </c>
    </row>
    <row r="461" spans="1:7" ht="15">
      <c r="A461" s="15" t="s">
        <v>78</v>
      </c>
      <c r="B461" s="20">
        <f t="shared" si="7"/>
        <v>1.9193857965451055E-3</v>
      </c>
      <c r="C461" s="21">
        <f>VLOOKUP(A461,Transcriptome!B:L,11,FALSE)</f>
        <v>5.2742616033756105E-4</v>
      </c>
      <c r="D461" s="21">
        <f>VLOOKUP(A461,Proteome!B:I,8,FALSE)</f>
        <v>3.0970299482795891E-4</v>
      </c>
      <c r="E461" s="21">
        <f>VLOOKUP(A461,'Consensus Phospho site'!$B$2:$G$522,6,FALSE)</f>
        <v>8.5652371285899594E-5</v>
      </c>
      <c r="F461" s="21">
        <f>VLOOKUP(A461,'AVP Regulation (PTM &amp; Ca-cAMP'!B:K,10,FALSE)</f>
        <v>8.0941570627470158E-5</v>
      </c>
      <c r="G461" s="21">
        <f>VLOOKUP(A461,'AQP2 Colocalization'!A:F,6,FALSE)</f>
        <v>5.9756062308542686E-5</v>
      </c>
    </row>
    <row r="462" spans="1:7" ht="15">
      <c r="A462" s="15" t="s">
        <v>79</v>
      </c>
      <c r="B462" s="20">
        <f t="shared" si="7"/>
        <v>1.9193857965451055E-3</v>
      </c>
      <c r="C462" s="21">
        <f>VLOOKUP(A462,Transcriptome!B:L,11,FALSE)</f>
        <v>5.2742616033756105E-4</v>
      </c>
      <c r="D462" s="21">
        <f>VLOOKUP(A462,Proteome!B:I,8,FALSE)</f>
        <v>3.0970299482795891E-4</v>
      </c>
      <c r="E462" s="21">
        <f>VLOOKUP(A462,'Consensus Phospho site'!$B$2:$G$522,6,FALSE)</f>
        <v>8.5652371285899594E-5</v>
      </c>
      <c r="F462" s="21">
        <f>VLOOKUP(A462,'AVP Regulation (PTM &amp; Ca-cAMP'!B:K,10,FALSE)</f>
        <v>8.0941570627470158E-5</v>
      </c>
      <c r="G462" s="21">
        <f>VLOOKUP(A462,'AQP2 Colocalization'!A:F,6,FALSE)</f>
        <v>5.9756062308542686E-5</v>
      </c>
    </row>
    <row r="463" spans="1:7" ht="15">
      <c r="A463" s="14" t="s">
        <v>13</v>
      </c>
      <c r="B463" s="20">
        <f t="shared" si="7"/>
        <v>1.9193857965451055E-3</v>
      </c>
      <c r="C463" s="21">
        <f>VLOOKUP(A463,Transcriptome!B:L,11,FALSE)</f>
        <v>5.2742616033756105E-4</v>
      </c>
      <c r="D463" s="21">
        <f>VLOOKUP(A463,Proteome!B:I,8,FALSE)</f>
        <v>3.0970299482795891E-4</v>
      </c>
      <c r="E463" s="21">
        <f>VLOOKUP(A463,'Consensus Phospho site'!$B$2:$G$522,6,FALSE)</f>
        <v>8.5652371285899594E-5</v>
      </c>
      <c r="F463" s="21">
        <f>VLOOKUP(A463,'AVP Regulation (PTM &amp; Ca-cAMP'!B:K,10,FALSE)</f>
        <v>8.0941570627470158E-5</v>
      </c>
      <c r="G463" s="21">
        <f>VLOOKUP(A463,'AQP2 Colocalization'!A:F,6,FALSE)</f>
        <v>5.9756062308542686E-5</v>
      </c>
    </row>
    <row r="464" spans="1:7" ht="15">
      <c r="A464" s="15" t="s">
        <v>14</v>
      </c>
      <c r="B464" s="20">
        <f t="shared" si="7"/>
        <v>1.9193857965451055E-3</v>
      </c>
      <c r="C464" s="21">
        <f>VLOOKUP(A464,Transcriptome!B:L,11,FALSE)</f>
        <v>5.2742616033756105E-4</v>
      </c>
      <c r="D464" s="21">
        <f>VLOOKUP(A464,Proteome!B:I,8,FALSE)</f>
        <v>3.0970299482795891E-4</v>
      </c>
      <c r="E464" s="21">
        <f>VLOOKUP(A464,'Consensus Phospho site'!$B$2:$G$522,6,FALSE)</f>
        <v>8.5652371285899594E-5</v>
      </c>
      <c r="F464" s="21">
        <f>VLOOKUP(A464,'AVP Regulation (PTM &amp; Ca-cAMP'!B:K,10,FALSE)</f>
        <v>8.0941570627470158E-5</v>
      </c>
      <c r="G464" s="21">
        <f>VLOOKUP(A464,'AQP2 Colocalization'!A:F,6,FALSE)</f>
        <v>5.9756062308542686E-5</v>
      </c>
    </row>
    <row r="465" spans="1:7" ht="15">
      <c r="A465" s="14" t="s">
        <v>80</v>
      </c>
      <c r="B465" s="20">
        <f t="shared" si="7"/>
        <v>1.9193857965451055E-3</v>
      </c>
      <c r="C465" s="21">
        <f>VLOOKUP(A465,Transcriptome!B:L,11,FALSE)</f>
        <v>5.2742616033756105E-4</v>
      </c>
      <c r="D465" s="21">
        <f>VLOOKUP(A465,Proteome!B:I,8,FALSE)</f>
        <v>3.0970299482795891E-4</v>
      </c>
      <c r="E465" s="21">
        <f>VLOOKUP(A465,'Consensus Phospho site'!$B$2:$G$522,6,FALSE)</f>
        <v>8.5652371285899594E-5</v>
      </c>
      <c r="F465" s="21">
        <f>VLOOKUP(A465,'AVP Regulation (PTM &amp; Ca-cAMP'!B:K,10,FALSE)</f>
        <v>8.0941570627470158E-5</v>
      </c>
      <c r="G465" s="21">
        <f>VLOOKUP(A465,'AQP2 Colocalization'!A:F,6,FALSE)</f>
        <v>5.9756062308542686E-5</v>
      </c>
    </row>
    <row r="466" spans="1:7" ht="15">
      <c r="A466" s="14" t="s">
        <v>90</v>
      </c>
      <c r="B466" s="20">
        <f t="shared" si="7"/>
        <v>1.9193857965451055E-3</v>
      </c>
      <c r="C466" s="21">
        <f>VLOOKUP(A466,Transcriptome!B:L,11,FALSE)</f>
        <v>5.2742616033756105E-4</v>
      </c>
      <c r="D466" s="21">
        <f>VLOOKUP(A466,Proteome!B:I,8,FALSE)</f>
        <v>3.0970299482795891E-4</v>
      </c>
      <c r="E466" s="21">
        <f>VLOOKUP(A466,'Consensus Phospho site'!$B$2:$G$522,6,FALSE)</f>
        <v>8.5652371285899594E-5</v>
      </c>
      <c r="F466" s="21">
        <f>VLOOKUP(A466,'AVP Regulation (PTM &amp; Ca-cAMP'!B:K,10,FALSE)</f>
        <v>8.0941570627470158E-5</v>
      </c>
      <c r="G466" s="21">
        <f>VLOOKUP(A466,'AQP2 Colocalization'!A:F,6,FALSE)</f>
        <v>5.9756062308542686E-5</v>
      </c>
    </row>
    <row r="467" spans="1:7" ht="15">
      <c r="A467" s="14" t="s">
        <v>96</v>
      </c>
      <c r="B467" s="20">
        <f t="shared" si="7"/>
        <v>1.9193857965451055E-3</v>
      </c>
      <c r="C467" s="21">
        <f>VLOOKUP(A467,Transcriptome!B:L,11,FALSE)</f>
        <v>5.2742616033756105E-4</v>
      </c>
      <c r="D467" s="21">
        <f>VLOOKUP(A467,Proteome!B:I,8,FALSE)</f>
        <v>3.0970299482795891E-4</v>
      </c>
      <c r="E467" s="21">
        <f>VLOOKUP(A467,'Consensus Phospho site'!$B$2:$G$522,6,FALSE)</f>
        <v>8.5652371285899594E-5</v>
      </c>
      <c r="F467" s="21">
        <f>VLOOKUP(A467,'AVP Regulation (PTM &amp; Ca-cAMP'!B:K,10,FALSE)</f>
        <v>8.0941570627470158E-5</v>
      </c>
      <c r="G467" s="21">
        <f>VLOOKUP(A467,'AQP2 Colocalization'!A:F,6,FALSE)</f>
        <v>5.9756062308542686E-5</v>
      </c>
    </row>
    <row r="468" spans="1:7" ht="15">
      <c r="A468" s="14" t="s">
        <v>23</v>
      </c>
      <c r="B468" s="20">
        <f t="shared" si="7"/>
        <v>1.9193857965451055E-3</v>
      </c>
      <c r="C468" s="21">
        <f>VLOOKUP(A468,Transcriptome!B:L,11,FALSE)</f>
        <v>5.2742616033756105E-4</v>
      </c>
      <c r="D468" s="21">
        <f>VLOOKUP(A468,Proteome!B:I,8,FALSE)</f>
        <v>3.0970299482795891E-4</v>
      </c>
      <c r="E468" s="21">
        <f>VLOOKUP(A468,'Consensus Phospho site'!$B$2:$G$522,6,FALSE)</f>
        <v>8.5652371285899594E-5</v>
      </c>
      <c r="F468" s="21">
        <f>VLOOKUP(A468,'AVP Regulation (PTM &amp; Ca-cAMP'!B:K,10,FALSE)</f>
        <v>8.0941570627470158E-5</v>
      </c>
      <c r="G468" s="21">
        <f>VLOOKUP(A468,'AQP2 Colocalization'!A:F,6,FALSE)</f>
        <v>5.9756062308542686E-5</v>
      </c>
    </row>
    <row r="469" spans="1:7" ht="15">
      <c r="A469" s="14" t="s">
        <v>109</v>
      </c>
      <c r="B469" s="20">
        <f t="shared" si="7"/>
        <v>1.9193857965451055E-3</v>
      </c>
      <c r="C469" s="21">
        <f>VLOOKUP(A469,Transcriptome!B:L,11,FALSE)</f>
        <v>5.2742616033756105E-4</v>
      </c>
      <c r="D469" s="21">
        <f>VLOOKUP(A469,Proteome!B:I,8,FALSE)</f>
        <v>3.0970299482795891E-4</v>
      </c>
      <c r="E469" s="21">
        <f>VLOOKUP(A469,'Consensus Phospho site'!$B$2:$G$522,6,FALSE)</f>
        <v>8.5652371285899594E-5</v>
      </c>
      <c r="F469" s="21">
        <f>VLOOKUP(A469,'AVP Regulation (PTM &amp; Ca-cAMP'!B:K,10,FALSE)</f>
        <v>8.0941570627470158E-5</v>
      </c>
      <c r="G469" s="21">
        <f>VLOOKUP(A469,'AQP2 Colocalization'!A:F,6,FALSE)</f>
        <v>5.9756062308542686E-5</v>
      </c>
    </row>
    <row r="470" spans="1:7" ht="15">
      <c r="A470" s="14" t="s">
        <v>39</v>
      </c>
      <c r="B470" s="20">
        <f t="shared" si="7"/>
        <v>1.9193857965451055E-3</v>
      </c>
      <c r="C470" s="21">
        <f>VLOOKUP(A470,Transcriptome!B:L,11,FALSE)</f>
        <v>5.2742616033756105E-4</v>
      </c>
      <c r="D470" s="21">
        <f>VLOOKUP(A470,Proteome!B:I,8,FALSE)</f>
        <v>3.0970299482795891E-4</v>
      </c>
      <c r="E470" s="21">
        <f>VLOOKUP(A470,'Consensus Phospho site'!$B$2:$G$522,6,FALSE)</f>
        <v>8.5652371285899594E-5</v>
      </c>
      <c r="F470" s="21">
        <f>VLOOKUP(A470,'AVP Regulation (PTM &amp; Ca-cAMP'!B:K,10,FALSE)</f>
        <v>8.0941570627470158E-5</v>
      </c>
      <c r="G470" s="21">
        <f>VLOOKUP(A470,'AQP2 Colocalization'!A:F,6,FALSE)</f>
        <v>5.9756062308542686E-5</v>
      </c>
    </row>
    <row r="471" spans="1:7" ht="15">
      <c r="A471" s="14" t="s">
        <v>42</v>
      </c>
      <c r="B471" s="20">
        <f t="shared" si="7"/>
        <v>1.9193857965451055E-3</v>
      </c>
      <c r="C471" s="21">
        <f>VLOOKUP(A471,Transcriptome!B:L,11,FALSE)</f>
        <v>5.2742616033756105E-4</v>
      </c>
      <c r="D471" s="21">
        <f>VLOOKUP(A471,Proteome!B:I,8,FALSE)</f>
        <v>3.0970299482795891E-4</v>
      </c>
      <c r="E471" s="21">
        <f>VLOOKUP(A471,'Consensus Phospho site'!$B$2:$G$522,6,FALSE)</f>
        <v>8.5652371285899594E-5</v>
      </c>
      <c r="F471" s="21">
        <f>VLOOKUP(A471,'AVP Regulation (PTM &amp; Ca-cAMP'!B:K,10,FALSE)</f>
        <v>8.0941570627470158E-5</v>
      </c>
      <c r="G471" s="21">
        <f>VLOOKUP(A471,'AQP2 Colocalization'!A:F,6,FALSE)</f>
        <v>5.9756062308542686E-5</v>
      </c>
    </row>
    <row r="472" spans="1:7" ht="15">
      <c r="A472" s="14" t="s">
        <v>112</v>
      </c>
      <c r="B472" s="20">
        <f t="shared" si="7"/>
        <v>1.9193857965451055E-3</v>
      </c>
      <c r="C472" s="21">
        <f>VLOOKUP(A472,Transcriptome!B:L,11,FALSE)</f>
        <v>5.2742616033756105E-4</v>
      </c>
      <c r="D472" s="21">
        <f>VLOOKUP(A472,Proteome!B:I,8,FALSE)</f>
        <v>3.0970299482795891E-4</v>
      </c>
      <c r="E472" s="21">
        <f>VLOOKUP(A472,'Consensus Phospho site'!$B$2:$G$522,6,FALSE)</f>
        <v>8.5652371285899594E-5</v>
      </c>
      <c r="F472" s="21">
        <f>VLOOKUP(A472,'AVP Regulation (PTM &amp; Ca-cAMP'!B:K,10,FALSE)</f>
        <v>8.0941570627470158E-5</v>
      </c>
      <c r="G472" s="21">
        <f>VLOOKUP(A472,'AQP2 Colocalization'!A:F,6,FALSE)</f>
        <v>5.9756062308542686E-5</v>
      </c>
    </row>
    <row r="473" spans="1:7" ht="15">
      <c r="A473" s="15" t="s">
        <v>113</v>
      </c>
      <c r="B473" s="20">
        <f t="shared" si="7"/>
        <v>1.9193857965451055E-3</v>
      </c>
      <c r="C473" s="21">
        <f>VLOOKUP(A473,Transcriptome!B:L,11,FALSE)</f>
        <v>5.2742616033756105E-4</v>
      </c>
      <c r="D473" s="21">
        <f>VLOOKUP(A473,Proteome!B:I,8,FALSE)</f>
        <v>3.0970299482795891E-4</v>
      </c>
      <c r="E473" s="21">
        <f>VLOOKUP(A473,'Consensus Phospho site'!$B$2:$G$522,6,FALSE)</f>
        <v>8.5652371285899594E-5</v>
      </c>
      <c r="F473" s="21">
        <f>VLOOKUP(A473,'AVP Regulation (PTM &amp; Ca-cAMP'!B:K,10,FALSE)</f>
        <v>8.0941570627470158E-5</v>
      </c>
      <c r="G473" s="21">
        <f>VLOOKUP(A473,'AQP2 Colocalization'!A:F,6,FALSE)</f>
        <v>5.9756062308542686E-5</v>
      </c>
    </row>
    <row r="474" spans="1:7" ht="15">
      <c r="A474" s="14" t="s">
        <v>53</v>
      </c>
      <c r="B474" s="20">
        <f t="shared" si="7"/>
        <v>1.9193857965451055E-3</v>
      </c>
      <c r="C474" s="21">
        <f>VLOOKUP(A474,Transcriptome!B:L,11,FALSE)</f>
        <v>5.2742616033756105E-4</v>
      </c>
      <c r="D474" s="21">
        <f>VLOOKUP(A474,Proteome!B:I,8,FALSE)</f>
        <v>3.0970299482795891E-4</v>
      </c>
      <c r="E474" s="21">
        <f>VLOOKUP(A474,'Consensus Phospho site'!$B$2:$G$522,6,FALSE)</f>
        <v>8.5652371285899594E-5</v>
      </c>
      <c r="F474" s="21">
        <f>VLOOKUP(A474,'AVP Regulation (PTM &amp; Ca-cAMP'!B:K,10,FALSE)</f>
        <v>8.0941570627470158E-5</v>
      </c>
      <c r="G474" s="21">
        <f>VLOOKUP(A474,'AQP2 Colocalization'!A:F,6,FALSE)</f>
        <v>5.9756062308542686E-5</v>
      </c>
    </row>
    <row r="475" spans="1:7" ht="15">
      <c r="A475" s="14" t="s">
        <v>114</v>
      </c>
      <c r="B475" s="20">
        <f t="shared" si="7"/>
        <v>1.9193857965451055E-3</v>
      </c>
      <c r="C475" s="21">
        <f>VLOOKUP(A475,Transcriptome!B:L,11,FALSE)</f>
        <v>5.2742616033756105E-4</v>
      </c>
      <c r="D475" s="21">
        <f>VLOOKUP(A475,Proteome!B:I,8,FALSE)</f>
        <v>3.0970299482795891E-4</v>
      </c>
      <c r="E475" s="21">
        <f>VLOOKUP(A475,'Consensus Phospho site'!$B$2:$G$522,6,FALSE)</f>
        <v>8.5652371285899594E-5</v>
      </c>
      <c r="F475" s="21">
        <f>VLOOKUP(A475,'AVP Regulation (PTM &amp; Ca-cAMP'!B:K,10,FALSE)</f>
        <v>8.0941570627470158E-5</v>
      </c>
      <c r="G475" s="21">
        <f>VLOOKUP(A475,'AQP2 Colocalization'!A:F,6,FALSE)</f>
        <v>5.9756062308542686E-5</v>
      </c>
    </row>
    <row r="476" spans="1:7" ht="15">
      <c r="A476" s="15" t="s">
        <v>124</v>
      </c>
      <c r="B476" s="20">
        <f t="shared" si="7"/>
        <v>1.9193857965451055E-3</v>
      </c>
      <c r="C476" s="21">
        <f>VLOOKUP(A476,Transcriptome!B:L,11,FALSE)</f>
        <v>5.2742616033756105E-4</v>
      </c>
      <c r="D476" s="21">
        <f>VLOOKUP(A476,Proteome!B:I,8,FALSE)</f>
        <v>3.0970299482795891E-4</v>
      </c>
      <c r="E476" s="21">
        <f>VLOOKUP(A476,'Consensus Phospho site'!$B$2:$G$522,6,FALSE)</f>
        <v>8.5652371285899594E-5</v>
      </c>
      <c r="F476" s="21">
        <f>VLOOKUP(A476,'AVP Regulation (PTM &amp; Ca-cAMP'!B:K,10,FALSE)</f>
        <v>8.0941570627470158E-5</v>
      </c>
      <c r="G476" s="21">
        <f>VLOOKUP(A476,'AQP2 Colocalization'!A:F,6,FALSE)</f>
        <v>5.9756062308542686E-5</v>
      </c>
    </row>
    <row r="477" spans="1:7" ht="15">
      <c r="A477" s="15" t="s">
        <v>125</v>
      </c>
      <c r="B477" s="20">
        <f t="shared" si="7"/>
        <v>1.9193857965451055E-3</v>
      </c>
      <c r="C477" s="21">
        <f>VLOOKUP(A477,Transcriptome!B:L,11,FALSE)</f>
        <v>5.2742616033756105E-4</v>
      </c>
      <c r="D477" s="21">
        <f>VLOOKUP(A477,Proteome!B:I,8,FALSE)</f>
        <v>3.0970299482795891E-4</v>
      </c>
      <c r="E477" s="21">
        <f>VLOOKUP(A477,'Consensus Phospho site'!$B$2:$G$522,6,FALSE)</f>
        <v>8.5652371285899594E-5</v>
      </c>
      <c r="F477" s="21">
        <f>VLOOKUP(A477,'AVP Regulation (PTM &amp; Ca-cAMP'!B:K,10,FALSE)</f>
        <v>8.0941570627470158E-5</v>
      </c>
      <c r="G477" s="21">
        <f>VLOOKUP(A477,'AQP2 Colocalization'!A:F,6,FALSE)</f>
        <v>5.9756062308542686E-5</v>
      </c>
    </row>
    <row r="478" spans="1:7" ht="15">
      <c r="A478" s="15" t="s">
        <v>126</v>
      </c>
      <c r="B478" s="20">
        <f t="shared" si="7"/>
        <v>1.9193857965451055E-3</v>
      </c>
      <c r="C478" s="21">
        <f>VLOOKUP(A478,Transcriptome!B:L,11,FALSE)</f>
        <v>5.2742616033756105E-4</v>
      </c>
      <c r="D478" s="21">
        <f>VLOOKUP(A478,Proteome!B:I,8,FALSE)</f>
        <v>3.0970299482795891E-4</v>
      </c>
      <c r="E478" s="21">
        <f>VLOOKUP(A478,'Consensus Phospho site'!$B$2:$G$522,6,FALSE)</f>
        <v>8.5652371285899594E-5</v>
      </c>
      <c r="F478" s="21">
        <f>VLOOKUP(A478,'AVP Regulation (PTM &amp; Ca-cAMP'!B:K,10,FALSE)</f>
        <v>8.0941570627470158E-5</v>
      </c>
      <c r="G478" s="21">
        <f>VLOOKUP(A478,'AQP2 Colocalization'!A:F,6,FALSE)</f>
        <v>5.9756062308542686E-5</v>
      </c>
    </row>
    <row r="479" spans="1:7" ht="15">
      <c r="A479" s="15" t="s">
        <v>120</v>
      </c>
      <c r="B479" s="20">
        <f t="shared" si="7"/>
        <v>1.9193857965451055E-3</v>
      </c>
      <c r="C479" s="21">
        <f>VLOOKUP(A479,Transcriptome!B:L,11,FALSE)</f>
        <v>5.2742616033756105E-4</v>
      </c>
      <c r="D479" s="21">
        <f>VLOOKUP(A479,Proteome!B:I,8,FALSE)</f>
        <v>3.0970299482795891E-4</v>
      </c>
      <c r="E479" s="21">
        <f>VLOOKUP(A479,'Consensus Phospho site'!$B$2:$G$522,6,FALSE)</f>
        <v>8.5652371285899594E-5</v>
      </c>
      <c r="F479" s="21">
        <f>VLOOKUP(A479,'AVP Regulation (PTM &amp; Ca-cAMP'!B:K,10,FALSE)</f>
        <v>8.0941570627470158E-5</v>
      </c>
      <c r="G479" s="21">
        <f>VLOOKUP(A479,'AQP2 Colocalization'!A:F,6,FALSE)</f>
        <v>5.9756062308542686E-5</v>
      </c>
    </row>
    <row r="480" spans="1:7" ht="15">
      <c r="A480" s="14" t="s">
        <v>122</v>
      </c>
      <c r="B480" s="20">
        <f t="shared" si="7"/>
        <v>1.9193857965451055E-3</v>
      </c>
      <c r="C480" s="21">
        <f>VLOOKUP(A480,Transcriptome!B:L,11,FALSE)</f>
        <v>5.2742616033756105E-4</v>
      </c>
      <c r="D480" s="21">
        <f>VLOOKUP(A480,Proteome!B:I,8,FALSE)</f>
        <v>3.0970299482795891E-4</v>
      </c>
      <c r="E480" s="21">
        <f>VLOOKUP(A480,'Consensus Phospho site'!$B$2:$G$522,6,FALSE)</f>
        <v>8.5652371285899594E-5</v>
      </c>
      <c r="F480" s="21">
        <f>VLOOKUP(A480,'AVP Regulation (PTM &amp; Ca-cAMP'!B:K,10,FALSE)</f>
        <v>8.0941570627470158E-5</v>
      </c>
      <c r="G480" s="21">
        <f>VLOOKUP(A480,'AQP2 Colocalization'!A:F,6,FALSE)</f>
        <v>5.9756062308542686E-5</v>
      </c>
    </row>
    <row r="481" spans="1:7" ht="15">
      <c r="A481" s="14" t="s">
        <v>123</v>
      </c>
      <c r="B481" s="20">
        <f t="shared" si="7"/>
        <v>1.9193857965451055E-3</v>
      </c>
      <c r="C481" s="21">
        <f>VLOOKUP(A481,Transcriptome!B:L,11,FALSE)</f>
        <v>5.2742616033756105E-4</v>
      </c>
      <c r="D481" s="21">
        <f>VLOOKUP(A481,Proteome!B:I,8,FALSE)</f>
        <v>3.0970299482795891E-4</v>
      </c>
      <c r="E481" s="21">
        <f>VLOOKUP(A481,'Consensus Phospho site'!$B$2:$G$522,6,FALSE)</f>
        <v>8.5652371285899594E-5</v>
      </c>
      <c r="F481" s="21">
        <f>VLOOKUP(A481,'AVP Regulation (PTM &amp; Ca-cAMP'!B:K,10,FALSE)</f>
        <v>8.0941570627470158E-5</v>
      </c>
      <c r="G481" s="21">
        <f>VLOOKUP(A481,'AQP2 Colocalization'!A:F,6,FALSE)</f>
        <v>5.9756062308542686E-5</v>
      </c>
    </row>
    <row r="482" spans="1:7" ht="15">
      <c r="A482" s="14" t="s">
        <v>128</v>
      </c>
      <c r="B482" s="20">
        <f t="shared" si="7"/>
        <v>1.9193857965451055E-3</v>
      </c>
      <c r="C482" s="21">
        <f>VLOOKUP(A482,Transcriptome!B:L,11,FALSE)</f>
        <v>5.2742616033756105E-4</v>
      </c>
      <c r="D482" s="21">
        <f>VLOOKUP(A482,Proteome!B:I,8,FALSE)</f>
        <v>3.0970299482795891E-4</v>
      </c>
      <c r="E482" s="21">
        <f>VLOOKUP(A482,'Consensus Phospho site'!$B$2:$G$522,6,FALSE)</f>
        <v>8.5652371285899594E-5</v>
      </c>
      <c r="F482" s="21">
        <f>VLOOKUP(A482,'AVP Regulation (PTM &amp; Ca-cAMP'!B:K,10,FALSE)</f>
        <v>8.0941570627470158E-5</v>
      </c>
      <c r="G482" s="21">
        <f>VLOOKUP(A482,'AQP2 Colocalization'!A:F,6,FALSE)</f>
        <v>5.9756062308542686E-5</v>
      </c>
    </row>
    <row r="483" spans="1:7" ht="15">
      <c r="A483" s="14" t="s">
        <v>131</v>
      </c>
      <c r="B483" s="20">
        <f t="shared" si="7"/>
        <v>1.9193857965451055E-3</v>
      </c>
      <c r="C483" s="21">
        <f>VLOOKUP(A483,Transcriptome!B:L,11,FALSE)</f>
        <v>5.2742616033756105E-4</v>
      </c>
      <c r="D483" s="21">
        <f>VLOOKUP(A483,Proteome!B:I,8,FALSE)</f>
        <v>3.0970299482795891E-4</v>
      </c>
      <c r="E483" s="21">
        <f>VLOOKUP(A483,'Consensus Phospho site'!$B$2:$G$522,6,FALSE)</f>
        <v>8.5652371285899594E-5</v>
      </c>
      <c r="F483" s="21">
        <f>VLOOKUP(A483,'AVP Regulation (PTM &amp; Ca-cAMP'!B:K,10,FALSE)</f>
        <v>8.0941570627470158E-5</v>
      </c>
      <c r="G483" s="21">
        <f>VLOOKUP(A483,'AQP2 Colocalization'!A:F,6,FALSE)</f>
        <v>5.9756062308542686E-5</v>
      </c>
    </row>
    <row r="484" spans="1:7" ht="15">
      <c r="A484" s="14" t="s">
        <v>132</v>
      </c>
      <c r="B484" s="20">
        <f t="shared" si="7"/>
        <v>1.9193857965451055E-3</v>
      </c>
      <c r="C484" s="21">
        <f>VLOOKUP(A484,Transcriptome!B:L,11,FALSE)</f>
        <v>5.2742616033756105E-4</v>
      </c>
      <c r="D484" s="21">
        <f>VLOOKUP(A484,Proteome!B:I,8,FALSE)</f>
        <v>3.0970299482795891E-4</v>
      </c>
      <c r="E484" s="21">
        <f>VLOOKUP(A484,'Consensus Phospho site'!$B$2:$G$522,6,FALSE)</f>
        <v>8.5652371285899594E-5</v>
      </c>
      <c r="F484" s="21">
        <f>VLOOKUP(A484,'AVP Regulation (PTM &amp; Ca-cAMP'!B:K,10,FALSE)</f>
        <v>8.0941570627470158E-5</v>
      </c>
      <c r="G484" s="21">
        <f>VLOOKUP(A484,'AQP2 Colocalization'!A:F,6,FALSE)</f>
        <v>5.9756062308542686E-5</v>
      </c>
    </row>
    <row r="485" spans="1:7" ht="15">
      <c r="A485" s="14" t="s">
        <v>133</v>
      </c>
      <c r="B485" s="20">
        <f t="shared" si="7"/>
        <v>1.9193857965451055E-3</v>
      </c>
      <c r="C485" s="21">
        <f>VLOOKUP(A485,Transcriptome!B:L,11,FALSE)</f>
        <v>5.2742616033756105E-4</v>
      </c>
      <c r="D485" s="21">
        <f>VLOOKUP(A485,Proteome!B:I,8,FALSE)</f>
        <v>3.0970299482795891E-4</v>
      </c>
      <c r="E485" s="21">
        <f>VLOOKUP(A485,'Consensus Phospho site'!$B$2:$G$522,6,FALSE)</f>
        <v>8.5652371285899594E-5</v>
      </c>
      <c r="F485" s="21">
        <f>VLOOKUP(A485,'AVP Regulation (PTM &amp; Ca-cAMP'!B:K,10,FALSE)</f>
        <v>8.0941570627470158E-5</v>
      </c>
      <c r="G485" s="21">
        <f>VLOOKUP(A485,'AQP2 Colocalization'!A:F,6,FALSE)</f>
        <v>5.9756062308542686E-5</v>
      </c>
    </row>
    <row r="486" spans="1:7" ht="15">
      <c r="A486" s="14" t="s">
        <v>134</v>
      </c>
      <c r="B486" s="20">
        <f t="shared" si="7"/>
        <v>1.9193857965451055E-3</v>
      </c>
      <c r="C486" s="21">
        <f>VLOOKUP(A486,Transcriptome!B:L,11,FALSE)</f>
        <v>5.2742616033756105E-4</v>
      </c>
      <c r="D486" s="21">
        <f>VLOOKUP(A486,Proteome!B:I,8,FALSE)</f>
        <v>3.0970299482795891E-4</v>
      </c>
      <c r="E486" s="21">
        <f>VLOOKUP(A486,'Consensus Phospho site'!$B$2:$G$522,6,FALSE)</f>
        <v>8.5652371285899594E-5</v>
      </c>
      <c r="F486" s="21">
        <f>VLOOKUP(A486,'AVP Regulation (PTM &amp; Ca-cAMP'!B:K,10,FALSE)</f>
        <v>8.0941570627470158E-5</v>
      </c>
      <c r="G486" s="21">
        <f>VLOOKUP(A486,'AQP2 Colocalization'!A:F,6,FALSE)</f>
        <v>5.9756062308542686E-5</v>
      </c>
    </row>
    <row r="487" spans="1:7" ht="15">
      <c r="A487" s="15" t="s">
        <v>137</v>
      </c>
      <c r="B487" s="20">
        <f t="shared" si="7"/>
        <v>1.9193857965451055E-3</v>
      </c>
      <c r="C487" s="21">
        <f>VLOOKUP(A487,Transcriptome!B:L,11,FALSE)</f>
        <v>5.2742616033756105E-4</v>
      </c>
      <c r="D487" s="21">
        <f>VLOOKUP(A487,Proteome!B:I,8,FALSE)</f>
        <v>3.0970299482795891E-4</v>
      </c>
      <c r="E487" s="21">
        <f>VLOOKUP(A487,'Consensus Phospho site'!$B$2:$G$522,6,FALSE)</f>
        <v>8.5652371285899594E-5</v>
      </c>
      <c r="F487" s="21">
        <f>VLOOKUP(A487,'AVP Regulation (PTM &amp; Ca-cAMP'!B:K,10,FALSE)</f>
        <v>8.0941570627470158E-5</v>
      </c>
      <c r="G487" s="21">
        <f>VLOOKUP(A487,'AQP2 Colocalization'!A:F,6,FALSE)</f>
        <v>5.9756062308542686E-5</v>
      </c>
    </row>
    <row r="488" spans="1:7" ht="15">
      <c r="A488" s="14" t="s">
        <v>394</v>
      </c>
      <c r="B488" s="20">
        <f t="shared" si="7"/>
        <v>1.9193857965451055E-3</v>
      </c>
      <c r="C488" s="21">
        <f>VLOOKUP(A488,Transcriptome!B:L,11,FALSE)</f>
        <v>5.2742616033756105E-4</v>
      </c>
      <c r="D488" s="21">
        <f>VLOOKUP(A488,Proteome!B:I,8,FALSE)</f>
        <v>3.0970299482795891E-4</v>
      </c>
      <c r="E488" s="21">
        <f>VLOOKUP(A488,'Consensus Phospho site'!$B$2:$G$522,6,FALSE)</f>
        <v>8.5652371285899594E-5</v>
      </c>
      <c r="F488" s="21">
        <f>VLOOKUP(A488,'AVP Regulation (PTM &amp; Ca-cAMP'!B:K,10,FALSE)</f>
        <v>8.0941570627470158E-5</v>
      </c>
      <c r="G488" s="21">
        <f>VLOOKUP(A488,'AQP2 Colocalization'!A:F,6,FALSE)</f>
        <v>5.9756062308542686E-5</v>
      </c>
    </row>
    <row r="489" spans="1:7" ht="15">
      <c r="A489" s="14" t="s">
        <v>408</v>
      </c>
      <c r="B489" s="20">
        <f t="shared" si="7"/>
        <v>1.9193857965451055E-3</v>
      </c>
      <c r="C489" s="21">
        <f>VLOOKUP(A489,Transcriptome!B:L,11,FALSE)</f>
        <v>5.2742616033756105E-4</v>
      </c>
      <c r="D489" s="21">
        <f>VLOOKUP(A489,Proteome!B:I,8,FALSE)</f>
        <v>3.0970299482795891E-4</v>
      </c>
      <c r="E489" s="21">
        <f>VLOOKUP(A489,'Consensus Phospho site'!$B$2:$G$522,6,FALSE)</f>
        <v>8.5652371285899594E-5</v>
      </c>
      <c r="F489" s="21">
        <f>VLOOKUP(A489,'AVP Regulation (PTM &amp; Ca-cAMP'!B:K,10,FALSE)</f>
        <v>8.0941570627470158E-5</v>
      </c>
      <c r="G489" s="21">
        <f>VLOOKUP(A489,'AQP2 Colocalization'!A:F,6,FALSE)</f>
        <v>5.9756062308542686E-5</v>
      </c>
    </row>
    <row r="490" spans="1:7" ht="15">
      <c r="A490" s="14" t="s">
        <v>410</v>
      </c>
      <c r="B490" s="20">
        <f t="shared" si="7"/>
        <v>1.9193857965451055E-3</v>
      </c>
      <c r="C490" s="21">
        <f>VLOOKUP(A490,Transcriptome!B:L,11,FALSE)</f>
        <v>5.2742616033756105E-4</v>
      </c>
      <c r="D490" s="21">
        <f>VLOOKUP(A490,Proteome!B:I,8,FALSE)</f>
        <v>3.0970299482795891E-4</v>
      </c>
      <c r="E490" s="21">
        <f>VLOOKUP(A490,'Consensus Phospho site'!$B$2:$G$522,6,FALSE)</f>
        <v>8.5652371285899594E-5</v>
      </c>
      <c r="F490" s="21">
        <f>VLOOKUP(A490,'AVP Regulation (PTM &amp; Ca-cAMP'!B:K,10,FALSE)</f>
        <v>8.0941570627470158E-5</v>
      </c>
      <c r="G490" s="21">
        <f>VLOOKUP(A490,'AQP2 Colocalization'!A:F,6,FALSE)</f>
        <v>5.9756062308542686E-5</v>
      </c>
    </row>
    <row r="491" spans="1:7" ht="15">
      <c r="A491" s="14" t="s">
        <v>393</v>
      </c>
      <c r="B491" s="20">
        <f t="shared" si="7"/>
        <v>1.9193857965451055E-3</v>
      </c>
      <c r="C491" s="21">
        <f>VLOOKUP(A491,Transcriptome!B:L,11,FALSE)</f>
        <v>5.2742616033756105E-4</v>
      </c>
      <c r="D491" s="21">
        <f>VLOOKUP(A491,Proteome!B:I,8,FALSE)</f>
        <v>3.0970299482795891E-4</v>
      </c>
      <c r="E491" s="21">
        <f>VLOOKUP(A491,'Consensus Phospho site'!$B$2:$G$522,6,FALSE)</f>
        <v>8.5652371285899594E-5</v>
      </c>
      <c r="F491" s="21">
        <f>VLOOKUP(A491,'AVP Regulation (PTM &amp; Ca-cAMP'!B:K,10,FALSE)</f>
        <v>8.0941570627470158E-5</v>
      </c>
      <c r="G491" s="21">
        <f>VLOOKUP(A491,'AQP2 Colocalization'!A:F,6,FALSE)</f>
        <v>5.9756062308542686E-5</v>
      </c>
    </row>
    <row r="492" spans="1:7" ht="15">
      <c r="A492" s="14" t="s">
        <v>320</v>
      </c>
      <c r="B492" s="20">
        <f t="shared" si="7"/>
        <v>1.9193857965451055E-3</v>
      </c>
      <c r="C492" s="21">
        <f>VLOOKUP(A492,Transcriptome!B:L,11,FALSE)</f>
        <v>5.2742616033756105E-4</v>
      </c>
      <c r="D492" s="21">
        <f>VLOOKUP(A492,Proteome!B:I,8,FALSE)</f>
        <v>3.0970299482795891E-4</v>
      </c>
      <c r="E492" s="21">
        <f>VLOOKUP(A492,'Consensus Phospho site'!$B$2:$G$522,6,FALSE)</f>
        <v>8.5652371285899594E-5</v>
      </c>
      <c r="F492" s="21">
        <f>VLOOKUP(A492,'AVP Regulation (PTM &amp; Ca-cAMP'!B:K,10,FALSE)</f>
        <v>8.0941570627470158E-5</v>
      </c>
      <c r="G492" s="21">
        <f>VLOOKUP(A492,'AQP2 Colocalization'!A:F,6,FALSE)</f>
        <v>5.9756062308542686E-5</v>
      </c>
    </row>
    <row r="493" spans="1:7" ht="15">
      <c r="A493" s="14" t="s">
        <v>324</v>
      </c>
      <c r="B493" s="20">
        <f t="shared" si="7"/>
        <v>1.9193857965451055E-3</v>
      </c>
      <c r="C493" s="21">
        <f>VLOOKUP(A493,Transcriptome!B:L,11,FALSE)</f>
        <v>5.2742616033756105E-4</v>
      </c>
      <c r="D493" s="21">
        <f>VLOOKUP(A493,Proteome!B:I,8,FALSE)</f>
        <v>3.0970299482795891E-4</v>
      </c>
      <c r="E493" s="21">
        <f>VLOOKUP(A493,'Consensus Phospho site'!$B$2:$G$522,6,FALSE)</f>
        <v>8.5652371285899594E-5</v>
      </c>
      <c r="F493" s="21">
        <f>VLOOKUP(A493,'AVP Regulation (PTM &amp; Ca-cAMP'!B:K,10,FALSE)</f>
        <v>8.0941570627470158E-5</v>
      </c>
      <c r="G493" s="21">
        <f>VLOOKUP(A493,'AQP2 Colocalization'!A:F,6,FALSE)</f>
        <v>5.9756062308542686E-5</v>
      </c>
    </row>
    <row r="494" spans="1:7" ht="15">
      <c r="A494" s="14" t="s">
        <v>327</v>
      </c>
      <c r="B494" s="20">
        <f t="shared" si="7"/>
        <v>1.9193857965451055E-3</v>
      </c>
      <c r="C494" s="21">
        <f>VLOOKUP(A494,Transcriptome!B:L,11,FALSE)</f>
        <v>5.2742616033756105E-4</v>
      </c>
      <c r="D494" s="21">
        <f>VLOOKUP(A494,Proteome!B:I,8,FALSE)</f>
        <v>3.0970299482795891E-4</v>
      </c>
      <c r="E494" s="21">
        <f>VLOOKUP(A494,'Consensus Phospho site'!$B$2:$G$522,6,FALSE)</f>
        <v>8.5652371285899594E-5</v>
      </c>
      <c r="F494" s="21">
        <f>VLOOKUP(A494,'AVP Regulation (PTM &amp; Ca-cAMP'!B:K,10,FALSE)</f>
        <v>8.0941570627470158E-5</v>
      </c>
      <c r="G494" s="21">
        <f>VLOOKUP(A494,'AQP2 Colocalization'!A:F,6,FALSE)</f>
        <v>5.9756062308542686E-5</v>
      </c>
    </row>
    <row r="495" spans="1:7" ht="15">
      <c r="A495" s="14" t="s">
        <v>331</v>
      </c>
      <c r="B495" s="20">
        <f t="shared" si="7"/>
        <v>1.9193857965451055E-3</v>
      </c>
      <c r="C495" s="21">
        <f>VLOOKUP(A495,Transcriptome!B:L,11,FALSE)</f>
        <v>5.2742616033756105E-4</v>
      </c>
      <c r="D495" s="21">
        <f>VLOOKUP(A495,Proteome!B:I,8,FALSE)</f>
        <v>3.0970299482795891E-4</v>
      </c>
      <c r="E495" s="21">
        <f>VLOOKUP(A495,'Consensus Phospho site'!$B$2:$G$522,6,FALSE)</f>
        <v>8.5652371285899594E-5</v>
      </c>
      <c r="F495" s="21">
        <f>VLOOKUP(A495,'AVP Regulation (PTM &amp; Ca-cAMP'!B:K,10,FALSE)</f>
        <v>8.0941570627470158E-5</v>
      </c>
      <c r="G495" s="21">
        <f>VLOOKUP(A495,'AQP2 Colocalization'!A:F,6,FALSE)</f>
        <v>5.9756062308542686E-5</v>
      </c>
    </row>
    <row r="496" spans="1:7" ht="15">
      <c r="A496" s="14" t="s">
        <v>334</v>
      </c>
      <c r="B496" s="20">
        <f t="shared" si="7"/>
        <v>1.9193857965451055E-3</v>
      </c>
      <c r="C496" s="21">
        <f>VLOOKUP(A496,Transcriptome!B:L,11,FALSE)</f>
        <v>5.2742616033756105E-4</v>
      </c>
      <c r="D496" s="21">
        <f>VLOOKUP(A496,Proteome!B:I,8,FALSE)</f>
        <v>3.0970299482795891E-4</v>
      </c>
      <c r="E496" s="21">
        <f>VLOOKUP(A496,'Consensus Phospho site'!$B$2:$G$522,6,FALSE)</f>
        <v>8.5652371285899594E-5</v>
      </c>
      <c r="F496" s="21">
        <f>VLOOKUP(A496,'AVP Regulation (PTM &amp; Ca-cAMP'!B:K,10,FALSE)</f>
        <v>8.0941570627470158E-5</v>
      </c>
      <c r="G496" s="21">
        <f>VLOOKUP(A496,'AQP2 Colocalization'!A:F,6,FALSE)</f>
        <v>5.9756062308542686E-5</v>
      </c>
    </row>
    <row r="497" spans="1:7" ht="15">
      <c r="A497" s="14" t="s">
        <v>338</v>
      </c>
      <c r="B497" s="20">
        <f t="shared" si="7"/>
        <v>1.9193857965451055E-3</v>
      </c>
      <c r="C497" s="21">
        <f>VLOOKUP(A497,Transcriptome!B:L,11,FALSE)</f>
        <v>5.2742616033756105E-4</v>
      </c>
      <c r="D497" s="21">
        <f>VLOOKUP(A497,Proteome!B:I,8,FALSE)</f>
        <v>3.0970299482795891E-4</v>
      </c>
      <c r="E497" s="21">
        <f>VLOOKUP(A497,'Consensus Phospho site'!$B$2:$G$522,6,FALSE)</f>
        <v>8.5652371285899594E-5</v>
      </c>
      <c r="F497" s="21">
        <f>VLOOKUP(A497,'AVP Regulation (PTM &amp; Ca-cAMP'!B:K,10,FALSE)</f>
        <v>8.0941570627470158E-5</v>
      </c>
      <c r="G497" s="21">
        <f>VLOOKUP(A497,'AQP2 Colocalization'!A:F,6,FALSE)</f>
        <v>5.9756062308542686E-5</v>
      </c>
    </row>
    <row r="498" spans="1:7" ht="15">
      <c r="A498" s="14" t="s">
        <v>341</v>
      </c>
      <c r="B498" s="20">
        <f t="shared" si="7"/>
        <v>1.9193857965451055E-3</v>
      </c>
      <c r="C498" s="21">
        <f>VLOOKUP(A498,Transcriptome!B:L,11,FALSE)</f>
        <v>5.2742616033756105E-4</v>
      </c>
      <c r="D498" s="21">
        <f>VLOOKUP(A498,Proteome!B:I,8,FALSE)</f>
        <v>3.0970299482795891E-4</v>
      </c>
      <c r="E498" s="21">
        <f>VLOOKUP(A498,'Consensus Phospho site'!$B$2:$G$522,6,FALSE)</f>
        <v>8.5652371285899594E-5</v>
      </c>
      <c r="F498" s="21">
        <f>VLOOKUP(A498,'AVP Regulation (PTM &amp; Ca-cAMP'!B:K,10,FALSE)</f>
        <v>8.0941570627470158E-5</v>
      </c>
      <c r="G498" s="21">
        <f>VLOOKUP(A498,'AQP2 Colocalization'!A:F,6,FALSE)</f>
        <v>5.9756062308542686E-5</v>
      </c>
    </row>
    <row r="499" spans="1:7" ht="15">
      <c r="A499" s="14" t="s">
        <v>350</v>
      </c>
      <c r="B499" s="20">
        <f t="shared" si="7"/>
        <v>1.9193857965451055E-3</v>
      </c>
      <c r="C499" s="21">
        <f>VLOOKUP(A499,Transcriptome!B:L,11,FALSE)</f>
        <v>5.2742616033756105E-4</v>
      </c>
      <c r="D499" s="21">
        <f>VLOOKUP(A499,Proteome!B:I,8,FALSE)</f>
        <v>3.0970299482795891E-4</v>
      </c>
      <c r="E499" s="21">
        <f>VLOOKUP(A499,'Consensus Phospho site'!$B$2:$G$522,6,FALSE)</f>
        <v>8.5652371285899594E-5</v>
      </c>
      <c r="F499" s="21">
        <f>VLOOKUP(A499,'AVP Regulation (PTM &amp; Ca-cAMP'!B:K,10,FALSE)</f>
        <v>8.0941570627470158E-5</v>
      </c>
      <c r="G499" s="21">
        <f>VLOOKUP(A499,'AQP2 Colocalization'!A:F,6,FALSE)</f>
        <v>5.9756062308542686E-5</v>
      </c>
    </row>
    <row r="500" spans="1:7" ht="15">
      <c r="A500" s="14" t="s">
        <v>351</v>
      </c>
      <c r="B500" s="20">
        <f t="shared" si="7"/>
        <v>1.9193857965451055E-3</v>
      </c>
      <c r="C500" s="21">
        <f>VLOOKUP(A500,Transcriptome!B:L,11,FALSE)</f>
        <v>5.2742616033756105E-4</v>
      </c>
      <c r="D500" s="21">
        <f>VLOOKUP(A500,Proteome!B:I,8,FALSE)</f>
        <v>3.0970299482795891E-4</v>
      </c>
      <c r="E500" s="21">
        <f>VLOOKUP(A500,'Consensus Phospho site'!$B$2:$G$522,6,FALSE)</f>
        <v>8.5652371285899594E-5</v>
      </c>
      <c r="F500" s="21">
        <f>VLOOKUP(A500,'AVP Regulation (PTM &amp; Ca-cAMP'!B:K,10,FALSE)</f>
        <v>8.0941570627470158E-5</v>
      </c>
      <c r="G500" s="21">
        <f>VLOOKUP(A500,'AQP2 Colocalization'!A:F,6,FALSE)</f>
        <v>5.9756062308542686E-5</v>
      </c>
    </row>
    <row r="501" spans="1:7" ht="15">
      <c r="A501" s="14" t="s">
        <v>223</v>
      </c>
      <c r="B501" s="20">
        <f t="shared" si="7"/>
        <v>1.9193857965451055E-3</v>
      </c>
      <c r="C501" s="21">
        <f>VLOOKUP(A501,Transcriptome!B:L,11,FALSE)</f>
        <v>5.2742616033756105E-4</v>
      </c>
      <c r="D501" s="21">
        <f>VLOOKUP(A501,Proteome!B:I,8,FALSE)</f>
        <v>3.0970299482795891E-4</v>
      </c>
      <c r="E501" s="21">
        <f>VLOOKUP(A501,'Consensus Phospho site'!$B$2:$G$522,6,FALSE)</f>
        <v>8.5652371285899594E-5</v>
      </c>
      <c r="F501" s="21">
        <f>VLOOKUP(A501,'AVP Regulation (PTM &amp; Ca-cAMP'!B:K,10,FALSE)</f>
        <v>8.0941570627470158E-5</v>
      </c>
      <c r="G501" s="21">
        <f>VLOOKUP(A501,'AQP2 Colocalization'!A:F,6,FALSE)</f>
        <v>5.9756062308542686E-5</v>
      </c>
    </row>
    <row r="502" spans="1:7" ht="15">
      <c r="A502" s="15" t="s">
        <v>226</v>
      </c>
      <c r="B502" s="20">
        <f t="shared" si="7"/>
        <v>1.9193857965451055E-3</v>
      </c>
      <c r="C502" s="21">
        <f>VLOOKUP(A502,Transcriptome!B:L,11,FALSE)</f>
        <v>5.2742616033756105E-4</v>
      </c>
      <c r="D502" s="21">
        <f>VLOOKUP(A502,Proteome!B:I,8,FALSE)</f>
        <v>3.0970299482795891E-4</v>
      </c>
      <c r="E502" s="21">
        <f>VLOOKUP(A502,'Consensus Phospho site'!$B$2:$G$522,6,FALSE)</f>
        <v>8.5652371285899594E-5</v>
      </c>
      <c r="F502" s="21">
        <f>VLOOKUP(A502,'AVP Regulation (PTM &amp; Ca-cAMP'!B:K,10,FALSE)</f>
        <v>8.0941570627470158E-5</v>
      </c>
      <c r="G502" s="21">
        <f>VLOOKUP(A502,'AQP2 Colocalization'!A:F,6,FALSE)</f>
        <v>5.9756062308542686E-5</v>
      </c>
    </row>
    <row r="503" spans="1:7" ht="15">
      <c r="A503" s="15" t="s">
        <v>227</v>
      </c>
      <c r="B503" s="20">
        <f t="shared" si="7"/>
        <v>1.9193857965451055E-3</v>
      </c>
      <c r="C503" s="21">
        <f>VLOOKUP(A503,Transcriptome!B:L,11,FALSE)</f>
        <v>5.2742616033756105E-4</v>
      </c>
      <c r="D503" s="21">
        <f>VLOOKUP(A503,Proteome!B:I,8,FALSE)</f>
        <v>3.0970299482795891E-4</v>
      </c>
      <c r="E503" s="21">
        <f>VLOOKUP(A503,'Consensus Phospho site'!$B$2:$G$522,6,FALSE)</f>
        <v>8.5652371285899594E-5</v>
      </c>
      <c r="F503" s="21">
        <f>VLOOKUP(A503,'AVP Regulation (PTM &amp; Ca-cAMP'!B:K,10,FALSE)</f>
        <v>8.0941570627470158E-5</v>
      </c>
      <c r="G503" s="21">
        <f>VLOOKUP(A503,'AQP2 Colocalization'!A:F,6,FALSE)</f>
        <v>5.9756062308542686E-5</v>
      </c>
    </row>
    <row r="504" spans="1:7" ht="15">
      <c r="A504" s="14" t="s">
        <v>374</v>
      </c>
      <c r="B504" s="20">
        <f t="shared" si="7"/>
        <v>1.9193857965451055E-3</v>
      </c>
      <c r="C504" s="21">
        <f>VLOOKUP(A504,Transcriptome!B:L,11,FALSE)</f>
        <v>5.2742616033756105E-4</v>
      </c>
      <c r="D504" s="21">
        <f>VLOOKUP(A504,Proteome!B:I,8,FALSE)</f>
        <v>3.0970299482795891E-4</v>
      </c>
      <c r="E504" s="21">
        <f>VLOOKUP(A504,'Consensus Phospho site'!$B$2:$G$522,6,FALSE)</f>
        <v>8.5652371285899594E-5</v>
      </c>
      <c r="F504" s="21">
        <f>VLOOKUP(A504,'AVP Regulation (PTM &amp; Ca-cAMP'!B:K,10,FALSE)</f>
        <v>8.0941570627470158E-5</v>
      </c>
      <c r="G504" s="21">
        <f>VLOOKUP(A504,'AQP2 Colocalization'!A:F,6,FALSE)</f>
        <v>5.9756062308542686E-5</v>
      </c>
    </row>
    <row r="505" spans="1:7" ht="15">
      <c r="A505" s="14" t="s">
        <v>229</v>
      </c>
      <c r="B505" s="20">
        <f t="shared" si="7"/>
        <v>1.9193857965451055E-3</v>
      </c>
      <c r="C505" s="21">
        <f>VLOOKUP(A505,Transcriptome!B:L,11,FALSE)</f>
        <v>5.2742616033756105E-4</v>
      </c>
      <c r="D505" s="21">
        <f>VLOOKUP(A505,Proteome!B:I,8,FALSE)</f>
        <v>3.0970299482795891E-4</v>
      </c>
      <c r="E505" s="21">
        <f>VLOOKUP(A505,'Consensus Phospho site'!$B$2:$G$522,6,FALSE)</f>
        <v>8.5652371285899594E-5</v>
      </c>
      <c r="F505" s="21">
        <f>VLOOKUP(A505,'AVP Regulation (PTM &amp; Ca-cAMP'!B:K,10,FALSE)</f>
        <v>8.0941570627470158E-5</v>
      </c>
      <c r="G505" s="21">
        <f>VLOOKUP(A505,'AQP2 Colocalization'!A:F,6,FALSE)</f>
        <v>5.9756062308542686E-5</v>
      </c>
    </row>
    <row r="506" spans="1:7" ht="15">
      <c r="A506" s="14" t="s">
        <v>382</v>
      </c>
      <c r="B506" s="20">
        <f t="shared" si="7"/>
        <v>1.9193857965451055E-3</v>
      </c>
      <c r="C506" s="21">
        <f>VLOOKUP(A506,Transcriptome!B:L,11,FALSE)</f>
        <v>5.2742616033756105E-4</v>
      </c>
      <c r="D506" s="21">
        <f>VLOOKUP(A506,Proteome!B:I,8,FALSE)</f>
        <v>3.0970299482795891E-4</v>
      </c>
      <c r="E506" s="21">
        <f>VLOOKUP(A506,'Consensus Phospho site'!$B$2:$G$522,6,FALSE)</f>
        <v>8.5652371285899594E-5</v>
      </c>
      <c r="F506" s="21">
        <f>VLOOKUP(A506,'AVP Regulation (PTM &amp; Ca-cAMP'!B:K,10,FALSE)</f>
        <v>8.0941570627470158E-5</v>
      </c>
      <c r="G506" s="21">
        <f>VLOOKUP(A506,'AQP2 Colocalization'!A:F,6,FALSE)</f>
        <v>5.9756062308542686E-5</v>
      </c>
    </row>
    <row r="507" spans="1:7" ht="15">
      <c r="A507" s="14" t="s">
        <v>383</v>
      </c>
      <c r="B507" s="20">
        <f t="shared" si="7"/>
        <v>1.9193857965451055E-3</v>
      </c>
      <c r="C507" s="21">
        <f>VLOOKUP(A507,Transcriptome!B:L,11,FALSE)</f>
        <v>5.2742616033756105E-4</v>
      </c>
      <c r="D507" s="21">
        <f>VLOOKUP(A507,Proteome!B:I,8,FALSE)</f>
        <v>3.0970299482795891E-4</v>
      </c>
      <c r="E507" s="21">
        <f>VLOOKUP(A507,'Consensus Phospho site'!$B$2:$G$522,6,FALSE)</f>
        <v>8.5652371285899594E-5</v>
      </c>
      <c r="F507" s="21">
        <f>VLOOKUP(A507,'AVP Regulation (PTM &amp; Ca-cAMP'!B:K,10,FALSE)</f>
        <v>8.0941570627470158E-5</v>
      </c>
      <c r="G507" s="21">
        <f>VLOOKUP(A507,'AQP2 Colocalization'!A:F,6,FALSE)</f>
        <v>5.9756062308542686E-5</v>
      </c>
    </row>
    <row r="508" spans="1:7" ht="15">
      <c r="A508" s="14" t="s">
        <v>384</v>
      </c>
      <c r="B508" s="20">
        <f t="shared" si="7"/>
        <v>1.9193857965451055E-3</v>
      </c>
      <c r="C508" s="21">
        <f>VLOOKUP(A508,Transcriptome!B:L,11,FALSE)</f>
        <v>5.2742616033756105E-4</v>
      </c>
      <c r="D508" s="21">
        <f>VLOOKUP(A508,Proteome!B:I,8,FALSE)</f>
        <v>3.0970299482795891E-4</v>
      </c>
      <c r="E508" s="21">
        <f>VLOOKUP(A508,'Consensus Phospho site'!$B$2:$G$522,6,FALSE)</f>
        <v>8.5652371285899594E-5</v>
      </c>
      <c r="F508" s="21">
        <f>VLOOKUP(A508,'AVP Regulation (PTM &amp; Ca-cAMP'!B:K,10,FALSE)</f>
        <v>8.0941570627470158E-5</v>
      </c>
      <c r="G508" s="21">
        <f>VLOOKUP(A508,'AQP2 Colocalization'!A:F,6,FALSE)</f>
        <v>5.9756062308542686E-5</v>
      </c>
    </row>
    <row r="509" spans="1:7" ht="15">
      <c r="A509" s="15" t="s">
        <v>400</v>
      </c>
      <c r="B509" s="20">
        <f t="shared" si="7"/>
        <v>1.9193857965451055E-3</v>
      </c>
      <c r="C509" s="21">
        <f>VLOOKUP(A509,Transcriptome!B:L,11,FALSE)</f>
        <v>5.2742616033756105E-4</v>
      </c>
      <c r="D509" s="21">
        <f>VLOOKUP(A509,Proteome!B:I,8,FALSE)</f>
        <v>3.0970299482795891E-4</v>
      </c>
      <c r="E509" s="21">
        <f>VLOOKUP(A509,'Consensus Phospho site'!$B$2:$G$522,6,FALSE)</f>
        <v>8.5652371285899594E-5</v>
      </c>
      <c r="F509" s="21">
        <f>VLOOKUP(A509,'AVP Regulation (PTM &amp; Ca-cAMP'!B:K,10,FALSE)</f>
        <v>8.0941570627470158E-5</v>
      </c>
      <c r="G509" s="21">
        <f>VLOOKUP(A509,'AQP2 Colocalization'!A:F,6,FALSE)</f>
        <v>5.9756062308542686E-5</v>
      </c>
    </row>
    <row r="510" spans="1:7" ht="15">
      <c r="A510" s="15" t="s">
        <v>401</v>
      </c>
      <c r="B510" s="20">
        <f t="shared" si="7"/>
        <v>1.9193857965451055E-3</v>
      </c>
      <c r="C510" s="21">
        <f>VLOOKUP(A510,Transcriptome!B:L,11,FALSE)</f>
        <v>5.2742616033756105E-4</v>
      </c>
      <c r="D510" s="21">
        <f>VLOOKUP(A510,Proteome!B:I,8,FALSE)</f>
        <v>3.0970299482795891E-4</v>
      </c>
      <c r="E510" s="21">
        <f>VLOOKUP(A510,'Consensus Phospho site'!$B$2:$G$522,6,FALSE)</f>
        <v>8.5652371285899594E-5</v>
      </c>
      <c r="F510" s="21">
        <f>VLOOKUP(A510,'AVP Regulation (PTM &amp; Ca-cAMP'!B:K,10,FALSE)</f>
        <v>8.0941570627470158E-5</v>
      </c>
      <c r="G510" s="21">
        <f>VLOOKUP(A510,'AQP2 Colocalization'!A:F,6,FALSE)</f>
        <v>5.9756062308542686E-5</v>
      </c>
    </row>
    <row r="511" spans="1:7" ht="15">
      <c r="A511" s="15" t="s">
        <v>402</v>
      </c>
      <c r="B511" s="20">
        <f t="shared" si="7"/>
        <v>1.9193857965451055E-3</v>
      </c>
      <c r="C511" s="21">
        <f>VLOOKUP(A511,Transcriptome!B:L,11,FALSE)</f>
        <v>5.2742616033756105E-4</v>
      </c>
      <c r="D511" s="21">
        <f>VLOOKUP(A511,Proteome!B:I,8,FALSE)</f>
        <v>3.0970299482795891E-4</v>
      </c>
      <c r="E511" s="21">
        <f>VLOOKUP(A511,'Consensus Phospho site'!$B$2:$G$522,6,FALSE)</f>
        <v>8.5652371285899594E-5</v>
      </c>
      <c r="F511" s="21">
        <f>VLOOKUP(A511,'AVP Regulation (PTM &amp; Ca-cAMP'!B:K,10,FALSE)</f>
        <v>8.0941570627470158E-5</v>
      </c>
      <c r="G511" s="21">
        <f>VLOOKUP(A511,'AQP2 Colocalization'!A:F,6,FALSE)</f>
        <v>5.9756062308542686E-5</v>
      </c>
    </row>
    <row r="512" spans="1:7" ht="15">
      <c r="A512" s="14" t="s">
        <v>412</v>
      </c>
      <c r="B512" s="20">
        <f t="shared" si="7"/>
        <v>1.9193857965451055E-3</v>
      </c>
      <c r="C512" s="21">
        <f>VLOOKUP(A512,Transcriptome!B:L,11,FALSE)</f>
        <v>5.2742616033756105E-4</v>
      </c>
      <c r="D512" s="21">
        <f>VLOOKUP(A512,Proteome!B:I,8,FALSE)</f>
        <v>3.0970299482795891E-4</v>
      </c>
      <c r="E512" s="21">
        <f>VLOOKUP(A512,'Consensus Phospho site'!$B$2:$G$522,6,FALSE)</f>
        <v>8.5652371285899594E-5</v>
      </c>
      <c r="F512" s="21">
        <f>VLOOKUP(A512,'AVP Regulation (PTM &amp; Ca-cAMP'!B:K,10,FALSE)</f>
        <v>8.0941570627470158E-5</v>
      </c>
      <c r="G512" s="21">
        <f>VLOOKUP(A512,'AQP2 Colocalization'!A:F,6,FALSE)</f>
        <v>5.9756062308542686E-5</v>
      </c>
    </row>
    <row r="513" spans="1:7" ht="15">
      <c r="A513" s="14" t="s">
        <v>420</v>
      </c>
      <c r="B513" s="20">
        <f t="shared" si="7"/>
        <v>1.9193857965451055E-3</v>
      </c>
      <c r="C513" s="21">
        <f>VLOOKUP(A513,Transcriptome!B:L,11,FALSE)</f>
        <v>5.2742616033756105E-4</v>
      </c>
      <c r="D513" s="21">
        <f>VLOOKUP(A513,Proteome!B:I,8,FALSE)</f>
        <v>3.0970299482795891E-4</v>
      </c>
      <c r="E513" s="21">
        <f>VLOOKUP(A513,'Consensus Phospho site'!$B$2:$G$522,6,FALSE)</f>
        <v>4.2826185642949794E-4</v>
      </c>
      <c r="F513" s="21">
        <f>VLOOKUP(A513,'AVP Regulation (PTM &amp; Ca-cAMP'!B:K,10,FALSE)</f>
        <v>8.0941570627470131E-5</v>
      </c>
      <c r="G513" s="21">
        <f>VLOOKUP(A513,'AQP2 Colocalization'!A:F,6,FALSE)</f>
        <v>5.9756062308542659E-5</v>
      </c>
    </row>
    <row r="514" spans="1:7" ht="15">
      <c r="A514" s="14" t="s">
        <v>59</v>
      </c>
      <c r="B514" s="20">
        <f t="shared" ref="B514:B522" si="8">1/521</f>
        <v>1.9193857965451055E-3</v>
      </c>
      <c r="C514" s="21">
        <f>VLOOKUP(A514,Transcriptome!B:L,11,FALSE)</f>
        <v>5.2742616033756105E-4</v>
      </c>
      <c r="D514" s="21">
        <f>VLOOKUP(A514,Proteome!B:I,8,FALSE)</f>
        <v>5.8843569017312199E-4</v>
      </c>
      <c r="E514" s="21">
        <f>VLOOKUP(A514,'Consensus Phospho site'!$B$2:$G$522,6,FALSE)</f>
        <v>1.6273950544320925E-4</v>
      </c>
      <c r="F514" s="21">
        <f>VLOOKUP(A514,'AVP Regulation (PTM &amp; Ca-cAMP'!B:K,10,FALSE)</f>
        <v>3.0757796838438661E-5</v>
      </c>
      <c r="G514" s="21">
        <f>VLOOKUP(A514,'AQP2 Colocalization'!A:F,6,FALSE)</f>
        <v>2.270730367724622E-5</v>
      </c>
    </row>
    <row r="515" spans="1:7" ht="15">
      <c r="A515" s="14" t="s">
        <v>11</v>
      </c>
      <c r="B515" s="20">
        <f t="shared" si="8"/>
        <v>1.9193857965451055E-3</v>
      </c>
      <c r="C515" s="21">
        <f>VLOOKUP(A515,Transcriptome!B:L,11,FALSE)</f>
        <v>5.2742616033756105E-4</v>
      </c>
      <c r="D515" s="21">
        <f>VLOOKUP(A515,Proteome!B:I,8,FALSE)</f>
        <v>3.0970299482795891E-4</v>
      </c>
      <c r="E515" s="21">
        <f>VLOOKUP(A515,'Consensus Phospho site'!$B$2:$G$522,6,FALSE)</f>
        <v>8.5652371285899594E-5</v>
      </c>
      <c r="F515" s="21">
        <f>VLOOKUP(A515,'AVP Regulation (PTM &amp; Ca-cAMP'!B:K,10,FALSE)</f>
        <v>3.237662825098806E-5</v>
      </c>
      <c r="G515" s="21">
        <f>VLOOKUP(A515,'AQP2 Colocalization'!A:F,6,FALSE)</f>
        <v>2.390242492341707E-5</v>
      </c>
    </row>
    <row r="516" spans="1:7" ht="15">
      <c r="A516" s="14" t="s">
        <v>99</v>
      </c>
      <c r="B516" s="20">
        <f t="shared" si="8"/>
        <v>1.9193857965451055E-3</v>
      </c>
      <c r="C516" s="21">
        <f>VLOOKUP(A516,Transcriptome!B:L,11,FALSE)</f>
        <v>5.2742616033756105E-4</v>
      </c>
      <c r="D516" s="21">
        <f>VLOOKUP(A516,Proteome!B:I,8,FALSE)</f>
        <v>3.0970299482795891E-4</v>
      </c>
      <c r="E516" s="21">
        <f>VLOOKUP(A516,'Consensus Phospho site'!$B$2:$G$522,6,FALSE)</f>
        <v>8.5652371285899594E-5</v>
      </c>
      <c r="F516" s="21">
        <f>VLOOKUP(A516,'AVP Regulation (PTM &amp; Ca-cAMP'!B:K,10,FALSE)</f>
        <v>1.6188314125494027E-5</v>
      </c>
      <c r="G516" s="21">
        <f>VLOOKUP(A516,'AQP2 Colocalization'!A:F,6,FALSE)</f>
        <v>1.1951212461708533E-5</v>
      </c>
    </row>
    <row r="517" spans="1:7" ht="15">
      <c r="A517" s="14" t="s">
        <v>60</v>
      </c>
      <c r="B517" s="20">
        <f t="shared" si="8"/>
        <v>1.9193857965451055E-3</v>
      </c>
      <c r="C517" s="21">
        <f>VLOOKUP(A517,Transcriptome!B:L,11,FALSE)</f>
        <v>5.2742616033756105E-4</v>
      </c>
      <c r="D517" s="21">
        <f>VLOOKUP(A517,Proteome!B:I,8,FALSE)</f>
        <v>3.0970299482795891E-4</v>
      </c>
      <c r="E517" s="21">
        <f>VLOOKUP(A517,'Consensus Phospho site'!$B$2:$G$522,6,FALSE)</f>
        <v>8.5652371285899594E-5</v>
      </c>
      <c r="F517" s="21">
        <f>VLOOKUP(A517,'AVP Regulation (PTM &amp; Ca-cAMP'!B:K,10,FALSE)</f>
        <v>1.6188314125494027E-5</v>
      </c>
      <c r="G517" s="21">
        <f>VLOOKUP(A517,'AQP2 Colocalization'!A:F,6,FALSE)</f>
        <v>1.1951212461708533E-5</v>
      </c>
    </row>
    <row r="518" spans="1:7" ht="15">
      <c r="A518" s="14" t="s">
        <v>61</v>
      </c>
      <c r="B518" s="20">
        <f t="shared" si="8"/>
        <v>1.9193857965451055E-3</v>
      </c>
      <c r="C518" s="21">
        <f>VLOOKUP(A518,Transcriptome!B:L,11,FALSE)</f>
        <v>5.2742616033756105E-4</v>
      </c>
      <c r="D518" s="21">
        <f>VLOOKUP(A518,Proteome!B:I,8,FALSE)</f>
        <v>3.0970299482795891E-4</v>
      </c>
      <c r="E518" s="21">
        <f>VLOOKUP(A518,'Consensus Phospho site'!$B$2:$G$522,6,FALSE)</f>
        <v>8.5652371285899594E-5</v>
      </c>
      <c r="F518" s="21">
        <f>VLOOKUP(A518,'AVP Regulation (PTM &amp; Ca-cAMP'!B:K,10,FALSE)</f>
        <v>1.6188314125494027E-5</v>
      </c>
      <c r="G518" s="21">
        <f>VLOOKUP(A518,'AQP2 Colocalization'!A:F,6,FALSE)</f>
        <v>1.1951212461708533E-5</v>
      </c>
    </row>
    <row r="519" spans="1:7" ht="15">
      <c r="A519" s="14" t="s">
        <v>66</v>
      </c>
      <c r="B519" s="20">
        <f t="shared" si="8"/>
        <v>1.9193857965451055E-3</v>
      </c>
      <c r="C519" s="21">
        <f>VLOOKUP(A519,Transcriptome!B:L,11,FALSE)</f>
        <v>5.2742616033756105E-4</v>
      </c>
      <c r="D519" s="21">
        <f>VLOOKUP(A519,Proteome!B:I,8,FALSE)</f>
        <v>3.0970299482795891E-4</v>
      </c>
      <c r="E519" s="21">
        <f>VLOOKUP(A519,'Consensus Phospho site'!$B$2:$G$522,6,FALSE)</f>
        <v>8.5652371285899594E-5</v>
      </c>
      <c r="F519" s="21">
        <f>VLOOKUP(A519,'AVP Regulation (PTM &amp; Ca-cAMP'!B:K,10,FALSE)</f>
        <v>1.6188314125494027E-5</v>
      </c>
      <c r="G519" s="21">
        <f>VLOOKUP(A519,'AQP2 Colocalization'!A:F,6,FALSE)</f>
        <v>1.1951212461708533E-5</v>
      </c>
    </row>
    <row r="520" spans="1:7" ht="15">
      <c r="A520" s="14" t="s">
        <v>67</v>
      </c>
      <c r="B520" s="20">
        <f t="shared" si="8"/>
        <v>1.9193857965451055E-3</v>
      </c>
      <c r="C520" s="21">
        <f>VLOOKUP(A520,Transcriptome!B:L,11,FALSE)</f>
        <v>5.2742616033756105E-4</v>
      </c>
      <c r="D520" s="21">
        <f>VLOOKUP(A520,Proteome!B:I,8,FALSE)</f>
        <v>3.0970299482795891E-4</v>
      </c>
      <c r="E520" s="21">
        <f>VLOOKUP(A520,'Consensus Phospho site'!$B$2:$G$522,6,FALSE)</f>
        <v>8.5652371285899594E-5</v>
      </c>
      <c r="F520" s="21">
        <f>VLOOKUP(A520,'AVP Regulation (PTM &amp; Ca-cAMP'!B:K,10,FALSE)</f>
        <v>1.6188314125494027E-5</v>
      </c>
      <c r="G520" s="21">
        <f>VLOOKUP(A520,'AQP2 Colocalization'!A:F,6,FALSE)</f>
        <v>1.1951212461708533E-5</v>
      </c>
    </row>
    <row r="521" spans="1:7" ht="15">
      <c r="A521" s="14" t="s">
        <v>101</v>
      </c>
      <c r="B521" s="20">
        <f t="shared" si="8"/>
        <v>1.9193857965451055E-3</v>
      </c>
      <c r="C521" s="21">
        <f>VLOOKUP(A521,Transcriptome!B:L,11,FALSE)</f>
        <v>5.2742616033756105E-4</v>
      </c>
      <c r="D521" s="21">
        <f>VLOOKUP(A521,Proteome!B:I,8,FALSE)</f>
        <v>3.0970299482795891E-4</v>
      </c>
      <c r="E521" s="21">
        <f>VLOOKUP(A521,'Consensus Phospho site'!$B$2:$G$522,6,FALSE)</f>
        <v>8.5652371285899594E-5</v>
      </c>
      <c r="F521" s="21">
        <f>VLOOKUP(A521,'AVP Regulation (PTM &amp; Ca-cAMP'!B:K,10,FALSE)</f>
        <v>1.6188314125494027E-5</v>
      </c>
      <c r="G521" s="21">
        <f>VLOOKUP(A521,'AQP2 Colocalization'!A:F,6,FALSE)</f>
        <v>1.1951212461708533E-5</v>
      </c>
    </row>
    <row r="522" spans="1:7" ht="15">
      <c r="A522" s="16" t="s">
        <v>29</v>
      </c>
      <c r="B522" s="20">
        <f t="shared" si="8"/>
        <v>1.9193857965451055E-3</v>
      </c>
      <c r="C522" s="21">
        <f>VLOOKUP(A522,Transcriptome!B:L,11,FALSE)</f>
        <v>5.2742616033756105E-4</v>
      </c>
      <c r="D522" s="21">
        <f>VLOOKUP(A522,Proteome!B:I,8,FALSE)</f>
        <v>3.0970299482795891E-4</v>
      </c>
      <c r="E522" s="21">
        <f>VLOOKUP(A522,'Consensus Phospho site'!$B$2:$G$522,6,FALSE)</f>
        <v>8.5652371285899594E-5</v>
      </c>
      <c r="F522" s="21">
        <f>VLOOKUP(A522,'AVP Regulation (PTM &amp; Ca-cAMP'!B:K,10,FALSE)</f>
        <v>1.6188314125494027E-5</v>
      </c>
      <c r="G522" s="21">
        <f>VLOOKUP(A522,'AQP2 Colocalization'!A:F,6,FALSE)</f>
        <v>1.1951212461708533E-5</v>
      </c>
    </row>
    <row r="527" spans="1:7">
      <c r="A527" s="15"/>
    </row>
  </sheetData>
  <sortState ref="A2:G42">
    <sortCondition descending="1" ref="G1"/>
  </sortState>
  <phoneticPr fontId="6" type="noConversion"/>
  <hyperlinks>
    <hyperlink ref="A464" r:id="rId1" display="http://www.uniprot.org/uniprot/Q8WTQ7"/>
    <hyperlink ref="A460" r:id="rId2" display="http://www.uniprot.org/uniprot/Q8C0V7"/>
    <hyperlink ref="A461" r:id="rId3" display="http://www.uniprot.org/uniprot/Q8C0N0"/>
    <hyperlink ref="A462" r:id="rId4" display="http://www.uniprot.org/uniprot/A0AUV4"/>
    <hyperlink ref="A473" r:id="rId5" display="http://www.uniprot.org/uniprot/Q96QS6"/>
    <hyperlink ref="A479" r:id="rId6" display="http://www.uniprot.org/uniprot/Q9UEE5"/>
    <hyperlink ref="A476" r:id="rId7" display="http://www.uniprot.org/uniprot/Q9QYZ6"/>
    <hyperlink ref="A477" r:id="rId8" display="http://www.uniprot.org/uniprot/Q9QYZ3"/>
    <hyperlink ref="A478" r:id="rId9" display="http://www.uniprot.org/uniprot/Q9QYZ5"/>
    <hyperlink ref="A487" r:id="rId10" display="http://www.uniprot.org/uniprot/Q8C1R0"/>
    <hyperlink ref="A371" r:id="rId11" display="http://www.uniprot.org/uniprot/Q8N752"/>
    <hyperlink ref="A296" r:id="rId12" display="http://www.uniprot.org/uniprot/Q9UQ88"/>
    <hyperlink ref="A317" r:id="rId13" display="http://www.uniprot.org/uniprot/Q02846"/>
    <hyperlink ref="A502" r:id="rId14" display="http://www.uniprot.org/uniprot/P52785"/>
    <hyperlink ref="A503" r:id="rId15" display="http://www.uniprot.org/uniprot/Q6TL19"/>
    <hyperlink ref="A509" r:id="rId16" display="http://www.uniprot.org/uniprot/Q9QYZ4"/>
    <hyperlink ref="A510" r:id="rId17" display="http://www.uniprot.org/uniprot/A0JLX3"/>
    <hyperlink ref="A511" r:id="rId18" display="http://www.uniprot.org/uniprot/A2KF29"/>
    <hyperlink ref="A346" r:id="rId19" display="http://www.uniprot.org/uniprot/Q8NEV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3"/>
  <sheetViews>
    <sheetView workbookViewId="0">
      <selection activeCell="H2" sqref="H2"/>
    </sheetView>
  </sheetViews>
  <sheetFormatPr baseColWidth="10" defaultColWidth="8.83203125" defaultRowHeight="14" x14ac:dyDescent="0"/>
  <cols>
    <col min="2" max="2" width="11.1640625" customWidth="1"/>
    <col min="3" max="5" width="13.5" customWidth="1"/>
    <col min="6" max="6" width="10.33203125" customWidth="1"/>
    <col min="7" max="7" width="10.1640625" customWidth="1"/>
    <col min="8" max="8" width="11.1640625" customWidth="1"/>
    <col min="9" max="9" width="5" customWidth="1"/>
    <col min="10" max="10" width="10.1640625" customWidth="1"/>
    <col min="12" max="12" width="10" customWidth="1"/>
  </cols>
  <sheetData>
    <row r="1" spans="1:14" s="4" customFormat="1" ht="42">
      <c r="A1" s="4" t="s">
        <v>523</v>
      </c>
      <c r="B1" s="4" t="s">
        <v>520</v>
      </c>
      <c r="C1" s="4" t="s">
        <v>531</v>
      </c>
      <c r="D1" s="4" t="s">
        <v>525</v>
      </c>
      <c r="E1" s="4" t="s">
        <v>529</v>
      </c>
      <c r="F1" s="4" t="s">
        <v>532</v>
      </c>
      <c r="G1" s="4" t="s">
        <v>533</v>
      </c>
      <c r="H1" s="4" t="s">
        <v>522</v>
      </c>
      <c r="J1" s="4" t="s">
        <v>521</v>
      </c>
      <c r="K1" s="4" t="s">
        <v>526</v>
      </c>
      <c r="L1" s="4" t="s">
        <v>527</v>
      </c>
      <c r="M1" s="4" t="s">
        <v>528</v>
      </c>
      <c r="N1" s="4" t="s">
        <v>529</v>
      </c>
    </row>
    <row r="2" spans="1:14" ht="15">
      <c r="A2" t="s">
        <v>534</v>
      </c>
      <c r="B2" s="1" t="s">
        <v>63</v>
      </c>
      <c r="C2" t="s">
        <v>633</v>
      </c>
      <c r="D2">
        <f t="shared" ref="D2:D65" si="0">1/521</f>
        <v>1.9193857965451055E-3</v>
      </c>
      <c r="E2">
        <f>-LOG(D2,2)</f>
        <v>9.0251395622785093</v>
      </c>
      <c r="F2">
        <v>20.98</v>
      </c>
      <c r="G2">
        <v>20.98</v>
      </c>
      <c r="H2">
        <f t="shared" ref="H2:H65" si="1">IF(G2&gt;1,0.95,IF(G2&lt;0.6, 0.1, 0.7))</f>
        <v>0.95</v>
      </c>
      <c r="J2">
        <f>D2*H2</f>
        <v>1.8234165067178502E-3</v>
      </c>
      <c r="K2">
        <f>SUM(J$2:J$523)</f>
        <v>0.36391554702494633</v>
      </c>
      <c r="L2" s="11">
        <f>J2/K2</f>
        <v>5.0105485232068295E-3</v>
      </c>
      <c r="M2">
        <f>L2*-LOG(L2,2)</f>
        <v>3.8284677999377806E-2</v>
      </c>
      <c r="N2">
        <f>SUM(M2:M523)</f>
        <v>8.3258114035695598</v>
      </c>
    </row>
    <row r="3" spans="1:14" ht="15">
      <c r="A3" t="s">
        <v>535</v>
      </c>
      <c r="B3" s="1" t="s">
        <v>330</v>
      </c>
      <c r="C3" t="s">
        <v>946</v>
      </c>
      <c r="D3">
        <f t="shared" si="0"/>
        <v>1.9193857965451055E-3</v>
      </c>
      <c r="F3">
        <v>7.54</v>
      </c>
      <c r="G3">
        <v>7.54</v>
      </c>
      <c r="H3">
        <f t="shared" si="1"/>
        <v>0.95</v>
      </c>
      <c r="J3">
        <f t="shared" ref="J3:J66" si="2">D3*H3</f>
        <v>1.8234165067178502E-3</v>
      </c>
      <c r="K3">
        <f t="shared" ref="K3:K66" si="3">SUM(J$2:J$523)</f>
        <v>0.36391554702494633</v>
      </c>
      <c r="L3" s="11">
        <f t="shared" ref="L3:L66" si="4">J3/K3</f>
        <v>5.0105485232068295E-3</v>
      </c>
      <c r="M3">
        <f t="shared" ref="M3:M66" si="5">L3*-LOG(L3,2)</f>
        <v>3.8284677999377806E-2</v>
      </c>
    </row>
    <row r="4" spans="1:14" ht="15">
      <c r="A4" t="s">
        <v>524</v>
      </c>
      <c r="B4" s="1" t="s">
        <v>36</v>
      </c>
      <c r="C4" t="s">
        <v>545</v>
      </c>
      <c r="D4">
        <f t="shared" si="0"/>
        <v>1.9193857965451055E-3</v>
      </c>
      <c r="F4">
        <v>7.37</v>
      </c>
      <c r="G4">
        <v>7.37</v>
      </c>
      <c r="H4">
        <f t="shared" si="1"/>
        <v>0.95</v>
      </c>
      <c r="J4">
        <f t="shared" si="2"/>
        <v>1.8234165067178502E-3</v>
      </c>
      <c r="K4">
        <f t="shared" si="3"/>
        <v>0.36391554702494633</v>
      </c>
      <c r="L4" s="11">
        <f t="shared" si="4"/>
        <v>5.0105485232068295E-3</v>
      </c>
      <c r="M4">
        <f t="shared" si="5"/>
        <v>3.8284677999377806E-2</v>
      </c>
    </row>
    <row r="5" spans="1:14" ht="15">
      <c r="A5" t="s">
        <v>536</v>
      </c>
      <c r="B5" s="1" t="s">
        <v>489</v>
      </c>
      <c r="C5" t="s">
        <v>546</v>
      </c>
      <c r="D5">
        <f t="shared" si="0"/>
        <v>1.9193857965451055E-3</v>
      </c>
      <c r="F5">
        <v>6.7</v>
      </c>
      <c r="G5">
        <v>6.7</v>
      </c>
      <c r="H5">
        <f t="shared" si="1"/>
        <v>0.95</v>
      </c>
      <c r="J5">
        <f t="shared" si="2"/>
        <v>1.8234165067178502E-3</v>
      </c>
      <c r="K5">
        <f t="shared" si="3"/>
        <v>0.36391554702494633</v>
      </c>
      <c r="L5" s="11">
        <f t="shared" si="4"/>
        <v>5.0105485232068295E-3</v>
      </c>
      <c r="M5">
        <f t="shared" si="5"/>
        <v>3.8284677999377806E-2</v>
      </c>
    </row>
    <row r="6" spans="1:14" ht="15">
      <c r="A6" t="s">
        <v>534</v>
      </c>
      <c r="B6" s="1" t="s">
        <v>91</v>
      </c>
      <c r="C6" t="s">
        <v>667</v>
      </c>
      <c r="D6">
        <f t="shared" si="0"/>
        <v>1.9193857965451055E-3</v>
      </c>
      <c r="F6">
        <v>5.26</v>
      </c>
      <c r="G6">
        <v>5.26</v>
      </c>
      <c r="H6">
        <f t="shared" si="1"/>
        <v>0.95</v>
      </c>
      <c r="J6">
        <f t="shared" si="2"/>
        <v>1.8234165067178502E-3</v>
      </c>
      <c r="K6">
        <f t="shared" si="3"/>
        <v>0.36391554702494633</v>
      </c>
      <c r="L6" s="11">
        <f t="shared" si="4"/>
        <v>5.0105485232068295E-3</v>
      </c>
      <c r="M6">
        <f t="shared" si="5"/>
        <v>3.8284677999377806E-2</v>
      </c>
    </row>
    <row r="7" spans="1:14" ht="15">
      <c r="A7" t="s">
        <v>537</v>
      </c>
      <c r="B7" s="1" t="s">
        <v>189</v>
      </c>
      <c r="C7" t="s">
        <v>947</v>
      </c>
      <c r="D7">
        <f t="shared" si="0"/>
        <v>1.9193857965451055E-3</v>
      </c>
      <c r="F7">
        <v>4.8600000000000003</v>
      </c>
      <c r="G7">
        <v>4.8600000000000003</v>
      </c>
      <c r="H7">
        <f t="shared" si="1"/>
        <v>0.95</v>
      </c>
      <c r="J7">
        <f t="shared" si="2"/>
        <v>1.8234165067178502E-3</v>
      </c>
      <c r="K7">
        <f t="shared" si="3"/>
        <v>0.36391554702494633</v>
      </c>
      <c r="L7" s="11">
        <f t="shared" si="4"/>
        <v>5.0105485232068295E-3</v>
      </c>
      <c r="M7">
        <f t="shared" si="5"/>
        <v>3.8284677999377806E-2</v>
      </c>
    </row>
    <row r="8" spans="1:14" ht="15">
      <c r="A8" t="s">
        <v>538</v>
      </c>
      <c r="B8" s="1" t="s">
        <v>138</v>
      </c>
      <c r="C8" t="s">
        <v>646</v>
      </c>
      <c r="D8">
        <f t="shared" si="0"/>
        <v>1.9193857965451055E-3</v>
      </c>
      <c r="F8">
        <v>4.49</v>
      </c>
      <c r="G8">
        <v>4.49</v>
      </c>
      <c r="H8">
        <f t="shared" si="1"/>
        <v>0.95</v>
      </c>
      <c r="J8">
        <f t="shared" si="2"/>
        <v>1.8234165067178502E-3</v>
      </c>
      <c r="K8">
        <f t="shared" si="3"/>
        <v>0.36391554702494633</v>
      </c>
      <c r="L8" s="11">
        <f t="shared" si="4"/>
        <v>5.0105485232068295E-3</v>
      </c>
      <c r="M8">
        <f t="shared" si="5"/>
        <v>3.8284677999377806E-2</v>
      </c>
    </row>
    <row r="9" spans="1:14" ht="15">
      <c r="A9" t="s">
        <v>537</v>
      </c>
      <c r="B9" s="1" t="s">
        <v>165</v>
      </c>
      <c r="C9" t="s">
        <v>638</v>
      </c>
      <c r="D9">
        <f t="shared" si="0"/>
        <v>1.9193857965451055E-3</v>
      </c>
      <c r="F9">
        <v>4.46</v>
      </c>
      <c r="G9">
        <v>4.46</v>
      </c>
      <c r="H9">
        <f t="shared" si="1"/>
        <v>0.95</v>
      </c>
      <c r="J9">
        <f t="shared" si="2"/>
        <v>1.8234165067178502E-3</v>
      </c>
      <c r="K9">
        <f t="shared" si="3"/>
        <v>0.36391554702494633</v>
      </c>
      <c r="L9" s="11">
        <f t="shared" si="4"/>
        <v>5.0105485232068295E-3</v>
      </c>
      <c r="M9">
        <f t="shared" si="5"/>
        <v>3.8284677999377806E-2</v>
      </c>
    </row>
    <row r="10" spans="1:14" ht="15">
      <c r="A10" t="s">
        <v>539</v>
      </c>
      <c r="B10" s="1" t="s">
        <v>318</v>
      </c>
      <c r="C10" t="s">
        <v>948</v>
      </c>
      <c r="D10">
        <f t="shared" si="0"/>
        <v>1.9193857965451055E-3</v>
      </c>
      <c r="F10">
        <v>4.41</v>
      </c>
      <c r="G10">
        <v>4.41</v>
      </c>
      <c r="H10">
        <f t="shared" si="1"/>
        <v>0.95</v>
      </c>
      <c r="J10">
        <f t="shared" si="2"/>
        <v>1.8234165067178502E-3</v>
      </c>
      <c r="K10">
        <f t="shared" si="3"/>
        <v>0.36391554702494633</v>
      </c>
      <c r="L10" s="11">
        <f t="shared" si="4"/>
        <v>5.0105485232068295E-3</v>
      </c>
      <c r="M10">
        <f t="shared" si="5"/>
        <v>3.8284677999377806E-2</v>
      </c>
    </row>
    <row r="11" spans="1:14" ht="15">
      <c r="A11" t="s">
        <v>537</v>
      </c>
      <c r="B11" s="1" t="s">
        <v>193</v>
      </c>
      <c r="C11" t="s">
        <v>547</v>
      </c>
      <c r="D11">
        <f t="shared" si="0"/>
        <v>1.9193857965451055E-3</v>
      </c>
      <c r="F11">
        <v>4.2300000000000004</v>
      </c>
      <c r="G11">
        <v>4.2300000000000004</v>
      </c>
      <c r="H11">
        <f t="shared" si="1"/>
        <v>0.95</v>
      </c>
      <c r="J11">
        <f t="shared" si="2"/>
        <v>1.8234165067178502E-3</v>
      </c>
      <c r="K11">
        <f t="shared" si="3"/>
        <v>0.36391554702494633</v>
      </c>
      <c r="L11" s="11">
        <f t="shared" si="4"/>
        <v>5.0105485232068295E-3</v>
      </c>
      <c r="M11">
        <f t="shared" si="5"/>
        <v>3.8284677999377806E-2</v>
      </c>
    </row>
    <row r="12" spans="1:14" ht="15">
      <c r="A12" t="s">
        <v>537</v>
      </c>
      <c r="B12" s="1" t="s">
        <v>186</v>
      </c>
      <c r="C12" t="s">
        <v>548</v>
      </c>
      <c r="D12">
        <f t="shared" si="0"/>
        <v>1.9193857965451055E-3</v>
      </c>
      <c r="F12">
        <v>4.1900000000000004</v>
      </c>
      <c r="G12">
        <v>4.1900000000000004</v>
      </c>
      <c r="H12">
        <f t="shared" si="1"/>
        <v>0.95</v>
      </c>
      <c r="J12">
        <f t="shared" si="2"/>
        <v>1.8234165067178502E-3</v>
      </c>
      <c r="K12">
        <f t="shared" si="3"/>
        <v>0.36391554702494633</v>
      </c>
      <c r="L12" s="11">
        <f t="shared" si="4"/>
        <v>5.0105485232068295E-3</v>
      </c>
      <c r="M12">
        <f t="shared" si="5"/>
        <v>3.8284677999377806E-2</v>
      </c>
    </row>
    <row r="13" spans="1:14" ht="15">
      <c r="A13" t="s">
        <v>535</v>
      </c>
      <c r="B13" s="1" t="s">
        <v>348</v>
      </c>
      <c r="C13" t="s">
        <v>949</v>
      </c>
      <c r="D13">
        <f t="shared" si="0"/>
        <v>1.9193857965451055E-3</v>
      </c>
      <c r="F13">
        <v>4.09</v>
      </c>
      <c r="G13">
        <v>4.09</v>
      </c>
      <c r="H13">
        <f t="shared" si="1"/>
        <v>0.95</v>
      </c>
      <c r="J13">
        <f t="shared" si="2"/>
        <v>1.8234165067178502E-3</v>
      </c>
      <c r="K13">
        <f t="shared" si="3"/>
        <v>0.36391554702494633</v>
      </c>
      <c r="L13" s="11">
        <f t="shared" si="4"/>
        <v>5.0105485232068295E-3</v>
      </c>
      <c r="M13">
        <f t="shared" si="5"/>
        <v>3.8284677999377806E-2</v>
      </c>
    </row>
    <row r="14" spans="1:14" ht="15">
      <c r="A14" t="s">
        <v>540</v>
      </c>
      <c r="B14" s="1" t="s">
        <v>255</v>
      </c>
      <c r="C14" t="s">
        <v>663</v>
      </c>
      <c r="D14">
        <f t="shared" si="0"/>
        <v>1.9193857965451055E-3</v>
      </c>
      <c r="F14">
        <v>4.0599999999999996</v>
      </c>
      <c r="G14">
        <v>4.0599999999999996</v>
      </c>
      <c r="H14">
        <f t="shared" si="1"/>
        <v>0.95</v>
      </c>
      <c r="J14">
        <f t="shared" si="2"/>
        <v>1.8234165067178502E-3</v>
      </c>
      <c r="K14">
        <f t="shared" si="3"/>
        <v>0.36391554702494633</v>
      </c>
      <c r="L14" s="11">
        <f t="shared" si="4"/>
        <v>5.0105485232068295E-3</v>
      </c>
      <c r="M14">
        <f t="shared" si="5"/>
        <v>3.8284677999377806E-2</v>
      </c>
    </row>
    <row r="15" spans="1:14" ht="15">
      <c r="A15" t="s">
        <v>541</v>
      </c>
      <c r="B15" s="1" t="s">
        <v>220</v>
      </c>
      <c r="C15" t="s">
        <v>668</v>
      </c>
      <c r="D15">
        <f t="shared" si="0"/>
        <v>1.9193857965451055E-3</v>
      </c>
      <c r="F15">
        <v>3.64</v>
      </c>
      <c r="G15">
        <v>3.64</v>
      </c>
      <c r="H15">
        <f t="shared" si="1"/>
        <v>0.95</v>
      </c>
      <c r="J15">
        <f t="shared" si="2"/>
        <v>1.8234165067178502E-3</v>
      </c>
      <c r="K15">
        <f t="shared" si="3"/>
        <v>0.36391554702494633</v>
      </c>
      <c r="L15" s="11">
        <f t="shared" si="4"/>
        <v>5.0105485232068295E-3</v>
      </c>
      <c r="M15">
        <f t="shared" si="5"/>
        <v>3.8284677999377806E-2</v>
      </c>
    </row>
    <row r="16" spans="1:14" ht="15">
      <c r="A16" t="s">
        <v>538</v>
      </c>
      <c r="B16" s="1" t="s">
        <v>140</v>
      </c>
      <c r="C16" t="s">
        <v>647</v>
      </c>
      <c r="D16">
        <f t="shared" si="0"/>
        <v>1.9193857965451055E-3</v>
      </c>
      <c r="F16">
        <v>3.51</v>
      </c>
      <c r="G16">
        <v>3.51</v>
      </c>
      <c r="H16">
        <f t="shared" si="1"/>
        <v>0.95</v>
      </c>
      <c r="J16">
        <f t="shared" si="2"/>
        <v>1.8234165067178502E-3</v>
      </c>
      <c r="K16">
        <f t="shared" si="3"/>
        <v>0.36391554702494633</v>
      </c>
      <c r="L16" s="11">
        <f t="shared" si="4"/>
        <v>5.0105485232068295E-3</v>
      </c>
      <c r="M16">
        <f t="shared" si="5"/>
        <v>3.8284677999377806E-2</v>
      </c>
    </row>
    <row r="17" spans="1:13" ht="15">
      <c r="A17" t="s">
        <v>536</v>
      </c>
      <c r="B17" s="1" t="s">
        <v>452</v>
      </c>
      <c r="C17" t="s">
        <v>950</v>
      </c>
      <c r="D17">
        <f t="shared" si="0"/>
        <v>1.9193857965451055E-3</v>
      </c>
      <c r="F17">
        <v>3.28</v>
      </c>
      <c r="G17">
        <v>3.28</v>
      </c>
      <c r="H17">
        <f t="shared" si="1"/>
        <v>0.95</v>
      </c>
      <c r="J17">
        <f t="shared" si="2"/>
        <v>1.8234165067178502E-3</v>
      </c>
      <c r="K17">
        <f t="shared" si="3"/>
        <v>0.36391554702494633</v>
      </c>
      <c r="L17" s="11">
        <f t="shared" si="4"/>
        <v>5.0105485232068295E-3</v>
      </c>
      <c r="M17">
        <f t="shared" si="5"/>
        <v>3.8284677999377806E-2</v>
      </c>
    </row>
    <row r="18" spans="1:13" ht="15">
      <c r="A18" t="s">
        <v>539</v>
      </c>
      <c r="B18" s="1" t="s">
        <v>314</v>
      </c>
      <c r="C18" t="s">
        <v>951</v>
      </c>
      <c r="D18">
        <f t="shared" si="0"/>
        <v>1.9193857965451055E-3</v>
      </c>
      <c r="F18">
        <v>3.23</v>
      </c>
      <c r="G18">
        <v>3.23</v>
      </c>
      <c r="H18">
        <f t="shared" si="1"/>
        <v>0.95</v>
      </c>
      <c r="J18">
        <f t="shared" si="2"/>
        <v>1.8234165067178502E-3</v>
      </c>
      <c r="K18">
        <f t="shared" si="3"/>
        <v>0.36391554702494633</v>
      </c>
      <c r="L18" s="11">
        <f t="shared" si="4"/>
        <v>5.0105485232068295E-3</v>
      </c>
      <c r="M18">
        <f t="shared" si="5"/>
        <v>3.8284677999377806E-2</v>
      </c>
    </row>
    <row r="19" spans="1:13" ht="15">
      <c r="A19" t="s">
        <v>539</v>
      </c>
      <c r="B19" s="1" t="s">
        <v>297</v>
      </c>
      <c r="C19" t="s">
        <v>952</v>
      </c>
      <c r="D19">
        <f t="shared" si="0"/>
        <v>1.9193857965451055E-3</v>
      </c>
      <c r="F19">
        <v>3.22</v>
      </c>
      <c r="G19">
        <v>3.22</v>
      </c>
      <c r="H19">
        <f t="shared" si="1"/>
        <v>0.95</v>
      </c>
      <c r="J19">
        <f t="shared" si="2"/>
        <v>1.8234165067178502E-3</v>
      </c>
      <c r="K19">
        <f t="shared" si="3"/>
        <v>0.36391554702494633</v>
      </c>
      <c r="L19" s="11">
        <f t="shared" si="4"/>
        <v>5.0105485232068295E-3</v>
      </c>
      <c r="M19">
        <f t="shared" si="5"/>
        <v>3.8284677999377806E-2</v>
      </c>
    </row>
    <row r="20" spans="1:13" ht="15">
      <c r="A20" t="s">
        <v>534</v>
      </c>
      <c r="B20" s="1" t="s">
        <v>92</v>
      </c>
      <c r="C20" t="s">
        <v>549</v>
      </c>
      <c r="D20">
        <f t="shared" si="0"/>
        <v>1.9193857965451055E-3</v>
      </c>
      <c r="F20">
        <v>3.2</v>
      </c>
      <c r="G20">
        <v>3.2</v>
      </c>
      <c r="H20">
        <f t="shared" si="1"/>
        <v>0.95</v>
      </c>
      <c r="J20">
        <f t="shared" si="2"/>
        <v>1.8234165067178502E-3</v>
      </c>
      <c r="K20">
        <f t="shared" si="3"/>
        <v>0.36391554702494633</v>
      </c>
      <c r="L20" s="11">
        <f t="shared" si="4"/>
        <v>5.0105485232068295E-3</v>
      </c>
      <c r="M20">
        <f t="shared" si="5"/>
        <v>3.8284677999377806E-2</v>
      </c>
    </row>
    <row r="21" spans="1:13" ht="15">
      <c r="A21" t="s">
        <v>542</v>
      </c>
      <c r="B21" s="1" t="s">
        <v>506</v>
      </c>
      <c r="C21" t="s">
        <v>550</v>
      </c>
      <c r="D21">
        <f t="shared" si="0"/>
        <v>1.9193857965451055E-3</v>
      </c>
      <c r="F21">
        <v>3.16</v>
      </c>
      <c r="G21">
        <v>3.16</v>
      </c>
      <c r="H21">
        <f t="shared" si="1"/>
        <v>0.95</v>
      </c>
      <c r="J21">
        <f t="shared" si="2"/>
        <v>1.8234165067178502E-3</v>
      </c>
      <c r="K21">
        <f t="shared" si="3"/>
        <v>0.36391554702494633</v>
      </c>
      <c r="L21" s="11">
        <f t="shared" si="4"/>
        <v>5.0105485232068295E-3</v>
      </c>
      <c r="M21">
        <f t="shared" si="5"/>
        <v>3.8284677999377806E-2</v>
      </c>
    </row>
    <row r="22" spans="1:13" ht="15">
      <c r="A22" t="s">
        <v>540</v>
      </c>
      <c r="B22" s="1" t="s">
        <v>279</v>
      </c>
      <c r="C22" t="s">
        <v>686</v>
      </c>
      <c r="D22">
        <f t="shared" si="0"/>
        <v>1.9193857965451055E-3</v>
      </c>
      <c r="F22">
        <v>3.16</v>
      </c>
      <c r="G22">
        <v>3.16</v>
      </c>
      <c r="H22">
        <f t="shared" si="1"/>
        <v>0.95</v>
      </c>
      <c r="J22">
        <f t="shared" si="2"/>
        <v>1.8234165067178502E-3</v>
      </c>
      <c r="K22">
        <f t="shared" si="3"/>
        <v>0.36391554702494633</v>
      </c>
      <c r="L22" s="11">
        <f t="shared" si="4"/>
        <v>5.0105485232068295E-3</v>
      </c>
      <c r="M22">
        <f t="shared" si="5"/>
        <v>3.8284677999377806E-2</v>
      </c>
    </row>
    <row r="23" spans="1:13" ht="15">
      <c r="A23" t="s">
        <v>524</v>
      </c>
      <c r="B23" s="1" t="s">
        <v>2</v>
      </c>
      <c r="C23" t="s">
        <v>629</v>
      </c>
      <c r="D23">
        <f t="shared" si="0"/>
        <v>1.9193857965451055E-3</v>
      </c>
      <c r="F23">
        <v>3.04</v>
      </c>
      <c r="G23">
        <v>3.04</v>
      </c>
      <c r="H23">
        <f t="shared" si="1"/>
        <v>0.95</v>
      </c>
      <c r="J23">
        <f t="shared" si="2"/>
        <v>1.8234165067178502E-3</v>
      </c>
      <c r="K23">
        <f t="shared" si="3"/>
        <v>0.36391554702494633</v>
      </c>
      <c r="L23" s="11">
        <f t="shared" si="4"/>
        <v>5.0105485232068295E-3</v>
      </c>
      <c r="M23">
        <f t="shared" si="5"/>
        <v>3.8284677999377806E-2</v>
      </c>
    </row>
    <row r="24" spans="1:13" ht="15">
      <c r="A24" t="s">
        <v>536</v>
      </c>
      <c r="B24" s="1" t="s">
        <v>450</v>
      </c>
      <c r="C24" t="s">
        <v>675</v>
      </c>
      <c r="D24">
        <f t="shared" si="0"/>
        <v>1.9193857965451055E-3</v>
      </c>
      <c r="F24">
        <v>2.89</v>
      </c>
      <c r="G24">
        <v>2.89</v>
      </c>
      <c r="H24">
        <f t="shared" si="1"/>
        <v>0.95</v>
      </c>
      <c r="J24">
        <f t="shared" si="2"/>
        <v>1.8234165067178502E-3</v>
      </c>
      <c r="K24">
        <f t="shared" si="3"/>
        <v>0.36391554702494633</v>
      </c>
      <c r="L24" s="11">
        <f t="shared" si="4"/>
        <v>5.0105485232068295E-3</v>
      </c>
      <c r="M24">
        <f t="shared" si="5"/>
        <v>3.8284677999377806E-2</v>
      </c>
    </row>
    <row r="25" spans="1:13" ht="15">
      <c r="A25" t="s">
        <v>540</v>
      </c>
      <c r="B25" s="1" t="s">
        <v>272</v>
      </c>
      <c r="C25" t="s">
        <v>671</v>
      </c>
      <c r="D25">
        <f t="shared" si="0"/>
        <v>1.9193857965451055E-3</v>
      </c>
      <c r="F25">
        <v>2.85</v>
      </c>
      <c r="G25">
        <v>2.85</v>
      </c>
      <c r="H25">
        <f t="shared" si="1"/>
        <v>0.95</v>
      </c>
      <c r="J25">
        <f t="shared" si="2"/>
        <v>1.8234165067178502E-3</v>
      </c>
      <c r="K25">
        <f t="shared" si="3"/>
        <v>0.36391554702494633</v>
      </c>
      <c r="L25" s="11">
        <f t="shared" si="4"/>
        <v>5.0105485232068295E-3</v>
      </c>
      <c r="M25">
        <f t="shared" si="5"/>
        <v>3.8284677999377806E-2</v>
      </c>
    </row>
    <row r="26" spans="1:13" ht="15">
      <c r="A26" t="s">
        <v>524</v>
      </c>
      <c r="B26" s="1" t="s">
        <v>55</v>
      </c>
      <c r="C26" t="s">
        <v>685</v>
      </c>
      <c r="D26">
        <f t="shared" si="0"/>
        <v>1.9193857965451055E-3</v>
      </c>
      <c r="F26">
        <v>2.85</v>
      </c>
      <c r="G26">
        <v>2.85</v>
      </c>
      <c r="H26">
        <f t="shared" si="1"/>
        <v>0.95</v>
      </c>
      <c r="J26">
        <f t="shared" si="2"/>
        <v>1.8234165067178502E-3</v>
      </c>
      <c r="K26">
        <f t="shared" si="3"/>
        <v>0.36391554702494633</v>
      </c>
      <c r="L26" s="11">
        <f t="shared" si="4"/>
        <v>5.0105485232068295E-3</v>
      </c>
      <c r="M26">
        <f t="shared" si="5"/>
        <v>3.8284677999377806E-2</v>
      </c>
    </row>
    <row r="27" spans="1:13" ht="15">
      <c r="A27" t="s">
        <v>537</v>
      </c>
      <c r="B27" s="1" t="s">
        <v>187</v>
      </c>
      <c r="C27" t="s">
        <v>953</v>
      </c>
      <c r="D27">
        <f t="shared" si="0"/>
        <v>1.9193857965451055E-3</v>
      </c>
      <c r="F27">
        <v>2.84</v>
      </c>
      <c r="G27">
        <v>2.84</v>
      </c>
      <c r="H27">
        <f t="shared" si="1"/>
        <v>0.95</v>
      </c>
      <c r="J27">
        <f t="shared" si="2"/>
        <v>1.8234165067178502E-3</v>
      </c>
      <c r="K27">
        <f t="shared" si="3"/>
        <v>0.36391554702494633</v>
      </c>
      <c r="L27" s="11">
        <f t="shared" si="4"/>
        <v>5.0105485232068295E-3</v>
      </c>
      <c r="M27">
        <f t="shared" si="5"/>
        <v>3.8284677999377806E-2</v>
      </c>
    </row>
    <row r="28" spans="1:13" ht="15">
      <c r="A28" t="s">
        <v>535</v>
      </c>
      <c r="B28" s="1" t="s">
        <v>363</v>
      </c>
      <c r="C28" t="s">
        <v>654</v>
      </c>
      <c r="D28">
        <f t="shared" si="0"/>
        <v>1.9193857965451055E-3</v>
      </c>
      <c r="F28">
        <v>2.84</v>
      </c>
      <c r="G28">
        <v>2.84</v>
      </c>
      <c r="H28">
        <f t="shared" si="1"/>
        <v>0.95</v>
      </c>
      <c r="J28">
        <f t="shared" si="2"/>
        <v>1.8234165067178502E-3</v>
      </c>
      <c r="K28">
        <f t="shared" si="3"/>
        <v>0.36391554702494633</v>
      </c>
      <c r="L28" s="11">
        <f t="shared" si="4"/>
        <v>5.0105485232068295E-3</v>
      </c>
      <c r="M28">
        <f t="shared" si="5"/>
        <v>3.8284677999377806E-2</v>
      </c>
    </row>
    <row r="29" spans="1:13" ht="15">
      <c r="A29" t="s">
        <v>534</v>
      </c>
      <c r="B29" s="1" t="s">
        <v>86</v>
      </c>
      <c r="C29" t="s">
        <v>551</v>
      </c>
      <c r="D29">
        <f t="shared" si="0"/>
        <v>1.9193857965451055E-3</v>
      </c>
      <c r="F29">
        <v>2.84</v>
      </c>
      <c r="G29">
        <v>2.84</v>
      </c>
      <c r="H29">
        <f t="shared" si="1"/>
        <v>0.95</v>
      </c>
      <c r="J29">
        <f t="shared" si="2"/>
        <v>1.8234165067178502E-3</v>
      </c>
      <c r="K29">
        <f t="shared" si="3"/>
        <v>0.36391554702494633</v>
      </c>
      <c r="L29" s="11">
        <f t="shared" si="4"/>
        <v>5.0105485232068295E-3</v>
      </c>
      <c r="M29">
        <f t="shared" si="5"/>
        <v>3.8284677999377806E-2</v>
      </c>
    </row>
    <row r="30" spans="1:13" ht="15">
      <c r="A30" t="s">
        <v>541</v>
      </c>
      <c r="B30" s="1" t="s">
        <v>222</v>
      </c>
      <c r="C30" t="s">
        <v>669</v>
      </c>
      <c r="D30">
        <f t="shared" si="0"/>
        <v>1.9193857965451055E-3</v>
      </c>
      <c r="F30">
        <v>2.68</v>
      </c>
      <c r="G30">
        <v>2.68</v>
      </c>
      <c r="H30">
        <f t="shared" si="1"/>
        <v>0.95</v>
      </c>
      <c r="J30">
        <f t="shared" si="2"/>
        <v>1.8234165067178502E-3</v>
      </c>
      <c r="K30">
        <f t="shared" si="3"/>
        <v>0.36391554702494633</v>
      </c>
      <c r="L30" s="11">
        <f t="shared" si="4"/>
        <v>5.0105485232068295E-3</v>
      </c>
      <c r="M30">
        <f t="shared" si="5"/>
        <v>3.8284677999377806E-2</v>
      </c>
    </row>
    <row r="31" spans="1:13" ht="15">
      <c r="A31" t="s">
        <v>537</v>
      </c>
      <c r="B31" s="1" t="s">
        <v>170</v>
      </c>
      <c r="C31" t="s">
        <v>641</v>
      </c>
      <c r="D31">
        <f t="shared" si="0"/>
        <v>1.9193857965451055E-3</v>
      </c>
      <c r="F31">
        <v>2.5299999999999998</v>
      </c>
      <c r="G31">
        <v>2.5299999999999998</v>
      </c>
      <c r="H31">
        <f t="shared" si="1"/>
        <v>0.95</v>
      </c>
      <c r="J31">
        <f t="shared" si="2"/>
        <v>1.8234165067178502E-3</v>
      </c>
      <c r="K31">
        <f t="shared" si="3"/>
        <v>0.36391554702494633</v>
      </c>
      <c r="L31" s="11">
        <f t="shared" si="4"/>
        <v>5.0105485232068295E-3</v>
      </c>
      <c r="M31">
        <f t="shared" si="5"/>
        <v>3.8284677999377806E-2</v>
      </c>
    </row>
    <row r="32" spans="1:13" ht="15">
      <c r="A32" t="s">
        <v>540</v>
      </c>
      <c r="B32" s="1" t="s">
        <v>276</v>
      </c>
      <c r="C32" t="s">
        <v>683</v>
      </c>
      <c r="D32">
        <f t="shared" si="0"/>
        <v>1.9193857965451055E-3</v>
      </c>
      <c r="F32">
        <v>2.5299999999999998</v>
      </c>
      <c r="G32">
        <v>2.5299999999999998</v>
      </c>
      <c r="H32">
        <f t="shared" si="1"/>
        <v>0.95</v>
      </c>
      <c r="J32">
        <f t="shared" si="2"/>
        <v>1.8234165067178502E-3</v>
      </c>
      <c r="K32">
        <f t="shared" si="3"/>
        <v>0.36391554702494633</v>
      </c>
      <c r="L32" s="11">
        <f t="shared" si="4"/>
        <v>5.0105485232068295E-3</v>
      </c>
      <c r="M32">
        <f t="shared" si="5"/>
        <v>3.8284677999377806E-2</v>
      </c>
    </row>
    <row r="33" spans="1:13" ht="15">
      <c r="A33" t="s">
        <v>540</v>
      </c>
      <c r="B33" s="1" t="s">
        <v>273</v>
      </c>
      <c r="C33" t="s">
        <v>552</v>
      </c>
      <c r="D33">
        <f t="shared" si="0"/>
        <v>1.9193857965451055E-3</v>
      </c>
      <c r="F33">
        <v>2.5099999999999998</v>
      </c>
      <c r="G33">
        <v>2.5099999999999998</v>
      </c>
      <c r="H33">
        <f t="shared" si="1"/>
        <v>0.95</v>
      </c>
      <c r="J33">
        <f t="shared" si="2"/>
        <v>1.8234165067178502E-3</v>
      </c>
      <c r="K33">
        <f t="shared" si="3"/>
        <v>0.36391554702494633</v>
      </c>
      <c r="L33" s="11">
        <f t="shared" si="4"/>
        <v>5.0105485232068295E-3</v>
      </c>
      <c r="M33">
        <f t="shared" si="5"/>
        <v>3.8284677999377806E-2</v>
      </c>
    </row>
    <row r="34" spans="1:13" ht="15">
      <c r="A34" t="s">
        <v>524</v>
      </c>
      <c r="B34" s="1" t="s">
        <v>22</v>
      </c>
      <c r="C34" t="s">
        <v>672</v>
      </c>
      <c r="D34">
        <f t="shared" si="0"/>
        <v>1.9193857965451055E-3</v>
      </c>
      <c r="F34">
        <v>2.48</v>
      </c>
      <c r="G34">
        <v>2.48</v>
      </c>
      <c r="H34">
        <f t="shared" si="1"/>
        <v>0.95</v>
      </c>
      <c r="J34">
        <f t="shared" si="2"/>
        <v>1.8234165067178502E-3</v>
      </c>
      <c r="K34">
        <f t="shared" si="3"/>
        <v>0.36391554702494633</v>
      </c>
      <c r="L34" s="11">
        <f t="shared" si="4"/>
        <v>5.0105485232068295E-3</v>
      </c>
      <c r="M34">
        <f t="shared" si="5"/>
        <v>3.8284677999377806E-2</v>
      </c>
    </row>
    <row r="35" spans="1:13" ht="15">
      <c r="A35" t="s">
        <v>534</v>
      </c>
      <c r="B35" s="1" t="s">
        <v>87</v>
      </c>
      <c r="C35" t="s">
        <v>665</v>
      </c>
      <c r="D35">
        <f t="shared" si="0"/>
        <v>1.9193857965451055E-3</v>
      </c>
      <c r="F35">
        <v>2.44</v>
      </c>
      <c r="G35">
        <v>2.44</v>
      </c>
      <c r="H35">
        <f t="shared" si="1"/>
        <v>0.95</v>
      </c>
      <c r="J35">
        <f t="shared" si="2"/>
        <v>1.8234165067178502E-3</v>
      </c>
      <c r="K35">
        <f t="shared" si="3"/>
        <v>0.36391554702494633</v>
      </c>
      <c r="L35" s="11">
        <f t="shared" si="4"/>
        <v>5.0105485232068295E-3</v>
      </c>
      <c r="M35">
        <f t="shared" si="5"/>
        <v>3.8284677999377806E-2</v>
      </c>
    </row>
    <row r="36" spans="1:13" ht="15">
      <c r="A36" t="s">
        <v>534</v>
      </c>
      <c r="B36" s="1" t="s">
        <v>98</v>
      </c>
      <c r="C36" t="s">
        <v>553</v>
      </c>
      <c r="D36">
        <f t="shared" si="0"/>
        <v>1.9193857965451055E-3</v>
      </c>
      <c r="F36">
        <v>2.4300000000000002</v>
      </c>
      <c r="G36">
        <v>2.4300000000000002</v>
      </c>
      <c r="H36">
        <f t="shared" si="1"/>
        <v>0.95</v>
      </c>
      <c r="J36">
        <f t="shared" si="2"/>
        <v>1.8234165067178502E-3</v>
      </c>
      <c r="K36">
        <f t="shared" si="3"/>
        <v>0.36391554702494633</v>
      </c>
      <c r="L36" s="11">
        <f t="shared" si="4"/>
        <v>5.0105485232068295E-3</v>
      </c>
      <c r="M36">
        <f t="shared" si="5"/>
        <v>3.8284677999377806E-2</v>
      </c>
    </row>
    <row r="37" spans="1:13" ht="15">
      <c r="A37" t="s">
        <v>540</v>
      </c>
      <c r="B37" s="1" t="s">
        <v>275</v>
      </c>
      <c r="C37" t="s">
        <v>554</v>
      </c>
      <c r="D37">
        <f t="shared" si="0"/>
        <v>1.9193857965451055E-3</v>
      </c>
      <c r="F37">
        <v>2.4300000000000002</v>
      </c>
      <c r="G37">
        <v>2.4300000000000002</v>
      </c>
      <c r="H37">
        <f t="shared" si="1"/>
        <v>0.95</v>
      </c>
      <c r="J37">
        <f t="shared" si="2"/>
        <v>1.8234165067178502E-3</v>
      </c>
      <c r="K37">
        <f t="shared" si="3"/>
        <v>0.36391554702494633</v>
      </c>
      <c r="L37" s="11">
        <f t="shared" si="4"/>
        <v>5.0105485232068295E-3</v>
      </c>
      <c r="M37">
        <f t="shared" si="5"/>
        <v>3.8284677999377806E-2</v>
      </c>
    </row>
    <row r="38" spans="1:13" ht="15">
      <c r="A38" t="s">
        <v>536</v>
      </c>
      <c r="B38" s="1" t="s">
        <v>413</v>
      </c>
      <c r="C38" t="s">
        <v>627</v>
      </c>
      <c r="D38">
        <f t="shared" si="0"/>
        <v>1.9193857965451055E-3</v>
      </c>
      <c r="F38">
        <v>2.4</v>
      </c>
      <c r="G38">
        <v>2.4</v>
      </c>
      <c r="H38">
        <f t="shared" si="1"/>
        <v>0.95</v>
      </c>
      <c r="J38">
        <f t="shared" si="2"/>
        <v>1.8234165067178502E-3</v>
      </c>
      <c r="K38">
        <f t="shared" si="3"/>
        <v>0.36391554702494633</v>
      </c>
      <c r="L38" s="11">
        <f t="shared" si="4"/>
        <v>5.0105485232068295E-3</v>
      </c>
      <c r="M38">
        <f t="shared" si="5"/>
        <v>3.8284677999377806E-2</v>
      </c>
    </row>
    <row r="39" spans="1:13" ht="15">
      <c r="A39" t="s">
        <v>540</v>
      </c>
      <c r="B39" s="1" t="s">
        <v>282</v>
      </c>
      <c r="C39" t="s">
        <v>687</v>
      </c>
      <c r="D39">
        <f t="shared" si="0"/>
        <v>1.9193857965451055E-3</v>
      </c>
      <c r="F39">
        <v>2.4</v>
      </c>
      <c r="G39">
        <v>2.4</v>
      </c>
      <c r="H39">
        <f t="shared" si="1"/>
        <v>0.95</v>
      </c>
      <c r="J39">
        <f t="shared" si="2"/>
        <v>1.8234165067178502E-3</v>
      </c>
      <c r="K39">
        <f t="shared" si="3"/>
        <v>0.36391554702494633</v>
      </c>
      <c r="L39" s="11">
        <f t="shared" si="4"/>
        <v>5.0105485232068295E-3</v>
      </c>
      <c r="M39">
        <f t="shared" si="5"/>
        <v>3.8284677999377806E-2</v>
      </c>
    </row>
    <row r="40" spans="1:13" ht="15">
      <c r="A40" t="s">
        <v>537</v>
      </c>
      <c r="B40" s="1" t="s">
        <v>198</v>
      </c>
      <c r="C40" t="s">
        <v>555</v>
      </c>
      <c r="D40">
        <f t="shared" si="0"/>
        <v>1.9193857965451055E-3</v>
      </c>
      <c r="F40">
        <v>2.27</v>
      </c>
      <c r="G40">
        <v>2.27</v>
      </c>
      <c r="H40">
        <f t="shared" si="1"/>
        <v>0.95</v>
      </c>
      <c r="J40">
        <f t="shared" si="2"/>
        <v>1.8234165067178502E-3</v>
      </c>
      <c r="K40">
        <f t="shared" si="3"/>
        <v>0.36391554702494633</v>
      </c>
      <c r="L40" s="11">
        <f t="shared" si="4"/>
        <v>5.0105485232068295E-3</v>
      </c>
      <c r="M40">
        <f t="shared" si="5"/>
        <v>3.8284677999377806E-2</v>
      </c>
    </row>
    <row r="41" spans="1:13" ht="15">
      <c r="A41" t="s">
        <v>539</v>
      </c>
      <c r="B41" s="1" t="s">
        <v>295</v>
      </c>
      <c r="C41" t="s">
        <v>954</v>
      </c>
      <c r="D41">
        <f t="shared" si="0"/>
        <v>1.9193857965451055E-3</v>
      </c>
      <c r="F41">
        <v>2.2200000000000002</v>
      </c>
      <c r="G41">
        <v>2.2200000000000002</v>
      </c>
      <c r="H41">
        <f t="shared" si="1"/>
        <v>0.95</v>
      </c>
      <c r="J41">
        <f t="shared" si="2"/>
        <v>1.8234165067178502E-3</v>
      </c>
      <c r="K41">
        <f t="shared" si="3"/>
        <v>0.36391554702494633</v>
      </c>
      <c r="L41" s="11">
        <f t="shared" si="4"/>
        <v>5.0105485232068295E-3</v>
      </c>
      <c r="M41">
        <f t="shared" si="5"/>
        <v>3.8284677999377806E-2</v>
      </c>
    </row>
    <row r="42" spans="1:13" ht="15">
      <c r="A42" t="s">
        <v>540</v>
      </c>
      <c r="B42" s="1" t="s">
        <v>257</v>
      </c>
      <c r="C42" t="s">
        <v>556</v>
      </c>
      <c r="D42">
        <f t="shared" si="0"/>
        <v>1.9193857965451055E-3</v>
      </c>
      <c r="F42">
        <v>2.15</v>
      </c>
      <c r="G42">
        <v>2.15</v>
      </c>
      <c r="H42">
        <f t="shared" si="1"/>
        <v>0.95</v>
      </c>
      <c r="J42">
        <f t="shared" si="2"/>
        <v>1.8234165067178502E-3</v>
      </c>
      <c r="K42">
        <f t="shared" si="3"/>
        <v>0.36391554702494633</v>
      </c>
      <c r="L42" s="11">
        <f t="shared" si="4"/>
        <v>5.0105485232068295E-3</v>
      </c>
      <c r="M42">
        <f t="shared" si="5"/>
        <v>3.8284677999377806E-2</v>
      </c>
    </row>
    <row r="43" spans="1:13" ht="15">
      <c r="A43" t="s">
        <v>534</v>
      </c>
      <c r="B43" s="1" t="s">
        <v>130</v>
      </c>
      <c r="C43" t="s">
        <v>557</v>
      </c>
      <c r="D43">
        <f t="shared" si="0"/>
        <v>1.9193857965451055E-3</v>
      </c>
      <c r="F43">
        <v>2.13</v>
      </c>
      <c r="G43">
        <v>2.13</v>
      </c>
      <c r="H43">
        <f t="shared" si="1"/>
        <v>0.95</v>
      </c>
      <c r="J43">
        <f t="shared" si="2"/>
        <v>1.8234165067178502E-3</v>
      </c>
      <c r="K43">
        <f t="shared" si="3"/>
        <v>0.36391554702494633</v>
      </c>
      <c r="L43" s="11">
        <f t="shared" si="4"/>
        <v>5.0105485232068295E-3</v>
      </c>
      <c r="M43">
        <f t="shared" si="5"/>
        <v>3.8284677999377806E-2</v>
      </c>
    </row>
    <row r="44" spans="1:13" ht="15">
      <c r="A44" t="s">
        <v>537</v>
      </c>
      <c r="B44" s="1" t="s">
        <v>202</v>
      </c>
      <c r="C44" t="s">
        <v>664</v>
      </c>
      <c r="D44">
        <f t="shared" si="0"/>
        <v>1.9193857965451055E-3</v>
      </c>
      <c r="F44">
        <v>2.11</v>
      </c>
      <c r="G44">
        <v>2.11</v>
      </c>
      <c r="H44">
        <f t="shared" si="1"/>
        <v>0.95</v>
      </c>
      <c r="J44">
        <f t="shared" si="2"/>
        <v>1.8234165067178502E-3</v>
      </c>
      <c r="K44">
        <f t="shared" si="3"/>
        <v>0.36391554702494633</v>
      </c>
      <c r="L44" s="11">
        <f t="shared" si="4"/>
        <v>5.0105485232068295E-3</v>
      </c>
      <c r="M44">
        <f t="shared" si="5"/>
        <v>3.8284677999377806E-2</v>
      </c>
    </row>
    <row r="45" spans="1:13" ht="15">
      <c r="A45" t="s">
        <v>540</v>
      </c>
      <c r="B45" s="1" t="s">
        <v>267</v>
      </c>
      <c r="C45" t="s">
        <v>558</v>
      </c>
      <c r="D45">
        <f t="shared" si="0"/>
        <v>1.9193857965451055E-3</v>
      </c>
      <c r="F45">
        <v>2.0499999999999998</v>
      </c>
      <c r="G45">
        <v>2.0499999999999998</v>
      </c>
      <c r="H45">
        <f t="shared" si="1"/>
        <v>0.95</v>
      </c>
      <c r="J45">
        <f t="shared" si="2"/>
        <v>1.8234165067178502E-3</v>
      </c>
      <c r="K45">
        <f t="shared" si="3"/>
        <v>0.36391554702494633</v>
      </c>
      <c r="L45" s="11">
        <f t="shared" si="4"/>
        <v>5.0105485232068295E-3</v>
      </c>
      <c r="M45">
        <f t="shared" si="5"/>
        <v>3.8284677999377806E-2</v>
      </c>
    </row>
    <row r="46" spans="1:13" ht="15">
      <c r="A46" t="s">
        <v>539</v>
      </c>
      <c r="B46" s="1" t="s">
        <v>299</v>
      </c>
      <c r="C46" t="s">
        <v>656</v>
      </c>
      <c r="D46">
        <f t="shared" si="0"/>
        <v>1.9193857965451055E-3</v>
      </c>
      <c r="F46">
        <v>2.0299999999999998</v>
      </c>
      <c r="G46">
        <v>2.0299999999999998</v>
      </c>
      <c r="H46">
        <f t="shared" si="1"/>
        <v>0.95</v>
      </c>
      <c r="J46">
        <f t="shared" si="2"/>
        <v>1.8234165067178502E-3</v>
      </c>
      <c r="K46">
        <f t="shared" si="3"/>
        <v>0.36391554702494633</v>
      </c>
      <c r="L46" s="11">
        <f t="shared" si="4"/>
        <v>5.0105485232068295E-3</v>
      </c>
      <c r="M46">
        <f t="shared" si="5"/>
        <v>3.8284677999377806E-2</v>
      </c>
    </row>
    <row r="47" spans="1:13" ht="15">
      <c r="A47" t="s">
        <v>535</v>
      </c>
      <c r="B47" s="1" t="s">
        <v>367</v>
      </c>
      <c r="C47" t="s">
        <v>657</v>
      </c>
      <c r="D47">
        <f t="shared" si="0"/>
        <v>1.9193857965451055E-3</v>
      </c>
      <c r="F47">
        <v>2</v>
      </c>
      <c r="G47">
        <v>2</v>
      </c>
      <c r="H47">
        <f t="shared" si="1"/>
        <v>0.95</v>
      </c>
      <c r="J47">
        <f t="shared" si="2"/>
        <v>1.8234165067178502E-3</v>
      </c>
      <c r="K47">
        <f t="shared" si="3"/>
        <v>0.36391554702494633</v>
      </c>
      <c r="L47" s="11">
        <f t="shared" si="4"/>
        <v>5.0105485232068295E-3</v>
      </c>
      <c r="M47">
        <f t="shared" si="5"/>
        <v>3.8284677999377806E-2</v>
      </c>
    </row>
    <row r="48" spans="1:13" ht="15">
      <c r="A48" t="s">
        <v>538</v>
      </c>
      <c r="B48" s="1" t="s">
        <v>141</v>
      </c>
      <c r="C48" t="s">
        <v>648</v>
      </c>
      <c r="D48">
        <f t="shared" si="0"/>
        <v>1.9193857965451055E-3</v>
      </c>
      <c r="F48">
        <v>1.92</v>
      </c>
      <c r="G48">
        <v>1.92</v>
      </c>
      <c r="H48">
        <f t="shared" si="1"/>
        <v>0.95</v>
      </c>
      <c r="J48">
        <f t="shared" si="2"/>
        <v>1.8234165067178502E-3</v>
      </c>
      <c r="K48">
        <f t="shared" si="3"/>
        <v>0.36391554702494633</v>
      </c>
      <c r="L48" s="11">
        <f t="shared" si="4"/>
        <v>5.0105485232068295E-3</v>
      </c>
      <c r="M48">
        <f t="shared" si="5"/>
        <v>3.8284677999377806E-2</v>
      </c>
    </row>
    <row r="49" spans="1:13" ht="15">
      <c r="A49" t="s">
        <v>524</v>
      </c>
      <c r="B49" s="1" t="s">
        <v>43</v>
      </c>
      <c r="C49" t="s">
        <v>679</v>
      </c>
      <c r="D49">
        <f t="shared" si="0"/>
        <v>1.9193857965451055E-3</v>
      </c>
      <c r="F49">
        <v>1.9</v>
      </c>
      <c r="G49">
        <v>1.9</v>
      </c>
      <c r="H49">
        <f t="shared" si="1"/>
        <v>0.95</v>
      </c>
      <c r="J49">
        <f t="shared" si="2"/>
        <v>1.8234165067178502E-3</v>
      </c>
      <c r="K49">
        <f t="shared" si="3"/>
        <v>0.36391554702494633</v>
      </c>
      <c r="L49" s="11">
        <f t="shared" si="4"/>
        <v>5.0105485232068295E-3</v>
      </c>
      <c r="M49">
        <f t="shared" si="5"/>
        <v>3.8284677999377806E-2</v>
      </c>
    </row>
    <row r="50" spans="1:13" ht="15">
      <c r="A50" t="s">
        <v>540</v>
      </c>
      <c r="B50" s="1" t="s">
        <v>236</v>
      </c>
      <c r="C50" t="s">
        <v>662</v>
      </c>
      <c r="D50">
        <f t="shared" si="0"/>
        <v>1.9193857965451055E-3</v>
      </c>
      <c r="F50">
        <v>1.89</v>
      </c>
      <c r="G50">
        <v>1.89</v>
      </c>
      <c r="H50">
        <f t="shared" si="1"/>
        <v>0.95</v>
      </c>
      <c r="J50">
        <f t="shared" si="2"/>
        <v>1.8234165067178502E-3</v>
      </c>
      <c r="K50">
        <f t="shared" si="3"/>
        <v>0.36391554702494633</v>
      </c>
      <c r="L50" s="11">
        <f t="shared" si="4"/>
        <v>5.0105485232068295E-3</v>
      </c>
      <c r="M50">
        <f t="shared" si="5"/>
        <v>3.8284677999377806E-2</v>
      </c>
    </row>
    <row r="51" spans="1:13" ht="15">
      <c r="A51" t="s">
        <v>535</v>
      </c>
      <c r="B51" s="1" t="s">
        <v>387</v>
      </c>
      <c r="C51" t="s">
        <v>676</v>
      </c>
      <c r="D51">
        <f t="shared" si="0"/>
        <v>1.9193857965451055E-3</v>
      </c>
      <c r="F51">
        <v>1.89</v>
      </c>
      <c r="G51">
        <v>1.89</v>
      </c>
      <c r="H51">
        <f t="shared" si="1"/>
        <v>0.95</v>
      </c>
      <c r="J51">
        <f t="shared" si="2"/>
        <v>1.8234165067178502E-3</v>
      </c>
      <c r="K51">
        <f t="shared" si="3"/>
        <v>0.36391554702494633</v>
      </c>
      <c r="L51" s="11">
        <f t="shared" si="4"/>
        <v>5.0105485232068295E-3</v>
      </c>
      <c r="M51">
        <f t="shared" si="5"/>
        <v>3.8284677999377806E-2</v>
      </c>
    </row>
    <row r="52" spans="1:13" ht="15">
      <c r="A52" t="s">
        <v>536</v>
      </c>
      <c r="B52" s="1" t="s">
        <v>421</v>
      </c>
      <c r="C52" t="s">
        <v>634</v>
      </c>
      <c r="D52">
        <f t="shared" si="0"/>
        <v>1.9193857965451055E-3</v>
      </c>
      <c r="F52">
        <v>1.84</v>
      </c>
      <c r="G52">
        <v>1.84</v>
      </c>
      <c r="H52">
        <f t="shared" si="1"/>
        <v>0.95</v>
      </c>
      <c r="J52">
        <f t="shared" si="2"/>
        <v>1.8234165067178502E-3</v>
      </c>
      <c r="K52">
        <f t="shared" si="3"/>
        <v>0.36391554702494633</v>
      </c>
      <c r="L52" s="11">
        <f t="shared" si="4"/>
        <v>5.0105485232068295E-3</v>
      </c>
      <c r="M52">
        <f t="shared" si="5"/>
        <v>3.8284677999377806E-2</v>
      </c>
    </row>
    <row r="53" spans="1:13" ht="15">
      <c r="A53" t="s">
        <v>524</v>
      </c>
      <c r="B53" s="1" t="s">
        <v>27</v>
      </c>
      <c r="C53" t="s">
        <v>559</v>
      </c>
      <c r="D53">
        <f t="shared" si="0"/>
        <v>1.9193857965451055E-3</v>
      </c>
      <c r="F53">
        <v>1.84</v>
      </c>
      <c r="G53">
        <v>1.84</v>
      </c>
      <c r="H53">
        <f t="shared" si="1"/>
        <v>0.95</v>
      </c>
      <c r="J53">
        <f t="shared" si="2"/>
        <v>1.8234165067178502E-3</v>
      </c>
      <c r="K53">
        <f t="shared" si="3"/>
        <v>0.36391554702494633</v>
      </c>
      <c r="L53" s="11">
        <f t="shared" si="4"/>
        <v>5.0105485232068295E-3</v>
      </c>
      <c r="M53">
        <f t="shared" si="5"/>
        <v>3.8284677999377806E-2</v>
      </c>
    </row>
    <row r="54" spans="1:13" ht="15">
      <c r="A54" t="s">
        <v>536</v>
      </c>
      <c r="B54" s="1" t="s">
        <v>418</v>
      </c>
      <c r="C54" t="s">
        <v>631</v>
      </c>
      <c r="D54">
        <f t="shared" si="0"/>
        <v>1.9193857965451055E-3</v>
      </c>
      <c r="F54">
        <v>1.83</v>
      </c>
      <c r="G54">
        <v>1.83</v>
      </c>
      <c r="H54">
        <f t="shared" si="1"/>
        <v>0.95</v>
      </c>
      <c r="J54">
        <f t="shared" si="2"/>
        <v>1.8234165067178502E-3</v>
      </c>
      <c r="K54">
        <f t="shared" si="3"/>
        <v>0.36391554702494633</v>
      </c>
      <c r="L54" s="11">
        <f t="shared" si="4"/>
        <v>5.0105485232068295E-3</v>
      </c>
      <c r="M54">
        <f t="shared" si="5"/>
        <v>3.8284677999377806E-2</v>
      </c>
    </row>
    <row r="55" spans="1:13" ht="15">
      <c r="A55" t="s">
        <v>537</v>
      </c>
      <c r="B55" s="1" t="s">
        <v>200</v>
      </c>
      <c r="C55" t="s">
        <v>560</v>
      </c>
      <c r="D55">
        <f t="shared" si="0"/>
        <v>1.9193857965451055E-3</v>
      </c>
      <c r="F55">
        <v>1.83</v>
      </c>
      <c r="G55">
        <v>1.83</v>
      </c>
      <c r="H55">
        <f t="shared" si="1"/>
        <v>0.95</v>
      </c>
      <c r="J55">
        <f t="shared" si="2"/>
        <v>1.8234165067178502E-3</v>
      </c>
      <c r="K55">
        <f t="shared" si="3"/>
        <v>0.36391554702494633</v>
      </c>
      <c r="L55" s="11">
        <f t="shared" si="4"/>
        <v>5.0105485232068295E-3</v>
      </c>
      <c r="M55">
        <f t="shared" si="5"/>
        <v>3.8284677999377806E-2</v>
      </c>
    </row>
    <row r="56" spans="1:13" ht="15">
      <c r="A56" t="s">
        <v>534</v>
      </c>
      <c r="B56" s="1" t="s">
        <v>105</v>
      </c>
      <c r="C56" t="s">
        <v>955</v>
      </c>
      <c r="D56">
        <f t="shared" si="0"/>
        <v>1.9193857965451055E-3</v>
      </c>
      <c r="F56">
        <v>1.82</v>
      </c>
      <c r="G56">
        <v>1.82</v>
      </c>
      <c r="H56">
        <f t="shared" si="1"/>
        <v>0.95</v>
      </c>
      <c r="J56">
        <f t="shared" si="2"/>
        <v>1.8234165067178502E-3</v>
      </c>
      <c r="K56">
        <f t="shared" si="3"/>
        <v>0.36391554702494633</v>
      </c>
      <c r="L56" s="11">
        <f t="shared" si="4"/>
        <v>5.0105485232068295E-3</v>
      </c>
      <c r="M56">
        <f t="shared" si="5"/>
        <v>3.8284677999377806E-2</v>
      </c>
    </row>
    <row r="57" spans="1:13" ht="15">
      <c r="A57" t="s">
        <v>537</v>
      </c>
      <c r="B57" s="1" t="s">
        <v>162</v>
      </c>
      <c r="C57" t="s">
        <v>637</v>
      </c>
      <c r="D57">
        <f t="shared" si="0"/>
        <v>1.9193857965451055E-3</v>
      </c>
      <c r="F57">
        <v>1.81</v>
      </c>
      <c r="G57">
        <v>1.81</v>
      </c>
      <c r="H57">
        <f t="shared" si="1"/>
        <v>0.95</v>
      </c>
      <c r="J57">
        <f t="shared" si="2"/>
        <v>1.8234165067178502E-3</v>
      </c>
      <c r="K57">
        <f t="shared" si="3"/>
        <v>0.36391554702494633</v>
      </c>
      <c r="L57" s="11">
        <f t="shared" si="4"/>
        <v>5.0105485232068295E-3</v>
      </c>
      <c r="M57">
        <f t="shared" si="5"/>
        <v>3.8284677999377806E-2</v>
      </c>
    </row>
    <row r="58" spans="1:13" ht="15">
      <c r="A58" t="s">
        <v>536</v>
      </c>
      <c r="B58" s="1" t="s">
        <v>478</v>
      </c>
      <c r="C58" t="s">
        <v>689</v>
      </c>
      <c r="D58">
        <f t="shared" si="0"/>
        <v>1.9193857965451055E-3</v>
      </c>
      <c r="F58">
        <v>1.79</v>
      </c>
      <c r="G58">
        <v>1.79</v>
      </c>
      <c r="H58">
        <f t="shared" si="1"/>
        <v>0.95</v>
      </c>
      <c r="J58">
        <f t="shared" si="2"/>
        <v>1.8234165067178502E-3</v>
      </c>
      <c r="K58">
        <f t="shared" si="3"/>
        <v>0.36391554702494633</v>
      </c>
      <c r="L58" s="11">
        <f t="shared" si="4"/>
        <v>5.0105485232068295E-3</v>
      </c>
      <c r="M58">
        <f t="shared" si="5"/>
        <v>3.8284677999377806E-2</v>
      </c>
    </row>
    <row r="59" spans="1:13" ht="15">
      <c r="A59" t="s">
        <v>537</v>
      </c>
      <c r="B59" s="1" t="s">
        <v>171</v>
      </c>
      <c r="C59" t="s">
        <v>642</v>
      </c>
      <c r="D59">
        <f t="shared" si="0"/>
        <v>1.9193857965451055E-3</v>
      </c>
      <c r="F59">
        <v>1.78</v>
      </c>
      <c r="G59">
        <v>1.78</v>
      </c>
      <c r="H59">
        <f t="shared" si="1"/>
        <v>0.95</v>
      </c>
      <c r="J59">
        <f t="shared" si="2"/>
        <v>1.8234165067178502E-3</v>
      </c>
      <c r="K59">
        <f t="shared" si="3"/>
        <v>0.36391554702494633</v>
      </c>
      <c r="L59" s="11">
        <f t="shared" si="4"/>
        <v>5.0105485232068295E-3</v>
      </c>
      <c r="M59">
        <f t="shared" si="5"/>
        <v>3.8284677999377806E-2</v>
      </c>
    </row>
    <row r="60" spans="1:13" ht="15">
      <c r="A60" t="s">
        <v>537</v>
      </c>
      <c r="B60" s="1" t="s">
        <v>177</v>
      </c>
      <c r="C60" t="s">
        <v>644</v>
      </c>
      <c r="D60">
        <f t="shared" si="0"/>
        <v>1.9193857965451055E-3</v>
      </c>
      <c r="F60">
        <v>1.77</v>
      </c>
      <c r="G60">
        <v>1.77</v>
      </c>
      <c r="H60">
        <f t="shared" si="1"/>
        <v>0.95</v>
      </c>
      <c r="J60">
        <f t="shared" si="2"/>
        <v>1.8234165067178502E-3</v>
      </c>
      <c r="K60">
        <f t="shared" si="3"/>
        <v>0.36391554702494633</v>
      </c>
      <c r="L60" s="11">
        <f t="shared" si="4"/>
        <v>5.0105485232068295E-3</v>
      </c>
      <c r="M60">
        <f t="shared" si="5"/>
        <v>3.8284677999377806E-2</v>
      </c>
    </row>
    <row r="61" spans="1:13" ht="15">
      <c r="A61" t="s">
        <v>539</v>
      </c>
      <c r="B61" s="1" t="s">
        <v>310</v>
      </c>
      <c r="C61" t="s">
        <v>677</v>
      </c>
      <c r="D61">
        <f t="shared" si="0"/>
        <v>1.9193857965451055E-3</v>
      </c>
      <c r="F61">
        <v>1.76</v>
      </c>
      <c r="G61">
        <v>1.76</v>
      </c>
      <c r="H61">
        <f t="shared" si="1"/>
        <v>0.95</v>
      </c>
      <c r="J61">
        <f t="shared" si="2"/>
        <v>1.8234165067178502E-3</v>
      </c>
      <c r="K61">
        <f t="shared" si="3"/>
        <v>0.36391554702494633</v>
      </c>
      <c r="L61" s="11">
        <f t="shared" si="4"/>
        <v>5.0105485232068295E-3</v>
      </c>
      <c r="M61">
        <f t="shared" si="5"/>
        <v>3.8284677999377806E-2</v>
      </c>
    </row>
    <row r="62" spans="1:13" ht="15">
      <c r="A62" t="s">
        <v>538</v>
      </c>
      <c r="B62" s="1" t="s">
        <v>143</v>
      </c>
      <c r="C62" t="s">
        <v>956</v>
      </c>
      <c r="D62">
        <f t="shared" si="0"/>
        <v>1.9193857965451055E-3</v>
      </c>
      <c r="F62">
        <v>1.73</v>
      </c>
      <c r="G62">
        <v>1.73</v>
      </c>
      <c r="H62">
        <f t="shared" si="1"/>
        <v>0.95</v>
      </c>
      <c r="J62">
        <f t="shared" si="2"/>
        <v>1.8234165067178502E-3</v>
      </c>
      <c r="K62">
        <f t="shared" si="3"/>
        <v>0.36391554702494633</v>
      </c>
      <c r="L62" s="11">
        <f t="shared" si="4"/>
        <v>5.0105485232068295E-3</v>
      </c>
      <c r="M62">
        <f t="shared" si="5"/>
        <v>3.8284677999377806E-2</v>
      </c>
    </row>
    <row r="63" spans="1:13" ht="15">
      <c r="A63" t="s">
        <v>536</v>
      </c>
      <c r="B63" s="1" t="s">
        <v>476</v>
      </c>
      <c r="C63" t="s">
        <v>688</v>
      </c>
      <c r="D63">
        <f t="shared" si="0"/>
        <v>1.9193857965451055E-3</v>
      </c>
      <c r="F63">
        <v>1.72</v>
      </c>
      <c r="G63">
        <v>1.72</v>
      </c>
      <c r="H63">
        <f t="shared" si="1"/>
        <v>0.95</v>
      </c>
      <c r="J63">
        <f t="shared" si="2"/>
        <v>1.8234165067178502E-3</v>
      </c>
      <c r="K63">
        <f t="shared" si="3"/>
        <v>0.36391554702494633</v>
      </c>
      <c r="L63" s="11">
        <f t="shared" si="4"/>
        <v>5.0105485232068295E-3</v>
      </c>
      <c r="M63">
        <f t="shared" si="5"/>
        <v>3.8284677999377806E-2</v>
      </c>
    </row>
    <row r="64" spans="1:13" ht="15">
      <c r="A64" t="s">
        <v>535</v>
      </c>
      <c r="B64" s="1" t="s">
        <v>347</v>
      </c>
      <c r="C64" t="s">
        <v>652</v>
      </c>
      <c r="D64">
        <f t="shared" si="0"/>
        <v>1.9193857965451055E-3</v>
      </c>
      <c r="F64">
        <v>1.7</v>
      </c>
      <c r="G64">
        <v>1.7</v>
      </c>
      <c r="H64">
        <f t="shared" si="1"/>
        <v>0.95</v>
      </c>
      <c r="J64">
        <f t="shared" si="2"/>
        <v>1.8234165067178502E-3</v>
      </c>
      <c r="K64">
        <f t="shared" si="3"/>
        <v>0.36391554702494633</v>
      </c>
      <c r="L64" s="11">
        <f t="shared" si="4"/>
        <v>5.0105485232068295E-3</v>
      </c>
      <c r="M64">
        <f t="shared" si="5"/>
        <v>3.8284677999377806E-2</v>
      </c>
    </row>
    <row r="65" spans="1:13" ht="15">
      <c r="A65" t="s">
        <v>537</v>
      </c>
      <c r="B65" s="1" t="s">
        <v>197</v>
      </c>
      <c r="C65" t="s">
        <v>561</v>
      </c>
      <c r="D65">
        <f t="shared" si="0"/>
        <v>1.9193857965451055E-3</v>
      </c>
      <c r="F65">
        <v>1.69</v>
      </c>
      <c r="G65">
        <v>1.69</v>
      </c>
      <c r="H65">
        <f t="shared" si="1"/>
        <v>0.95</v>
      </c>
      <c r="J65">
        <f t="shared" si="2"/>
        <v>1.8234165067178502E-3</v>
      </c>
      <c r="K65">
        <f t="shared" si="3"/>
        <v>0.36391554702494633</v>
      </c>
      <c r="L65" s="11">
        <f t="shared" si="4"/>
        <v>5.0105485232068295E-3</v>
      </c>
      <c r="M65">
        <f t="shared" si="5"/>
        <v>3.8284677999377806E-2</v>
      </c>
    </row>
    <row r="66" spans="1:13" ht="15">
      <c r="A66" t="s">
        <v>536</v>
      </c>
      <c r="B66" s="1" t="s">
        <v>425</v>
      </c>
      <c r="C66" t="s">
        <v>650</v>
      </c>
      <c r="D66">
        <f t="shared" ref="D66:D129" si="6">1/521</f>
        <v>1.9193857965451055E-3</v>
      </c>
      <c r="F66">
        <v>1.66</v>
      </c>
      <c r="G66">
        <v>1.66</v>
      </c>
      <c r="H66">
        <f t="shared" ref="H66:H129" si="7">IF(G66&gt;1,0.95,IF(G66&lt;0.6, 0.1, 0.7))</f>
        <v>0.95</v>
      </c>
      <c r="J66">
        <f t="shared" si="2"/>
        <v>1.8234165067178502E-3</v>
      </c>
      <c r="K66">
        <f t="shared" si="3"/>
        <v>0.36391554702494633</v>
      </c>
      <c r="L66" s="11">
        <f t="shared" si="4"/>
        <v>5.0105485232068295E-3</v>
      </c>
      <c r="M66">
        <f t="shared" si="5"/>
        <v>3.8284677999377806E-2</v>
      </c>
    </row>
    <row r="67" spans="1:13" ht="15">
      <c r="A67" t="s">
        <v>539</v>
      </c>
      <c r="B67" s="1" t="s">
        <v>289</v>
      </c>
      <c r="C67" t="s">
        <v>628</v>
      </c>
      <c r="D67">
        <f t="shared" si="6"/>
        <v>1.9193857965451055E-3</v>
      </c>
      <c r="F67">
        <v>1.63</v>
      </c>
      <c r="G67">
        <v>1.63</v>
      </c>
      <c r="H67">
        <f t="shared" si="7"/>
        <v>0.95</v>
      </c>
      <c r="J67">
        <f t="shared" ref="J67:J130" si="8">D67*H67</f>
        <v>1.8234165067178502E-3</v>
      </c>
      <c r="K67">
        <f t="shared" ref="K67:K130" si="9">SUM(J$2:J$523)</f>
        <v>0.36391554702494633</v>
      </c>
      <c r="L67" s="11">
        <f t="shared" ref="L67:L130" si="10">J67/K67</f>
        <v>5.0105485232068295E-3</v>
      </c>
      <c r="M67">
        <f t="shared" ref="M67:M130" si="11">L67*-LOG(L67,2)</f>
        <v>3.8284677999377806E-2</v>
      </c>
    </row>
    <row r="68" spans="1:13" ht="15">
      <c r="A68" t="s">
        <v>541</v>
      </c>
      <c r="B68" s="1" t="s">
        <v>215</v>
      </c>
      <c r="C68" t="s">
        <v>957</v>
      </c>
      <c r="D68">
        <f t="shared" si="6"/>
        <v>1.9193857965451055E-3</v>
      </c>
      <c r="F68">
        <v>1.63</v>
      </c>
      <c r="G68">
        <v>1.63</v>
      </c>
      <c r="H68">
        <f t="shared" si="7"/>
        <v>0.95</v>
      </c>
      <c r="J68">
        <f t="shared" si="8"/>
        <v>1.8234165067178502E-3</v>
      </c>
      <c r="K68">
        <f t="shared" si="9"/>
        <v>0.36391554702494633</v>
      </c>
      <c r="L68" s="11">
        <f t="shared" si="10"/>
        <v>5.0105485232068295E-3</v>
      </c>
      <c r="M68">
        <f t="shared" si="11"/>
        <v>3.8284677999377806E-2</v>
      </c>
    </row>
    <row r="69" spans="1:13" ht="15">
      <c r="A69" t="s">
        <v>537</v>
      </c>
      <c r="B69" s="1" t="s">
        <v>176</v>
      </c>
      <c r="C69" t="s">
        <v>562</v>
      </c>
      <c r="D69">
        <f t="shared" si="6"/>
        <v>1.9193857965451055E-3</v>
      </c>
      <c r="F69">
        <v>1.62</v>
      </c>
      <c r="G69">
        <v>1.62</v>
      </c>
      <c r="H69">
        <f t="shared" si="7"/>
        <v>0.95</v>
      </c>
      <c r="J69">
        <f t="shared" si="8"/>
        <v>1.8234165067178502E-3</v>
      </c>
      <c r="K69">
        <f t="shared" si="9"/>
        <v>0.36391554702494633</v>
      </c>
      <c r="L69" s="11">
        <f t="shared" si="10"/>
        <v>5.0105485232068295E-3</v>
      </c>
      <c r="M69">
        <f t="shared" si="11"/>
        <v>3.8284677999377806E-2</v>
      </c>
    </row>
    <row r="70" spans="1:13" ht="15">
      <c r="A70" t="s">
        <v>524</v>
      </c>
      <c r="B70" s="1" t="s">
        <v>45</v>
      </c>
      <c r="C70" t="s">
        <v>563</v>
      </c>
      <c r="D70">
        <f t="shared" si="6"/>
        <v>1.9193857965451055E-3</v>
      </c>
      <c r="F70">
        <v>1.58</v>
      </c>
      <c r="G70">
        <v>1.58</v>
      </c>
      <c r="H70">
        <f t="shared" si="7"/>
        <v>0.95</v>
      </c>
      <c r="J70">
        <f t="shared" si="8"/>
        <v>1.8234165067178502E-3</v>
      </c>
      <c r="K70">
        <f t="shared" si="9"/>
        <v>0.36391554702494633</v>
      </c>
      <c r="L70" s="11">
        <f t="shared" si="10"/>
        <v>5.0105485232068295E-3</v>
      </c>
      <c r="M70">
        <f t="shared" si="11"/>
        <v>3.8284677999377806E-2</v>
      </c>
    </row>
    <row r="71" spans="1:13" ht="15">
      <c r="A71" t="s">
        <v>539</v>
      </c>
      <c r="B71" s="1" t="s">
        <v>287</v>
      </c>
      <c r="C71" t="s">
        <v>958</v>
      </c>
      <c r="D71">
        <f t="shared" si="6"/>
        <v>1.9193857965451055E-3</v>
      </c>
      <c r="F71">
        <v>1.57</v>
      </c>
      <c r="G71">
        <v>1.57</v>
      </c>
      <c r="H71">
        <f t="shared" si="7"/>
        <v>0.95</v>
      </c>
      <c r="J71">
        <f t="shared" si="8"/>
        <v>1.8234165067178502E-3</v>
      </c>
      <c r="K71">
        <f t="shared" si="9"/>
        <v>0.36391554702494633</v>
      </c>
      <c r="L71" s="11">
        <f t="shared" si="10"/>
        <v>5.0105485232068295E-3</v>
      </c>
      <c r="M71">
        <f t="shared" si="11"/>
        <v>3.8284677999377806E-2</v>
      </c>
    </row>
    <row r="72" spans="1:13" ht="15">
      <c r="A72" t="s">
        <v>542</v>
      </c>
      <c r="B72" s="1" t="s">
        <v>503</v>
      </c>
      <c r="C72" t="s">
        <v>564</v>
      </c>
      <c r="D72">
        <f t="shared" si="6"/>
        <v>1.9193857965451055E-3</v>
      </c>
      <c r="F72">
        <v>1.56</v>
      </c>
      <c r="G72">
        <v>1.56</v>
      </c>
      <c r="H72">
        <f t="shared" si="7"/>
        <v>0.95</v>
      </c>
      <c r="J72">
        <f t="shared" si="8"/>
        <v>1.8234165067178502E-3</v>
      </c>
      <c r="K72">
        <f t="shared" si="9"/>
        <v>0.36391554702494633</v>
      </c>
      <c r="L72" s="11">
        <f t="shared" si="10"/>
        <v>5.0105485232068295E-3</v>
      </c>
      <c r="M72">
        <f t="shared" si="11"/>
        <v>3.8284677999377806E-2</v>
      </c>
    </row>
    <row r="73" spans="1:13" ht="15">
      <c r="A73" t="s">
        <v>540</v>
      </c>
      <c r="B73" s="1" t="s">
        <v>247</v>
      </c>
      <c r="C73" t="s">
        <v>567</v>
      </c>
      <c r="D73">
        <f t="shared" si="6"/>
        <v>1.9193857965451055E-3</v>
      </c>
      <c r="F73">
        <v>1.54</v>
      </c>
      <c r="G73">
        <v>1.54</v>
      </c>
      <c r="H73">
        <f t="shared" si="7"/>
        <v>0.95</v>
      </c>
      <c r="J73">
        <f t="shared" si="8"/>
        <v>1.8234165067178502E-3</v>
      </c>
      <c r="K73">
        <f t="shared" si="9"/>
        <v>0.36391554702494633</v>
      </c>
      <c r="L73" s="11">
        <f t="shared" si="10"/>
        <v>5.0105485232068295E-3</v>
      </c>
      <c r="M73">
        <f t="shared" si="11"/>
        <v>3.8284677999377806E-2</v>
      </c>
    </row>
    <row r="74" spans="1:13" ht="15">
      <c r="A74" t="s">
        <v>537</v>
      </c>
      <c r="B74" s="1" t="s">
        <v>196</v>
      </c>
      <c r="C74" t="s">
        <v>566</v>
      </c>
      <c r="D74">
        <f t="shared" si="6"/>
        <v>1.9193857965451055E-3</v>
      </c>
      <c r="F74">
        <v>1.54</v>
      </c>
      <c r="G74">
        <v>1.54</v>
      </c>
      <c r="H74">
        <f t="shared" si="7"/>
        <v>0.95</v>
      </c>
      <c r="J74">
        <f t="shared" si="8"/>
        <v>1.8234165067178502E-3</v>
      </c>
      <c r="K74">
        <f t="shared" si="9"/>
        <v>0.36391554702494633</v>
      </c>
      <c r="L74" s="11">
        <f t="shared" si="10"/>
        <v>5.0105485232068295E-3</v>
      </c>
      <c r="M74">
        <f t="shared" si="11"/>
        <v>3.8284677999377806E-2</v>
      </c>
    </row>
    <row r="75" spans="1:13" ht="15">
      <c r="A75" t="s">
        <v>524</v>
      </c>
      <c r="B75" s="1" t="s">
        <v>32</v>
      </c>
      <c r="C75" t="s">
        <v>565</v>
      </c>
      <c r="D75">
        <f t="shared" si="6"/>
        <v>1.9193857965451055E-3</v>
      </c>
      <c r="F75">
        <v>1.54</v>
      </c>
      <c r="G75">
        <v>1.54</v>
      </c>
      <c r="H75">
        <f t="shared" si="7"/>
        <v>0.95</v>
      </c>
      <c r="J75">
        <f t="shared" si="8"/>
        <v>1.8234165067178502E-3</v>
      </c>
      <c r="K75">
        <f t="shared" si="9"/>
        <v>0.36391554702494633</v>
      </c>
      <c r="L75" s="11">
        <f t="shared" si="10"/>
        <v>5.0105485232068295E-3</v>
      </c>
      <c r="M75">
        <f t="shared" si="11"/>
        <v>3.8284677999377806E-2</v>
      </c>
    </row>
    <row r="76" spans="1:13" ht="15">
      <c r="A76" t="s">
        <v>537</v>
      </c>
      <c r="B76" s="1" t="s">
        <v>209</v>
      </c>
      <c r="C76" t="s">
        <v>681</v>
      </c>
      <c r="D76">
        <f t="shared" si="6"/>
        <v>1.9193857965451055E-3</v>
      </c>
      <c r="F76">
        <v>1.54</v>
      </c>
      <c r="G76">
        <v>1.54</v>
      </c>
      <c r="H76">
        <f t="shared" si="7"/>
        <v>0.95</v>
      </c>
      <c r="J76">
        <f t="shared" si="8"/>
        <v>1.8234165067178502E-3</v>
      </c>
      <c r="K76">
        <f t="shared" si="9"/>
        <v>0.36391554702494633</v>
      </c>
      <c r="L76" s="11">
        <f t="shared" si="10"/>
        <v>5.0105485232068295E-3</v>
      </c>
      <c r="M76">
        <f t="shared" si="11"/>
        <v>3.8284677999377806E-2</v>
      </c>
    </row>
    <row r="77" spans="1:13" ht="15">
      <c r="A77" t="s">
        <v>536</v>
      </c>
      <c r="B77" s="1" t="s">
        <v>414</v>
      </c>
      <c r="C77" t="s">
        <v>630</v>
      </c>
      <c r="D77">
        <f t="shared" si="6"/>
        <v>1.9193857965451055E-3</v>
      </c>
      <c r="F77">
        <v>1.53</v>
      </c>
      <c r="G77">
        <v>1.53</v>
      </c>
      <c r="H77">
        <f t="shared" si="7"/>
        <v>0.95</v>
      </c>
      <c r="J77">
        <f t="shared" si="8"/>
        <v>1.8234165067178502E-3</v>
      </c>
      <c r="K77">
        <f t="shared" si="9"/>
        <v>0.36391554702494633</v>
      </c>
      <c r="L77" s="11">
        <f t="shared" si="10"/>
        <v>5.0105485232068295E-3</v>
      </c>
      <c r="M77">
        <f t="shared" si="11"/>
        <v>3.8284677999377806E-2</v>
      </c>
    </row>
    <row r="78" spans="1:13" ht="15">
      <c r="A78" t="s">
        <v>540</v>
      </c>
      <c r="B78" s="1" t="s">
        <v>232</v>
      </c>
      <c r="C78" t="s">
        <v>661</v>
      </c>
      <c r="D78">
        <f t="shared" si="6"/>
        <v>1.9193857965451055E-3</v>
      </c>
      <c r="F78">
        <v>1.52</v>
      </c>
      <c r="G78">
        <v>1.52</v>
      </c>
      <c r="H78">
        <f t="shared" si="7"/>
        <v>0.95</v>
      </c>
      <c r="J78">
        <f t="shared" si="8"/>
        <v>1.8234165067178502E-3</v>
      </c>
      <c r="K78">
        <f t="shared" si="9"/>
        <v>0.36391554702494633</v>
      </c>
      <c r="L78" s="11">
        <f t="shared" si="10"/>
        <v>5.0105485232068295E-3</v>
      </c>
      <c r="M78">
        <f t="shared" si="11"/>
        <v>3.8284677999377806E-2</v>
      </c>
    </row>
    <row r="79" spans="1:13" ht="15">
      <c r="A79" t="s">
        <v>540</v>
      </c>
      <c r="B79" s="1" t="s">
        <v>230</v>
      </c>
      <c r="C79" t="s">
        <v>568</v>
      </c>
      <c r="D79">
        <f t="shared" si="6"/>
        <v>1.9193857965451055E-3</v>
      </c>
      <c r="F79">
        <v>1.5</v>
      </c>
      <c r="G79">
        <v>1.5</v>
      </c>
      <c r="H79">
        <f t="shared" si="7"/>
        <v>0.95</v>
      </c>
      <c r="J79">
        <f t="shared" si="8"/>
        <v>1.8234165067178502E-3</v>
      </c>
      <c r="K79">
        <f t="shared" si="9"/>
        <v>0.36391554702494633</v>
      </c>
      <c r="L79" s="11">
        <f t="shared" si="10"/>
        <v>5.0105485232068295E-3</v>
      </c>
      <c r="M79">
        <f t="shared" si="11"/>
        <v>3.8284677999377806E-2</v>
      </c>
    </row>
    <row r="80" spans="1:13" ht="15">
      <c r="A80" t="s">
        <v>536</v>
      </c>
      <c r="B80" s="1" t="s">
        <v>436</v>
      </c>
      <c r="C80" t="s">
        <v>655</v>
      </c>
      <c r="D80">
        <f t="shared" si="6"/>
        <v>1.9193857965451055E-3</v>
      </c>
      <c r="F80">
        <v>1.49</v>
      </c>
      <c r="G80">
        <v>1.49</v>
      </c>
      <c r="H80">
        <f t="shared" si="7"/>
        <v>0.95</v>
      </c>
      <c r="J80">
        <f t="shared" si="8"/>
        <v>1.8234165067178502E-3</v>
      </c>
      <c r="K80">
        <f t="shared" si="9"/>
        <v>0.36391554702494633</v>
      </c>
      <c r="L80" s="11">
        <f t="shared" si="10"/>
        <v>5.0105485232068295E-3</v>
      </c>
      <c r="M80">
        <f t="shared" si="11"/>
        <v>3.8284677999377806E-2</v>
      </c>
    </row>
    <row r="81" spans="1:13" ht="15">
      <c r="A81" t="s">
        <v>524</v>
      </c>
      <c r="B81" s="1" t="s">
        <v>54</v>
      </c>
      <c r="C81" t="s">
        <v>959</v>
      </c>
      <c r="D81">
        <f t="shared" si="6"/>
        <v>1.9193857965451055E-3</v>
      </c>
      <c r="F81">
        <v>1.48</v>
      </c>
      <c r="G81">
        <v>1.48</v>
      </c>
      <c r="H81">
        <f t="shared" si="7"/>
        <v>0.95</v>
      </c>
      <c r="J81">
        <f t="shared" si="8"/>
        <v>1.8234165067178502E-3</v>
      </c>
      <c r="K81">
        <f t="shared" si="9"/>
        <v>0.36391554702494633</v>
      </c>
      <c r="L81" s="11">
        <f t="shared" si="10"/>
        <v>5.0105485232068295E-3</v>
      </c>
      <c r="M81">
        <f t="shared" si="11"/>
        <v>3.8284677999377806E-2</v>
      </c>
    </row>
    <row r="82" spans="1:13" ht="15">
      <c r="A82" t="s">
        <v>524</v>
      </c>
      <c r="B82" s="1" t="s">
        <v>28</v>
      </c>
      <c r="C82" t="s">
        <v>569</v>
      </c>
      <c r="D82">
        <f t="shared" si="6"/>
        <v>1.9193857965451055E-3</v>
      </c>
      <c r="F82">
        <v>1.44</v>
      </c>
      <c r="G82">
        <v>1.44</v>
      </c>
      <c r="H82">
        <f t="shared" si="7"/>
        <v>0.95</v>
      </c>
      <c r="J82">
        <f t="shared" si="8"/>
        <v>1.8234165067178502E-3</v>
      </c>
      <c r="K82">
        <f t="shared" si="9"/>
        <v>0.36391554702494633</v>
      </c>
      <c r="L82" s="11">
        <f t="shared" si="10"/>
        <v>5.0105485232068295E-3</v>
      </c>
      <c r="M82">
        <f t="shared" si="11"/>
        <v>3.8284677999377806E-2</v>
      </c>
    </row>
    <row r="83" spans="1:13" ht="15">
      <c r="A83" t="s">
        <v>524</v>
      </c>
      <c r="B83" s="1" t="s">
        <v>6</v>
      </c>
      <c r="C83" t="s">
        <v>570</v>
      </c>
      <c r="D83">
        <f t="shared" si="6"/>
        <v>1.9193857965451055E-3</v>
      </c>
      <c r="F83">
        <v>1.42</v>
      </c>
      <c r="G83">
        <v>1.42</v>
      </c>
      <c r="H83">
        <f t="shared" si="7"/>
        <v>0.95</v>
      </c>
      <c r="J83">
        <f t="shared" si="8"/>
        <v>1.8234165067178502E-3</v>
      </c>
      <c r="K83">
        <f t="shared" si="9"/>
        <v>0.36391554702494633</v>
      </c>
      <c r="L83" s="11">
        <f t="shared" si="10"/>
        <v>5.0105485232068295E-3</v>
      </c>
      <c r="M83">
        <f t="shared" si="11"/>
        <v>3.8284677999377806E-2</v>
      </c>
    </row>
    <row r="84" spans="1:13" ht="15">
      <c r="A84" t="s">
        <v>536</v>
      </c>
      <c r="B84" s="1" t="s">
        <v>419</v>
      </c>
      <c r="C84" t="s">
        <v>632</v>
      </c>
      <c r="D84">
        <f t="shared" si="6"/>
        <v>1.9193857965451055E-3</v>
      </c>
      <c r="F84">
        <v>1.41</v>
      </c>
      <c r="G84">
        <v>1.41</v>
      </c>
      <c r="H84">
        <f t="shared" si="7"/>
        <v>0.95</v>
      </c>
      <c r="J84">
        <f t="shared" si="8"/>
        <v>1.8234165067178502E-3</v>
      </c>
      <c r="K84">
        <f t="shared" si="9"/>
        <v>0.36391554702494633</v>
      </c>
      <c r="L84" s="11">
        <f t="shared" si="10"/>
        <v>5.0105485232068295E-3</v>
      </c>
      <c r="M84">
        <f t="shared" si="11"/>
        <v>3.8284677999377806E-2</v>
      </c>
    </row>
    <row r="85" spans="1:13" ht="15">
      <c r="A85" t="s">
        <v>535</v>
      </c>
      <c r="B85" s="1" t="s">
        <v>328</v>
      </c>
      <c r="C85" t="s">
        <v>645</v>
      </c>
      <c r="D85">
        <f t="shared" si="6"/>
        <v>1.9193857965451055E-3</v>
      </c>
      <c r="F85">
        <v>1.41</v>
      </c>
      <c r="G85">
        <v>1.41</v>
      </c>
      <c r="H85">
        <f t="shared" si="7"/>
        <v>0.95</v>
      </c>
      <c r="J85">
        <f t="shared" si="8"/>
        <v>1.8234165067178502E-3</v>
      </c>
      <c r="K85">
        <f t="shared" si="9"/>
        <v>0.36391554702494633</v>
      </c>
      <c r="L85" s="11">
        <f t="shared" si="10"/>
        <v>5.0105485232068295E-3</v>
      </c>
      <c r="M85">
        <f t="shared" si="11"/>
        <v>3.8284677999377806E-2</v>
      </c>
    </row>
    <row r="86" spans="1:13" ht="15">
      <c r="A86" t="s">
        <v>524</v>
      </c>
      <c r="B86" s="1" t="s">
        <v>25</v>
      </c>
      <c r="C86" t="s">
        <v>571</v>
      </c>
      <c r="D86">
        <f t="shared" si="6"/>
        <v>1.9193857965451055E-3</v>
      </c>
      <c r="F86">
        <v>1.41</v>
      </c>
      <c r="G86">
        <v>1.41</v>
      </c>
      <c r="H86">
        <f t="shared" si="7"/>
        <v>0.95</v>
      </c>
      <c r="J86">
        <f t="shared" si="8"/>
        <v>1.8234165067178502E-3</v>
      </c>
      <c r="K86">
        <f t="shared" si="9"/>
        <v>0.36391554702494633</v>
      </c>
      <c r="L86" s="11">
        <f t="shared" si="10"/>
        <v>5.0105485232068295E-3</v>
      </c>
      <c r="M86">
        <f t="shared" si="11"/>
        <v>3.8284677999377806E-2</v>
      </c>
    </row>
    <row r="87" spans="1:13" ht="15">
      <c r="A87" t="s">
        <v>536</v>
      </c>
      <c r="B87" s="1" t="s">
        <v>423</v>
      </c>
      <c r="C87" t="s">
        <v>960</v>
      </c>
      <c r="D87">
        <f t="shared" si="6"/>
        <v>1.9193857965451055E-3</v>
      </c>
      <c r="F87">
        <v>1.4</v>
      </c>
      <c r="G87">
        <v>1.4</v>
      </c>
      <c r="H87">
        <f t="shared" si="7"/>
        <v>0.95</v>
      </c>
      <c r="J87">
        <f t="shared" si="8"/>
        <v>1.8234165067178502E-3</v>
      </c>
      <c r="K87">
        <f t="shared" si="9"/>
        <v>0.36391554702494633</v>
      </c>
      <c r="L87" s="11">
        <f t="shared" si="10"/>
        <v>5.0105485232068295E-3</v>
      </c>
      <c r="M87">
        <f t="shared" si="11"/>
        <v>3.8284677999377806E-2</v>
      </c>
    </row>
    <row r="88" spans="1:13" ht="15">
      <c r="A88" t="s">
        <v>535</v>
      </c>
      <c r="B88" s="1" t="s">
        <v>360</v>
      </c>
      <c r="C88" t="s">
        <v>653</v>
      </c>
      <c r="D88">
        <f t="shared" si="6"/>
        <v>1.9193857965451055E-3</v>
      </c>
      <c r="F88">
        <v>1.4</v>
      </c>
      <c r="G88">
        <v>1.4</v>
      </c>
      <c r="H88">
        <f t="shared" si="7"/>
        <v>0.95</v>
      </c>
      <c r="J88">
        <f t="shared" si="8"/>
        <v>1.8234165067178502E-3</v>
      </c>
      <c r="K88">
        <f t="shared" si="9"/>
        <v>0.36391554702494633</v>
      </c>
      <c r="L88" s="11">
        <f t="shared" si="10"/>
        <v>5.0105485232068295E-3</v>
      </c>
      <c r="M88">
        <f t="shared" si="11"/>
        <v>3.8284677999377806E-2</v>
      </c>
    </row>
    <row r="89" spans="1:13" ht="15">
      <c r="A89" t="s">
        <v>538</v>
      </c>
      <c r="B89" s="1" t="s">
        <v>147</v>
      </c>
      <c r="C89" t="s">
        <v>691</v>
      </c>
      <c r="D89">
        <f t="shared" si="6"/>
        <v>1.9193857965451055E-3</v>
      </c>
      <c r="F89">
        <v>1.4</v>
      </c>
      <c r="G89">
        <v>1.4</v>
      </c>
      <c r="H89">
        <f t="shared" si="7"/>
        <v>0.95</v>
      </c>
      <c r="J89">
        <f t="shared" si="8"/>
        <v>1.8234165067178502E-3</v>
      </c>
      <c r="K89">
        <f t="shared" si="9"/>
        <v>0.36391554702494633</v>
      </c>
      <c r="L89" s="11">
        <f t="shared" si="10"/>
        <v>5.0105485232068295E-3</v>
      </c>
      <c r="M89">
        <f t="shared" si="11"/>
        <v>3.8284677999377806E-2</v>
      </c>
    </row>
    <row r="90" spans="1:13" ht="15">
      <c r="A90" t="s">
        <v>537</v>
      </c>
      <c r="B90" s="1" t="s">
        <v>169</v>
      </c>
      <c r="C90" t="s">
        <v>640</v>
      </c>
      <c r="D90">
        <f t="shared" si="6"/>
        <v>1.9193857965451055E-3</v>
      </c>
      <c r="F90">
        <v>1.39</v>
      </c>
      <c r="G90">
        <v>1.39</v>
      </c>
      <c r="H90">
        <f t="shared" si="7"/>
        <v>0.95</v>
      </c>
      <c r="J90">
        <f t="shared" si="8"/>
        <v>1.8234165067178502E-3</v>
      </c>
      <c r="K90">
        <f t="shared" si="9"/>
        <v>0.36391554702494633</v>
      </c>
      <c r="L90" s="11">
        <f t="shared" si="10"/>
        <v>5.0105485232068295E-3</v>
      </c>
      <c r="M90">
        <f t="shared" si="11"/>
        <v>3.8284677999377806E-2</v>
      </c>
    </row>
    <row r="91" spans="1:13" ht="15">
      <c r="A91" t="s">
        <v>534</v>
      </c>
      <c r="B91" s="1" t="s">
        <v>69</v>
      </c>
      <c r="C91" t="s">
        <v>643</v>
      </c>
      <c r="D91">
        <f t="shared" si="6"/>
        <v>1.9193857965451055E-3</v>
      </c>
      <c r="F91">
        <v>1.39</v>
      </c>
      <c r="G91">
        <v>1.39</v>
      </c>
      <c r="H91">
        <f t="shared" si="7"/>
        <v>0.95</v>
      </c>
      <c r="J91">
        <f t="shared" si="8"/>
        <v>1.8234165067178502E-3</v>
      </c>
      <c r="K91">
        <f t="shared" si="9"/>
        <v>0.36391554702494633</v>
      </c>
      <c r="L91" s="11">
        <f t="shared" si="10"/>
        <v>5.0105485232068295E-3</v>
      </c>
      <c r="M91">
        <f t="shared" si="11"/>
        <v>3.8284677999377806E-2</v>
      </c>
    </row>
    <row r="92" spans="1:13" ht="15">
      <c r="A92" t="s">
        <v>524</v>
      </c>
      <c r="B92" s="1" t="s">
        <v>7</v>
      </c>
      <c r="C92" t="s">
        <v>635</v>
      </c>
      <c r="D92">
        <f t="shared" si="6"/>
        <v>1.9193857965451055E-3</v>
      </c>
      <c r="F92">
        <v>1.35</v>
      </c>
      <c r="G92">
        <v>1.35</v>
      </c>
      <c r="H92">
        <f t="shared" si="7"/>
        <v>0.95</v>
      </c>
      <c r="J92">
        <f t="shared" si="8"/>
        <v>1.8234165067178502E-3</v>
      </c>
      <c r="K92">
        <f t="shared" si="9"/>
        <v>0.36391554702494633</v>
      </c>
      <c r="L92" s="11">
        <f t="shared" si="10"/>
        <v>5.0105485232068295E-3</v>
      </c>
      <c r="M92">
        <f t="shared" si="11"/>
        <v>3.8284677999377806E-2</v>
      </c>
    </row>
    <row r="93" spans="1:13" ht="15">
      <c r="A93" t="s">
        <v>540</v>
      </c>
      <c r="B93" s="1" t="s">
        <v>231</v>
      </c>
      <c r="C93" t="s">
        <v>660</v>
      </c>
      <c r="D93">
        <f t="shared" si="6"/>
        <v>1.9193857965451055E-3</v>
      </c>
      <c r="F93">
        <v>1.35</v>
      </c>
      <c r="G93">
        <v>1.35</v>
      </c>
      <c r="H93">
        <f t="shared" si="7"/>
        <v>0.95</v>
      </c>
      <c r="J93">
        <f t="shared" si="8"/>
        <v>1.8234165067178502E-3</v>
      </c>
      <c r="K93">
        <f t="shared" si="9"/>
        <v>0.36391554702494633</v>
      </c>
      <c r="L93" s="11">
        <f t="shared" si="10"/>
        <v>5.0105485232068295E-3</v>
      </c>
      <c r="M93">
        <f t="shared" si="11"/>
        <v>3.8284677999377806E-2</v>
      </c>
    </row>
    <row r="94" spans="1:13" ht="15">
      <c r="A94" t="s">
        <v>542</v>
      </c>
      <c r="B94" s="1" t="s">
        <v>519</v>
      </c>
      <c r="C94" t="s">
        <v>678</v>
      </c>
      <c r="D94">
        <f t="shared" si="6"/>
        <v>1.9193857965451055E-3</v>
      </c>
      <c r="F94">
        <v>1.35</v>
      </c>
      <c r="G94">
        <v>1.35</v>
      </c>
      <c r="H94">
        <f t="shared" si="7"/>
        <v>0.95</v>
      </c>
      <c r="J94">
        <f t="shared" si="8"/>
        <v>1.8234165067178502E-3</v>
      </c>
      <c r="K94">
        <f t="shared" si="9"/>
        <v>0.36391554702494633</v>
      </c>
      <c r="L94" s="11">
        <f t="shared" si="10"/>
        <v>5.0105485232068295E-3</v>
      </c>
      <c r="M94">
        <f t="shared" si="11"/>
        <v>3.8284677999377806E-2</v>
      </c>
    </row>
    <row r="95" spans="1:13" ht="15">
      <c r="A95" t="s">
        <v>537</v>
      </c>
      <c r="B95" s="1" t="s">
        <v>208</v>
      </c>
      <c r="C95" t="s">
        <v>572</v>
      </c>
      <c r="D95">
        <f t="shared" si="6"/>
        <v>1.9193857965451055E-3</v>
      </c>
      <c r="F95">
        <v>1.34</v>
      </c>
      <c r="G95">
        <v>1.34</v>
      </c>
      <c r="H95">
        <f t="shared" si="7"/>
        <v>0.95</v>
      </c>
      <c r="J95">
        <f t="shared" si="8"/>
        <v>1.8234165067178502E-3</v>
      </c>
      <c r="K95">
        <f t="shared" si="9"/>
        <v>0.36391554702494633</v>
      </c>
      <c r="L95" s="11">
        <f t="shared" si="10"/>
        <v>5.0105485232068295E-3</v>
      </c>
      <c r="M95">
        <f t="shared" si="11"/>
        <v>3.8284677999377806E-2</v>
      </c>
    </row>
    <row r="96" spans="1:13" ht="15">
      <c r="A96" t="s">
        <v>534</v>
      </c>
      <c r="B96" s="1" t="s">
        <v>119</v>
      </c>
      <c r="C96" t="s">
        <v>682</v>
      </c>
      <c r="D96">
        <f t="shared" si="6"/>
        <v>1.9193857965451055E-3</v>
      </c>
      <c r="F96">
        <v>1.34</v>
      </c>
      <c r="G96">
        <v>1.34</v>
      </c>
      <c r="H96">
        <f t="shared" si="7"/>
        <v>0.95</v>
      </c>
      <c r="J96">
        <f t="shared" si="8"/>
        <v>1.8234165067178502E-3</v>
      </c>
      <c r="K96">
        <f t="shared" si="9"/>
        <v>0.36391554702494633</v>
      </c>
      <c r="L96" s="11">
        <f t="shared" si="10"/>
        <v>5.0105485232068295E-3</v>
      </c>
      <c r="M96">
        <f t="shared" si="11"/>
        <v>3.8284677999377806E-2</v>
      </c>
    </row>
    <row r="97" spans="1:13" ht="15">
      <c r="A97" t="s">
        <v>524</v>
      </c>
      <c r="B97" s="1" t="s">
        <v>44</v>
      </c>
      <c r="C97" t="s">
        <v>573</v>
      </c>
      <c r="D97">
        <f t="shared" si="6"/>
        <v>1.9193857965451055E-3</v>
      </c>
      <c r="F97">
        <v>1.33</v>
      </c>
      <c r="G97">
        <v>1.33</v>
      </c>
      <c r="H97">
        <f t="shared" si="7"/>
        <v>0.95</v>
      </c>
      <c r="J97">
        <f t="shared" si="8"/>
        <v>1.8234165067178502E-3</v>
      </c>
      <c r="K97">
        <f t="shared" si="9"/>
        <v>0.36391554702494633</v>
      </c>
      <c r="L97" s="11">
        <f t="shared" si="10"/>
        <v>5.0105485232068295E-3</v>
      </c>
      <c r="M97">
        <f t="shared" si="11"/>
        <v>3.8284677999377806E-2</v>
      </c>
    </row>
    <row r="98" spans="1:13" ht="15">
      <c r="A98" t="s">
        <v>536</v>
      </c>
      <c r="B98" s="1" t="s">
        <v>448</v>
      </c>
      <c r="C98" t="s">
        <v>673</v>
      </c>
      <c r="D98">
        <f t="shared" si="6"/>
        <v>1.9193857965451055E-3</v>
      </c>
      <c r="F98">
        <v>1.31</v>
      </c>
      <c r="G98">
        <v>1.31</v>
      </c>
      <c r="H98">
        <f t="shared" si="7"/>
        <v>0.95</v>
      </c>
      <c r="J98">
        <f t="shared" si="8"/>
        <v>1.8234165067178502E-3</v>
      </c>
      <c r="K98">
        <f t="shared" si="9"/>
        <v>0.36391554702494633</v>
      </c>
      <c r="L98" s="11">
        <f t="shared" si="10"/>
        <v>5.0105485232068295E-3</v>
      </c>
      <c r="M98">
        <f t="shared" si="11"/>
        <v>3.8284677999377806E-2</v>
      </c>
    </row>
    <row r="99" spans="1:13" ht="15">
      <c r="A99" t="s">
        <v>524</v>
      </c>
      <c r="B99" s="1" t="s">
        <v>48</v>
      </c>
      <c r="C99" t="s">
        <v>680</v>
      </c>
      <c r="D99">
        <f t="shared" si="6"/>
        <v>1.9193857965451055E-3</v>
      </c>
      <c r="F99">
        <v>1.29</v>
      </c>
      <c r="G99">
        <v>1.29</v>
      </c>
      <c r="H99">
        <f t="shared" si="7"/>
        <v>0.95</v>
      </c>
      <c r="J99">
        <f t="shared" si="8"/>
        <v>1.8234165067178502E-3</v>
      </c>
      <c r="K99">
        <f t="shared" si="9"/>
        <v>0.36391554702494633</v>
      </c>
      <c r="L99" s="11">
        <f t="shared" si="10"/>
        <v>5.0105485232068295E-3</v>
      </c>
      <c r="M99">
        <f t="shared" si="11"/>
        <v>3.8284677999377806E-2</v>
      </c>
    </row>
    <row r="100" spans="1:13" ht="15">
      <c r="A100" t="s">
        <v>535</v>
      </c>
      <c r="B100" s="1" t="s">
        <v>353</v>
      </c>
      <c r="C100" t="s">
        <v>574</v>
      </c>
      <c r="D100">
        <f t="shared" si="6"/>
        <v>1.9193857965451055E-3</v>
      </c>
      <c r="F100">
        <v>1.28</v>
      </c>
      <c r="G100">
        <v>1.28</v>
      </c>
      <c r="H100">
        <f t="shared" si="7"/>
        <v>0.95</v>
      </c>
      <c r="J100">
        <f t="shared" si="8"/>
        <v>1.8234165067178502E-3</v>
      </c>
      <c r="K100">
        <f t="shared" si="9"/>
        <v>0.36391554702494633</v>
      </c>
      <c r="L100" s="11">
        <f t="shared" si="10"/>
        <v>5.0105485232068295E-3</v>
      </c>
      <c r="M100">
        <f t="shared" si="11"/>
        <v>3.8284677999377806E-2</v>
      </c>
    </row>
    <row r="101" spans="1:13" ht="15">
      <c r="A101" t="s">
        <v>537</v>
      </c>
      <c r="B101" s="1" t="s">
        <v>207</v>
      </c>
      <c r="C101" t="s">
        <v>670</v>
      </c>
      <c r="D101">
        <f t="shared" si="6"/>
        <v>1.9193857965451055E-3</v>
      </c>
      <c r="F101">
        <v>1.27</v>
      </c>
      <c r="G101">
        <v>1.27</v>
      </c>
      <c r="H101">
        <f t="shared" si="7"/>
        <v>0.95</v>
      </c>
      <c r="J101">
        <f t="shared" si="8"/>
        <v>1.8234165067178502E-3</v>
      </c>
      <c r="K101">
        <f t="shared" si="9"/>
        <v>0.36391554702494633</v>
      </c>
      <c r="L101" s="11">
        <f t="shared" si="10"/>
        <v>5.0105485232068295E-3</v>
      </c>
      <c r="M101">
        <f t="shared" si="11"/>
        <v>3.8284677999377806E-2</v>
      </c>
    </row>
    <row r="102" spans="1:13" ht="15">
      <c r="A102" t="s">
        <v>542</v>
      </c>
      <c r="B102" s="1" t="s">
        <v>513</v>
      </c>
      <c r="C102" t="s">
        <v>575</v>
      </c>
      <c r="D102">
        <f t="shared" si="6"/>
        <v>1.9193857965451055E-3</v>
      </c>
      <c r="F102">
        <v>1.26</v>
      </c>
      <c r="G102">
        <v>1.26</v>
      </c>
      <c r="H102">
        <f t="shared" si="7"/>
        <v>0.95</v>
      </c>
      <c r="J102">
        <f t="shared" si="8"/>
        <v>1.8234165067178502E-3</v>
      </c>
      <c r="K102">
        <f t="shared" si="9"/>
        <v>0.36391554702494633</v>
      </c>
      <c r="L102" s="11">
        <f t="shared" si="10"/>
        <v>5.0105485232068295E-3</v>
      </c>
      <c r="M102">
        <f t="shared" si="11"/>
        <v>3.8284677999377806E-2</v>
      </c>
    </row>
    <row r="103" spans="1:13" ht="15">
      <c r="A103" t="s">
        <v>540</v>
      </c>
      <c r="B103" s="1" t="s">
        <v>277</v>
      </c>
      <c r="C103" t="s">
        <v>684</v>
      </c>
      <c r="D103">
        <f t="shared" si="6"/>
        <v>1.9193857965451055E-3</v>
      </c>
      <c r="F103">
        <v>1.26</v>
      </c>
      <c r="G103">
        <v>1.26</v>
      </c>
      <c r="H103">
        <f t="shared" si="7"/>
        <v>0.95</v>
      </c>
      <c r="J103">
        <f t="shared" si="8"/>
        <v>1.8234165067178502E-3</v>
      </c>
      <c r="K103">
        <f t="shared" si="9"/>
        <v>0.36391554702494633</v>
      </c>
      <c r="L103" s="11">
        <f t="shared" si="10"/>
        <v>5.0105485232068295E-3</v>
      </c>
      <c r="M103">
        <f t="shared" si="11"/>
        <v>3.8284677999377806E-2</v>
      </c>
    </row>
    <row r="104" spans="1:13" ht="15">
      <c r="A104" t="s">
        <v>535</v>
      </c>
      <c r="B104" s="1" t="s">
        <v>373</v>
      </c>
      <c r="C104" t="s">
        <v>658</v>
      </c>
      <c r="D104">
        <f t="shared" si="6"/>
        <v>1.9193857965451055E-3</v>
      </c>
      <c r="F104">
        <v>1.18</v>
      </c>
      <c r="G104">
        <v>1.18</v>
      </c>
      <c r="H104">
        <f t="shared" si="7"/>
        <v>0.95</v>
      </c>
      <c r="J104">
        <f t="shared" si="8"/>
        <v>1.8234165067178502E-3</v>
      </c>
      <c r="K104">
        <f t="shared" si="9"/>
        <v>0.36391554702494633</v>
      </c>
      <c r="L104" s="11">
        <f t="shared" si="10"/>
        <v>5.0105485232068295E-3</v>
      </c>
      <c r="M104">
        <f t="shared" si="11"/>
        <v>3.8284677999377806E-2</v>
      </c>
    </row>
    <row r="105" spans="1:13" ht="15">
      <c r="A105" t="s">
        <v>534</v>
      </c>
      <c r="B105" s="1" t="s">
        <v>89</v>
      </c>
      <c r="C105" t="s">
        <v>666</v>
      </c>
      <c r="D105">
        <f t="shared" si="6"/>
        <v>1.9193857965451055E-3</v>
      </c>
      <c r="F105">
        <v>1.18</v>
      </c>
      <c r="G105">
        <v>1.18</v>
      </c>
      <c r="H105">
        <f t="shared" si="7"/>
        <v>0.95</v>
      </c>
      <c r="J105">
        <f t="shared" si="8"/>
        <v>1.8234165067178502E-3</v>
      </c>
      <c r="K105">
        <f t="shared" si="9"/>
        <v>0.36391554702494633</v>
      </c>
      <c r="L105" s="11">
        <f t="shared" si="10"/>
        <v>5.0105485232068295E-3</v>
      </c>
      <c r="M105">
        <f t="shared" si="11"/>
        <v>3.8284677999377806E-2</v>
      </c>
    </row>
    <row r="106" spans="1:13" ht="15">
      <c r="A106" t="s">
        <v>535</v>
      </c>
      <c r="B106" s="1" t="s">
        <v>395</v>
      </c>
      <c r="C106" t="s">
        <v>961</v>
      </c>
      <c r="D106">
        <f t="shared" si="6"/>
        <v>1.9193857965451055E-3</v>
      </c>
      <c r="F106">
        <v>1.17</v>
      </c>
      <c r="G106">
        <v>1.17</v>
      </c>
      <c r="H106">
        <f t="shared" si="7"/>
        <v>0.95</v>
      </c>
      <c r="J106">
        <f t="shared" si="8"/>
        <v>1.8234165067178502E-3</v>
      </c>
      <c r="K106">
        <f t="shared" si="9"/>
        <v>0.36391554702494633</v>
      </c>
      <c r="L106" s="11">
        <f t="shared" si="10"/>
        <v>5.0105485232068295E-3</v>
      </c>
      <c r="M106">
        <f t="shared" si="11"/>
        <v>3.8284677999377806E-2</v>
      </c>
    </row>
    <row r="107" spans="1:13" ht="15">
      <c r="A107" t="s">
        <v>539</v>
      </c>
      <c r="B107" s="1" t="s">
        <v>308</v>
      </c>
      <c r="C107" t="s">
        <v>659</v>
      </c>
      <c r="D107">
        <f t="shared" si="6"/>
        <v>1.9193857965451055E-3</v>
      </c>
      <c r="F107">
        <v>1.1599999999999999</v>
      </c>
      <c r="G107">
        <v>1.1599999999999999</v>
      </c>
      <c r="H107">
        <f t="shared" si="7"/>
        <v>0.95</v>
      </c>
      <c r="J107">
        <f t="shared" si="8"/>
        <v>1.8234165067178502E-3</v>
      </c>
      <c r="K107">
        <f t="shared" si="9"/>
        <v>0.36391554702494633</v>
      </c>
      <c r="L107" s="11">
        <f t="shared" si="10"/>
        <v>5.0105485232068295E-3</v>
      </c>
      <c r="M107">
        <f t="shared" si="11"/>
        <v>3.8284677999377806E-2</v>
      </c>
    </row>
    <row r="108" spans="1:13" ht="15">
      <c r="A108" t="s">
        <v>535</v>
      </c>
      <c r="B108" s="1" t="s">
        <v>407</v>
      </c>
      <c r="C108" t="s">
        <v>962</v>
      </c>
      <c r="D108">
        <f t="shared" si="6"/>
        <v>1.9193857965451055E-3</v>
      </c>
      <c r="F108">
        <v>1.1399999999999999</v>
      </c>
      <c r="G108">
        <v>1.1399999999999999</v>
      </c>
      <c r="H108">
        <f t="shared" si="7"/>
        <v>0.95</v>
      </c>
      <c r="J108">
        <f t="shared" si="8"/>
        <v>1.8234165067178502E-3</v>
      </c>
      <c r="K108">
        <f t="shared" si="9"/>
        <v>0.36391554702494633</v>
      </c>
      <c r="L108" s="11">
        <f t="shared" si="10"/>
        <v>5.0105485232068295E-3</v>
      </c>
      <c r="M108">
        <f t="shared" si="11"/>
        <v>3.8284677999377806E-2</v>
      </c>
    </row>
    <row r="109" spans="1:13" ht="15">
      <c r="A109" t="s">
        <v>536</v>
      </c>
      <c r="B109" s="1" t="s">
        <v>424</v>
      </c>
      <c r="C109" t="s">
        <v>649</v>
      </c>
      <c r="D109">
        <f t="shared" si="6"/>
        <v>1.9193857965451055E-3</v>
      </c>
      <c r="F109">
        <v>1.1200000000000001</v>
      </c>
      <c r="G109">
        <v>1.1200000000000001</v>
      </c>
      <c r="H109">
        <f t="shared" si="7"/>
        <v>0.95</v>
      </c>
      <c r="J109">
        <f t="shared" si="8"/>
        <v>1.8234165067178502E-3</v>
      </c>
      <c r="K109">
        <f t="shared" si="9"/>
        <v>0.36391554702494633</v>
      </c>
      <c r="L109" s="11">
        <f t="shared" si="10"/>
        <v>5.0105485232068295E-3</v>
      </c>
      <c r="M109">
        <f t="shared" si="11"/>
        <v>3.8284677999377806E-2</v>
      </c>
    </row>
    <row r="110" spans="1:13" ht="15">
      <c r="A110" t="s">
        <v>538</v>
      </c>
      <c r="B110" s="1" t="s">
        <v>149</v>
      </c>
      <c r="C110" t="s">
        <v>692</v>
      </c>
      <c r="D110">
        <f t="shared" si="6"/>
        <v>1.9193857965451055E-3</v>
      </c>
      <c r="F110">
        <v>1.1200000000000001</v>
      </c>
      <c r="G110">
        <v>1.1200000000000001</v>
      </c>
      <c r="H110">
        <f t="shared" si="7"/>
        <v>0.95</v>
      </c>
      <c r="J110">
        <f t="shared" si="8"/>
        <v>1.8234165067178502E-3</v>
      </c>
      <c r="K110">
        <f t="shared" si="9"/>
        <v>0.36391554702494633</v>
      </c>
      <c r="L110" s="11">
        <f t="shared" si="10"/>
        <v>5.0105485232068295E-3</v>
      </c>
      <c r="M110">
        <f t="shared" si="11"/>
        <v>3.8284677999377806E-2</v>
      </c>
    </row>
    <row r="111" spans="1:13" ht="15">
      <c r="A111" t="s">
        <v>536</v>
      </c>
      <c r="B111" s="1" t="s">
        <v>422</v>
      </c>
      <c r="C111" t="s">
        <v>636</v>
      </c>
      <c r="D111">
        <f t="shared" si="6"/>
        <v>1.9193857965451055E-3</v>
      </c>
      <c r="F111">
        <v>1.1100000000000001</v>
      </c>
      <c r="G111">
        <v>1.1100000000000001</v>
      </c>
      <c r="H111">
        <f t="shared" si="7"/>
        <v>0.95</v>
      </c>
      <c r="J111">
        <f t="shared" si="8"/>
        <v>1.8234165067178502E-3</v>
      </c>
      <c r="K111">
        <f t="shared" si="9"/>
        <v>0.36391554702494633</v>
      </c>
      <c r="L111" s="11">
        <f t="shared" si="10"/>
        <v>5.0105485232068295E-3</v>
      </c>
      <c r="M111">
        <f t="shared" si="11"/>
        <v>3.8284677999377806E-2</v>
      </c>
    </row>
    <row r="112" spans="1:13" ht="15">
      <c r="A112" t="s">
        <v>539</v>
      </c>
      <c r="B112" s="1" t="s">
        <v>300</v>
      </c>
      <c r="C112" t="s">
        <v>963</v>
      </c>
      <c r="D112">
        <f t="shared" si="6"/>
        <v>1.9193857965451055E-3</v>
      </c>
      <c r="F112">
        <v>1.1100000000000001</v>
      </c>
      <c r="G112">
        <v>1.1100000000000001</v>
      </c>
      <c r="H112">
        <f t="shared" si="7"/>
        <v>0.95</v>
      </c>
      <c r="J112">
        <f t="shared" si="8"/>
        <v>1.8234165067178502E-3</v>
      </c>
      <c r="K112">
        <f t="shared" si="9"/>
        <v>0.36391554702494633</v>
      </c>
      <c r="L112" s="11">
        <f t="shared" si="10"/>
        <v>5.0105485232068295E-3</v>
      </c>
      <c r="M112">
        <f t="shared" si="11"/>
        <v>3.8284677999377806E-2</v>
      </c>
    </row>
    <row r="113" spans="1:13" ht="15">
      <c r="A113" t="s">
        <v>524</v>
      </c>
      <c r="B113" s="1" t="s">
        <v>18</v>
      </c>
      <c r="C113" t="s">
        <v>964</v>
      </c>
      <c r="D113">
        <f t="shared" si="6"/>
        <v>1.9193857965451055E-3</v>
      </c>
      <c r="F113">
        <v>1.1000000000000001</v>
      </c>
      <c r="G113">
        <v>1.1000000000000001</v>
      </c>
      <c r="H113">
        <f t="shared" si="7"/>
        <v>0.95</v>
      </c>
      <c r="J113">
        <f t="shared" si="8"/>
        <v>1.8234165067178502E-3</v>
      </c>
      <c r="K113">
        <f t="shared" si="9"/>
        <v>0.36391554702494633</v>
      </c>
      <c r="L113" s="11">
        <f t="shared" si="10"/>
        <v>5.0105485232068295E-3</v>
      </c>
      <c r="M113">
        <f t="shared" si="11"/>
        <v>3.8284677999377806E-2</v>
      </c>
    </row>
    <row r="114" spans="1:13" ht="15">
      <c r="A114" t="s">
        <v>536</v>
      </c>
      <c r="B114" s="1" t="s">
        <v>479</v>
      </c>
      <c r="C114" t="s">
        <v>690</v>
      </c>
      <c r="D114">
        <f t="shared" si="6"/>
        <v>1.9193857965451055E-3</v>
      </c>
      <c r="F114">
        <v>1.0900000000000001</v>
      </c>
      <c r="G114">
        <v>1.0900000000000001</v>
      </c>
      <c r="H114">
        <f t="shared" si="7"/>
        <v>0.95</v>
      </c>
      <c r="J114">
        <f t="shared" si="8"/>
        <v>1.8234165067178502E-3</v>
      </c>
      <c r="K114">
        <f t="shared" si="9"/>
        <v>0.36391554702494633</v>
      </c>
      <c r="L114" s="11">
        <f t="shared" si="10"/>
        <v>5.0105485232068295E-3</v>
      </c>
      <c r="M114">
        <f t="shared" si="11"/>
        <v>3.8284677999377806E-2</v>
      </c>
    </row>
    <row r="115" spans="1:13" ht="15">
      <c r="A115" t="s">
        <v>536</v>
      </c>
      <c r="B115" s="1" t="s">
        <v>434</v>
      </c>
      <c r="C115" t="s">
        <v>576</v>
      </c>
      <c r="D115">
        <f t="shared" si="6"/>
        <v>1.9193857965451055E-3</v>
      </c>
      <c r="F115">
        <v>1.07</v>
      </c>
      <c r="G115">
        <v>1.07</v>
      </c>
      <c r="H115">
        <f t="shared" si="7"/>
        <v>0.95</v>
      </c>
      <c r="J115">
        <f t="shared" si="8"/>
        <v>1.8234165067178502E-3</v>
      </c>
      <c r="K115">
        <f t="shared" si="9"/>
        <v>0.36391554702494633</v>
      </c>
      <c r="L115" s="11">
        <f t="shared" si="10"/>
        <v>5.0105485232068295E-3</v>
      </c>
      <c r="M115">
        <f t="shared" si="11"/>
        <v>3.8284677999377806E-2</v>
      </c>
    </row>
    <row r="116" spans="1:13" ht="15">
      <c r="A116" t="s">
        <v>536</v>
      </c>
      <c r="B116" s="1" t="s">
        <v>449</v>
      </c>
      <c r="C116" t="s">
        <v>674</v>
      </c>
      <c r="D116">
        <f t="shared" si="6"/>
        <v>1.9193857965451055E-3</v>
      </c>
      <c r="F116">
        <v>1.03</v>
      </c>
      <c r="G116">
        <v>1.03</v>
      </c>
      <c r="H116">
        <f t="shared" si="7"/>
        <v>0.95</v>
      </c>
      <c r="J116">
        <f t="shared" si="8"/>
        <v>1.8234165067178502E-3</v>
      </c>
      <c r="K116">
        <f t="shared" si="9"/>
        <v>0.36391554702494633</v>
      </c>
      <c r="L116" s="11">
        <f t="shared" si="10"/>
        <v>5.0105485232068295E-3</v>
      </c>
      <c r="M116">
        <f t="shared" si="11"/>
        <v>3.8284677999377806E-2</v>
      </c>
    </row>
    <row r="117" spans="1:13" ht="15">
      <c r="A117" t="s">
        <v>537</v>
      </c>
      <c r="B117" s="1" t="s">
        <v>167</v>
      </c>
      <c r="C117" t="s">
        <v>639</v>
      </c>
      <c r="D117">
        <f t="shared" si="6"/>
        <v>1.9193857965451055E-3</v>
      </c>
      <c r="F117">
        <v>1.01</v>
      </c>
      <c r="G117">
        <v>1.01</v>
      </c>
      <c r="H117">
        <f t="shared" si="7"/>
        <v>0.95</v>
      </c>
      <c r="J117">
        <f t="shared" si="8"/>
        <v>1.8234165067178502E-3</v>
      </c>
      <c r="K117">
        <f t="shared" si="9"/>
        <v>0.36391554702494633</v>
      </c>
      <c r="L117" s="11">
        <f t="shared" si="10"/>
        <v>5.0105485232068295E-3</v>
      </c>
      <c r="M117">
        <f t="shared" si="11"/>
        <v>3.8284677999377806E-2</v>
      </c>
    </row>
    <row r="118" spans="1:13" ht="15">
      <c r="A118" t="s">
        <v>537</v>
      </c>
      <c r="B118" s="1" t="s">
        <v>180</v>
      </c>
      <c r="C118" t="s">
        <v>651</v>
      </c>
      <c r="D118">
        <f t="shared" si="6"/>
        <v>1.9193857965451055E-3</v>
      </c>
      <c r="F118">
        <v>1.01</v>
      </c>
      <c r="G118">
        <v>1.01</v>
      </c>
      <c r="H118">
        <f t="shared" si="7"/>
        <v>0.95</v>
      </c>
      <c r="J118">
        <f t="shared" si="8"/>
        <v>1.8234165067178502E-3</v>
      </c>
      <c r="K118">
        <f t="shared" si="9"/>
        <v>0.36391554702494633</v>
      </c>
      <c r="L118" s="11">
        <f t="shared" si="10"/>
        <v>5.0105485232068295E-3</v>
      </c>
      <c r="M118">
        <f t="shared" si="11"/>
        <v>3.8284677999377806E-2</v>
      </c>
    </row>
    <row r="119" spans="1:13" ht="15">
      <c r="A119" t="s">
        <v>536</v>
      </c>
      <c r="B119" s="1" t="s">
        <v>443</v>
      </c>
      <c r="C119" t="s">
        <v>965</v>
      </c>
      <c r="D119">
        <f t="shared" si="6"/>
        <v>1.9193857965451055E-3</v>
      </c>
      <c r="F119">
        <v>1.01</v>
      </c>
      <c r="G119">
        <v>1.01</v>
      </c>
      <c r="H119">
        <f t="shared" si="7"/>
        <v>0.95</v>
      </c>
      <c r="J119">
        <f t="shared" si="8"/>
        <v>1.8234165067178502E-3</v>
      </c>
      <c r="K119">
        <f t="shared" si="9"/>
        <v>0.36391554702494633</v>
      </c>
      <c r="L119" s="11">
        <f t="shared" si="10"/>
        <v>5.0105485232068295E-3</v>
      </c>
      <c r="M119">
        <f t="shared" si="11"/>
        <v>3.8284677999377806E-2</v>
      </c>
    </row>
    <row r="120" spans="1:13" ht="15">
      <c r="A120" t="s">
        <v>524</v>
      </c>
      <c r="B120" s="1" t="s">
        <v>0</v>
      </c>
      <c r="C120" t="s">
        <v>695</v>
      </c>
      <c r="D120">
        <f t="shared" si="6"/>
        <v>1.9193857965451055E-3</v>
      </c>
      <c r="F120">
        <v>1</v>
      </c>
      <c r="G120">
        <v>1</v>
      </c>
      <c r="H120">
        <f t="shared" si="7"/>
        <v>0.7</v>
      </c>
      <c r="J120">
        <f t="shared" si="8"/>
        <v>1.3435700575815737E-3</v>
      </c>
      <c r="K120">
        <f t="shared" si="9"/>
        <v>0.36391554702494633</v>
      </c>
      <c r="L120" s="11">
        <f t="shared" si="10"/>
        <v>3.6919831223629265E-3</v>
      </c>
      <c r="M120">
        <f t="shared" si="11"/>
        <v>2.9836349307956388E-2</v>
      </c>
    </row>
    <row r="121" spans="1:13" ht="15">
      <c r="A121" t="s">
        <v>536</v>
      </c>
      <c r="B121" s="1" t="s">
        <v>415</v>
      </c>
      <c r="C121" t="s">
        <v>700</v>
      </c>
      <c r="D121">
        <f t="shared" si="6"/>
        <v>1.9193857965451055E-3</v>
      </c>
      <c r="F121">
        <v>1</v>
      </c>
      <c r="G121">
        <v>1</v>
      </c>
      <c r="H121">
        <f t="shared" si="7"/>
        <v>0.7</v>
      </c>
      <c r="J121">
        <f t="shared" si="8"/>
        <v>1.3435700575815737E-3</v>
      </c>
      <c r="K121">
        <f t="shared" si="9"/>
        <v>0.36391554702494633</v>
      </c>
      <c r="L121" s="11">
        <f t="shared" si="10"/>
        <v>3.6919831223629265E-3</v>
      </c>
      <c r="M121">
        <f t="shared" si="11"/>
        <v>2.9836349307956388E-2</v>
      </c>
    </row>
    <row r="122" spans="1:13" ht="15">
      <c r="A122" t="s">
        <v>539</v>
      </c>
      <c r="B122" s="1" t="s">
        <v>317</v>
      </c>
      <c r="C122" t="s">
        <v>966</v>
      </c>
      <c r="D122">
        <f t="shared" si="6"/>
        <v>1.9193857965451055E-3</v>
      </c>
      <c r="F122">
        <v>1</v>
      </c>
      <c r="G122">
        <v>1</v>
      </c>
      <c r="H122">
        <f t="shared" si="7"/>
        <v>0.7</v>
      </c>
      <c r="J122">
        <f t="shared" si="8"/>
        <v>1.3435700575815737E-3</v>
      </c>
      <c r="K122">
        <f t="shared" si="9"/>
        <v>0.36391554702494633</v>
      </c>
      <c r="L122" s="11">
        <f t="shared" si="10"/>
        <v>3.6919831223629265E-3</v>
      </c>
      <c r="M122">
        <f t="shared" si="11"/>
        <v>2.9836349307956388E-2</v>
      </c>
    </row>
    <row r="123" spans="1:13" ht="15">
      <c r="A123" t="s">
        <v>536</v>
      </c>
      <c r="B123" s="1" t="s">
        <v>487</v>
      </c>
      <c r="C123" t="s">
        <v>967</v>
      </c>
      <c r="D123">
        <f t="shared" si="6"/>
        <v>1.9193857965451055E-3</v>
      </c>
      <c r="F123">
        <v>1</v>
      </c>
      <c r="G123">
        <v>1</v>
      </c>
      <c r="H123">
        <f t="shared" si="7"/>
        <v>0.7</v>
      </c>
      <c r="J123">
        <f t="shared" si="8"/>
        <v>1.3435700575815737E-3</v>
      </c>
      <c r="K123">
        <f t="shared" si="9"/>
        <v>0.36391554702494633</v>
      </c>
      <c r="L123" s="11">
        <f t="shared" si="10"/>
        <v>3.6919831223629265E-3</v>
      </c>
      <c r="M123">
        <f t="shared" si="11"/>
        <v>2.9836349307956388E-2</v>
      </c>
    </row>
    <row r="124" spans="1:13" ht="15">
      <c r="A124" t="s">
        <v>536</v>
      </c>
      <c r="B124" s="1" t="s">
        <v>492</v>
      </c>
      <c r="C124" t="s">
        <v>577</v>
      </c>
      <c r="D124">
        <f t="shared" si="6"/>
        <v>1.9193857965451055E-3</v>
      </c>
      <c r="F124">
        <v>0.97</v>
      </c>
      <c r="G124">
        <v>0.97</v>
      </c>
      <c r="H124">
        <f t="shared" si="7"/>
        <v>0.7</v>
      </c>
      <c r="J124">
        <f t="shared" si="8"/>
        <v>1.3435700575815737E-3</v>
      </c>
      <c r="K124">
        <f t="shared" si="9"/>
        <v>0.36391554702494633</v>
      </c>
      <c r="L124" s="11">
        <f t="shared" si="10"/>
        <v>3.6919831223629265E-3</v>
      </c>
      <c r="M124">
        <f t="shared" si="11"/>
        <v>2.9836349307956388E-2</v>
      </c>
    </row>
    <row r="125" spans="1:13" ht="15">
      <c r="A125" t="s">
        <v>535</v>
      </c>
      <c r="B125" s="1" t="s">
        <v>329</v>
      </c>
      <c r="C125" t="s">
        <v>708</v>
      </c>
      <c r="D125">
        <f t="shared" si="6"/>
        <v>1.9193857965451055E-3</v>
      </c>
      <c r="F125">
        <v>0.95</v>
      </c>
      <c r="G125">
        <v>0.95</v>
      </c>
      <c r="H125">
        <f t="shared" si="7"/>
        <v>0.7</v>
      </c>
      <c r="J125">
        <f t="shared" si="8"/>
        <v>1.3435700575815737E-3</v>
      </c>
      <c r="K125">
        <f t="shared" si="9"/>
        <v>0.36391554702494633</v>
      </c>
      <c r="L125" s="11">
        <f t="shared" si="10"/>
        <v>3.6919831223629265E-3</v>
      </c>
      <c r="M125">
        <f t="shared" si="11"/>
        <v>2.9836349307956388E-2</v>
      </c>
    </row>
    <row r="126" spans="1:13" ht="15">
      <c r="A126" t="s">
        <v>535</v>
      </c>
      <c r="B126" s="1" t="s">
        <v>321</v>
      </c>
      <c r="C126" t="s">
        <v>693</v>
      </c>
      <c r="D126">
        <f t="shared" si="6"/>
        <v>1.9193857965451055E-3</v>
      </c>
      <c r="F126">
        <v>0.93</v>
      </c>
      <c r="G126">
        <v>0.93</v>
      </c>
      <c r="H126">
        <f t="shared" si="7"/>
        <v>0.7</v>
      </c>
      <c r="J126">
        <f t="shared" si="8"/>
        <v>1.3435700575815737E-3</v>
      </c>
      <c r="K126">
        <f t="shared" si="9"/>
        <v>0.36391554702494633</v>
      </c>
      <c r="L126" s="11">
        <f t="shared" si="10"/>
        <v>3.6919831223629265E-3</v>
      </c>
      <c r="M126">
        <f t="shared" si="11"/>
        <v>2.9836349307956388E-2</v>
      </c>
    </row>
    <row r="127" spans="1:13" ht="15">
      <c r="A127" t="s">
        <v>534</v>
      </c>
      <c r="B127" s="1" t="s">
        <v>82</v>
      </c>
      <c r="C127" t="s">
        <v>719</v>
      </c>
      <c r="D127">
        <f t="shared" si="6"/>
        <v>1.9193857965451055E-3</v>
      </c>
      <c r="F127">
        <v>0.92</v>
      </c>
      <c r="G127">
        <v>0.92</v>
      </c>
      <c r="H127">
        <f t="shared" si="7"/>
        <v>0.7</v>
      </c>
      <c r="J127">
        <f t="shared" si="8"/>
        <v>1.3435700575815737E-3</v>
      </c>
      <c r="K127">
        <f t="shared" si="9"/>
        <v>0.36391554702494633</v>
      </c>
      <c r="L127" s="11">
        <f t="shared" si="10"/>
        <v>3.6919831223629265E-3</v>
      </c>
      <c r="M127">
        <f t="shared" si="11"/>
        <v>2.9836349307956388E-2</v>
      </c>
    </row>
    <row r="128" spans="1:13" ht="15">
      <c r="A128" t="s">
        <v>540</v>
      </c>
      <c r="B128" s="1" t="s">
        <v>269</v>
      </c>
      <c r="C128" t="s">
        <v>578</v>
      </c>
      <c r="D128">
        <f t="shared" si="6"/>
        <v>1.9193857965451055E-3</v>
      </c>
      <c r="F128">
        <v>0.91</v>
      </c>
      <c r="G128">
        <v>0.91</v>
      </c>
      <c r="H128">
        <f t="shared" si="7"/>
        <v>0.7</v>
      </c>
      <c r="J128">
        <f t="shared" si="8"/>
        <v>1.3435700575815737E-3</v>
      </c>
      <c r="K128">
        <f t="shared" si="9"/>
        <v>0.36391554702494633</v>
      </c>
      <c r="L128" s="11">
        <f t="shared" si="10"/>
        <v>3.6919831223629265E-3</v>
      </c>
      <c r="M128">
        <f t="shared" si="11"/>
        <v>2.9836349307956388E-2</v>
      </c>
    </row>
    <row r="129" spans="1:13" ht="15">
      <c r="A129" t="s">
        <v>535</v>
      </c>
      <c r="B129" s="1" t="s">
        <v>332</v>
      </c>
      <c r="C129" t="s">
        <v>579</v>
      </c>
      <c r="D129">
        <f t="shared" si="6"/>
        <v>1.9193857965451055E-3</v>
      </c>
      <c r="F129">
        <v>0.9</v>
      </c>
      <c r="G129">
        <v>0.9</v>
      </c>
      <c r="H129">
        <f t="shared" si="7"/>
        <v>0.7</v>
      </c>
      <c r="J129">
        <f t="shared" si="8"/>
        <v>1.3435700575815737E-3</v>
      </c>
      <c r="K129">
        <f t="shared" si="9"/>
        <v>0.36391554702494633</v>
      </c>
      <c r="L129" s="11">
        <f t="shared" si="10"/>
        <v>3.6919831223629265E-3</v>
      </c>
      <c r="M129">
        <f t="shared" si="11"/>
        <v>2.9836349307956388E-2</v>
      </c>
    </row>
    <row r="130" spans="1:13" ht="15">
      <c r="A130" t="s">
        <v>540</v>
      </c>
      <c r="B130" s="1" t="s">
        <v>256</v>
      </c>
      <c r="C130" t="s">
        <v>580</v>
      </c>
      <c r="D130">
        <f t="shared" ref="D130:D193" si="12">1/521</f>
        <v>1.9193857965451055E-3</v>
      </c>
      <c r="F130">
        <v>0.9</v>
      </c>
      <c r="G130">
        <v>0.9</v>
      </c>
      <c r="H130">
        <f t="shared" ref="H130:H193" si="13">IF(G130&gt;1,0.95,IF(G130&lt;0.6, 0.1, 0.7))</f>
        <v>0.7</v>
      </c>
      <c r="J130">
        <f t="shared" si="8"/>
        <v>1.3435700575815737E-3</v>
      </c>
      <c r="K130">
        <f t="shared" si="9"/>
        <v>0.36391554702494633</v>
      </c>
      <c r="L130" s="11">
        <f t="shared" si="10"/>
        <v>3.6919831223629265E-3</v>
      </c>
      <c r="M130">
        <f t="shared" si="11"/>
        <v>2.9836349307956388E-2</v>
      </c>
    </row>
    <row r="131" spans="1:13" ht="15">
      <c r="A131" t="s">
        <v>538</v>
      </c>
      <c r="B131" s="1" t="s">
        <v>142</v>
      </c>
      <c r="C131" t="s">
        <v>968</v>
      </c>
      <c r="D131">
        <f t="shared" si="12"/>
        <v>1.9193857965451055E-3</v>
      </c>
      <c r="F131">
        <v>0.88</v>
      </c>
      <c r="G131">
        <v>0.88</v>
      </c>
      <c r="H131">
        <f t="shared" si="13"/>
        <v>0.7</v>
      </c>
      <c r="J131">
        <f t="shared" ref="J131:J194" si="14">D131*H131</f>
        <v>1.3435700575815737E-3</v>
      </c>
      <c r="K131">
        <f t="shared" ref="K131:K194" si="15">SUM(J$2:J$523)</f>
        <v>0.36391554702494633</v>
      </c>
      <c r="L131" s="11">
        <f t="shared" ref="L131:L194" si="16">J131/K131</f>
        <v>3.6919831223629265E-3</v>
      </c>
      <c r="M131">
        <f t="shared" ref="M131:M194" si="17">L131*-LOG(L131,2)</f>
        <v>2.9836349307956388E-2</v>
      </c>
    </row>
    <row r="132" spans="1:13" ht="15">
      <c r="A132" t="s">
        <v>535</v>
      </c>
      <c r="B132" s="1" t="s">
        <v>406</v>
      </c>
      <c r="C132" t="s">
        <v>969</v>
      </c>
      <c r="D132">
        <f t="shared" si="12"/>
        <v>1.9193857965451055E-3</v>
      </c>
      <c r="F132">
        <v>0.87</v>
      </c>
      <c r="G132">
        <v>0.87</v>
      </c>
      <c r="H132">
        <f t="shared" si="13"/>
        <v>0.7</v>
      </c>
      <c r="J132">
        <f t="shared" si="14"/>
        <v>1.3435700575815737E-3</v>
      </c>
      <c r="K132">
        <f t="shared" si="15"/>
        <v>0.36391554702494633</v>
      </c>
      <c r="L132" s="11">
        <f t="shared" si="16"/>
        <v>3.6919831223629265E-3</v>
      </c>
      <c r="M132">
        <f t="shared" si="17"/>
        <v>2.9836349307956388E-2</v>
      </c>
    </row>
    <row r="133" spans="1:13" ht="15">
      <c r="A133" t="s">
        <v>534</v>
      </c>
      <c r="B133" s="1" t="s">
        <v>73</v>
      </c>
      <c r="C133" t="s">
        <v>710</v>
      </c>
      <c r="D133">
        <f t="shared" si="12"/>
        <v>1.9193857965451055E-3</v>
      </c>
      <c r="F133">
        <v>0.86</v>
      </c>
      <c r="G133">
        <v>0.86</v>
      </c>
      <c r="H133">
        <f t="shared" si="13"/>
        <v>0.7</v>
      </c>
      <c r="J133">
        <f t="shared" si="14"/>
        <v>1.3435700575815737E-3</v>
      </c>
      <c r="K133">
        <f t="shared" si="15"/>
        <v>0.36391554702494633</v>
      </c>
      <c r="L133" s="11">
        <f t="shared" si="16"/>
        <v>3.6919831223629265E-3</v>
      </c>
      <c r="M133">
        <f t="shared" si="17"/>
        <v>2.9836349307956388E-2</v>
      </c>
    </row>
    <row r="134" spans="1:13" ht="15">
      <c r="A134" t="s">
        <v>540</v>
      </c>
      <c r="B134" s="1" t="s">
        <v>245</v>
      </c>
      <c r="C134" t="s">
        <v>716</v>
      </c>
      <c r="D134">
        <f t="shared" si="12"/>
        <v>1.9193857965451055E-3</v>
      </c>
      <c r="F134">
        <v>0.86</v>
      </c>
      <c r="G134">
        <v>0.86</v>
      </c>
      <c r="H134">
        <f t="shared" si="13"/>
        <v>0.7</v>
      </c>
      <c r="J134">
        <f t="shared" si="14"/>
        <v>1.3435700575815737E-3</v>
      </c>
      <c r="K134">
        <f t="shared" si="15"/>
        <v>0.36391554702494633</v>
      </c>
      <c r="L134" s="11">
        <f t="shared" si="16"/>
        <v>3.6919831223629265E-3</v>
      </c>
      <c r="M134">
        <f t="shared" si="17"/>
        <v>2.9836349307956388E-2</v>
      </c>
    </row>
    <row r="135" spans="1:13" ht="15">
      <c r="A135" t="s">
        <v>537</v>
      </c>
      <c r="B135" s="1" t="s">
        <v>204</v>
      </c>
      <c r="C135" t="s">
        <v>718</v>
      </c>
      <c r="D135">
        <f t="shared" si="12"/>
        <v>1.9193857965451055E-3</v>
      </c>
      <c r="F135">
        <v>0.85</v>
      </c>
      <c r="G135">
        <v>0.85</v>
      </c>
      <c r="H135">
        <f t="shared" si="13"/>
        <v>0.7</v>
      </c>
      <c r="J135">
        <f t="shared" si="14"/>
        <v>1.3435700575815737E-3</v>
      </c>
      <c r="K135">
        <f t="shared" si="15"/>
        <v>0.36391554702494633</v>
      </c>
      <c r="L135" s="11">
        <f t="shared" si="16"/>
        <v>3.6919831223629265E-3</v>
      </c>
      <c r="M135">
        <f t="shared" si="17"/>
        <v>2.9836349307956388E-2</v>
      </c>
    </row>
    <row r="136" spans="1:13" ht="15">
      <c r="A136" t="s">
        <v>538</v>
      </c>
      <c r="B136" s="1" t="s">
        <v>144</v>
      </c>
      <c r="C136" t="s">
        <v>709</v>
      </c>
      <c r="D136">
        <f t="shared" si="12"/>
        <v>1.9193857965451055E-3</v>
      </c>
      <c r="F136">
        <v>0.83</v>
      </c>
      <c r="G136">
        <v>0.83</v>
      </c>
      <c r="H136">
        <f t="shared" si="13"/>
        <v>0.7</v>
      </c>
      <c r="J136">
        <f t="shared" si="14"/>
        <v>1.3435700575815737E-3</v>
      </c>
      <c r="K136">
        <f t="shared" si="15"/>
        <v>0.36391554702494633</v>
      </c>
      <c r="L136" s="11">
        <f t="shared" si="16"/>
        <v>3.6919831223629265E-3</v>
      </c>
      <c r="M136">
        <f t="shared" si="17"/>
        <v>2.9836349307956388E-2</v>
      </c>
    </row>
    <row r="137" spans="1:13" ht="15">
      <c r="A137" t="s">
        <v>536</v>
      </c>
      <c r="B137" s="1" t="s">
        <v>430</v>
      </c>
      <c r="C137" t="s">
        <v>970</v>
      </c>
      <c r="D137">
        <f t="shared" si="12"/>
        <v>1.9193857965451055E-3</v>
      </c>
      <c r="F137">
        <v>0.83</v>
      </c>
      <c r="G137">
        <v>0.83</v>
      </c>
      <c r="H137">
        <f t="shared" si="13"/>
        <v>0.7</v>
      </c>
      <c r="J137">
        <f t="shared" si="14"/>
        <v>1.3435700575815737E-3</v>
      </c>
      <c r="K137">
        <f t="shared" si="15"/>
        <v>0.36391554702494633</v>
      </c>
      <c r="L137" s="11">
        <f t="shared" si="16"/>
        <v>3.6919831223629265E-3</v>
      </c>
      <c r="M137">
        <f t="shared" si="17"/>
        <v>2.9836349307956388E-2</v>
      </c>
    </row>
    <row r="138" spans="1:13" ht="15">
      <c r="A138" t="s">
        <v>536</v>
      </c>
      <c r="B138" s="1" t="s">
        <v>483</v>
      </c>
      <c r="C138" t="s">
        <v>581</v>
      </c>
      <c r="D138">
        <f t="shared" si="12"/>
        <v>1.9193857965451055E-3</v>
      </c>
      <c r="F138">
        <v>0.83</v>
      </c>
      <c r="G138">
        <v>0.83</v>
      </c>
      <c r="H138">
        <f t="shared" si="13"/>
        <v>0.7</v>
      </c>
      <c r="J138">
        <f t="shared" si="14"/>
        <v>1.3435700575815737E-3</v>
      </c>
      <c r="K138">
        <f t="shared" si="15"/>
        <v>0.36391554702494633</v>
      </c>
      <c r="L138" s="11">
        <f t="shared" si="16"/>
        <v>3.6919831223629265E-3</v>
      </c>
      <c r="M138">
        <f t="shared" si="17"/>
        <v>2.9836349307956388E-2</v>
      </c>
    </row>
    <row r="139" spans="1:13" ht="15">
      <c r="A139" t="s">
        <v>537</v>
      </c>
      <c r="B139" s="1" t="s">
        <v>185</v>
      </c>
      <c r="C139" t="s">
        <v>711</v>
      </c>
      <c r="D139">
        <f t="shared" si="12"/>
        <v>1.9193857965451055E-3</v>
      </c>
      <c r="F139">
        <v>0.81</v>
      </c>
      <c r="G139">
        <v>0.81</v>
      </c>
      <c r="H139">
        <f t="shared" si="13"/>
        <v>0.7</v>
      </c>
      <c r="J139">
        <f t="shared" si="14"/>
        <v>1.3435700575815737E-3</v>
      </c>
      <c r="K139">
        <f t="shared" si="15"/>
        <v>0.36391554702494633</v>
      </c>
      <c r="L139" s="11">
        <f t="shared" si="16"/>
        <v>3.6919831223629265E-3</v>
      </c>
      <c r="M139">
        <f t="shared" si="17"/>
        <v>2.9836349307956388E-2</v>
      </c>
    </row>
    <row r="140" spans="1:13" ht="15">
      <c r="A140" t="s">
        <v>536</v>
      </c>
      <c r="B140" s="1" t="s">
        <v>442</v>
      </c>
      <c r="C140" t="s">
        <v>725</v>
      </c>
      <c r="D140">
        <f t="shared" si="12"/>
        <v>1.9193857965451055E-3</v>
      </c>
      <c r="F140">
        <v>0.81</v>
      </c>
      <c r="G140">
        <v>0.81</v>
      </c>
      <c r="H140">
        <f t="shared" si="13"/>
        <v>0.7</v>
      </c>
      <c r="J140">
        <f t="shared" si="14"/>
        <v>1.3435700575815737E-3</v>
      </c>
      <c r="K140">
        <f t="shared" si="15"/>
        <v>0.36391554702494633</v>
      </c>
      <c r="L140" s="11">
        <f t="shared" si="16"/>
        <v>3.6919831223629265E-3</v>
      </c>
      <c r="M140">
        <f t="shared" si="17"/>
        <v>2.9836349307956388E-2</v>
      </c>
    </row>
    <row r="141" spans="1:13" ht="15">
      <c r="A141" t="s">
        <v>535</v>
      </c>
      <c r="B141" s="1" t="s">
        <v>322</v>
      </c>
      <c r="C141" t="s">
        <v>895</v>
      </c>
      <c r="D141">
        <f t="shared" si="12"/>
        <v>1.9193857965451055E-3</v>
      </c>
      <c r="F141">
        <v>0.8</v>
      </c>
      <c r="G141">
        <v>0.8</v>
      </c>
      <c r="H141">
        <f t="shared" si="13"/>
        <v>0.7</v>
      </c>
      <c r="J141">
        <f t="shared" si="14"/>
        <v>1.3435700575815737E-3</v>
      </c>
      <c r="K141">
        <f t="shared" si="15"/>
        <v>0.36391554702494633</v>
      </c>
      <c r="L141" s="11">
        <f t="shared" si="16"/>
        <v>3.6919831223629265E-3</v>
      </c>
      <c r="M141">
        <f t="shared" si="17"/>
        <v>2.9836349307956388E-2</v>
      </c>
    </row>
    <row r="142" spans="1:13" ht="15">
      <c r="A142" t="s">
        <v>534</v>
      </c>
      <c r="B142" s="1" t="s">
        <v>102</v>
      </c>
      <c r="C142" t="s">
        <v>971</v>
      </c>
      <c r="D142">
        <f t="shared" si="12"/>
        <v>1.9193857965451055E-3</v>
      </c>
      <c r="F142">
        <v>0.79</v>
      </c>
      <c r="G142">
        <v>0.79</v>
      </c>
      <c r="H142">
        <f t="shared" si="13"/>
        <v>0.7</v>
      </c>
      <c r="J142">
        <f t="shared" si="14"/>
        <v>1.3435700575815737E-3</v>
      </c>
      <c r="K142">
        <f t="shared" si="15"/>
        <v>0.36391554702494633</v>
      </c>
      <c r="L142" s="11">
        <f t="shared" si="16"/>
        <v>3.6919831223629265E-3</v>
      </c>
      <c r="M142">
        <f t="shared" si="17"/>
        <v>2.9836349307956388E-2</v>
      </c>
    </row>
    <row r="143" spans="1:13" ht="15">
      <c r="A143" t="s">
        <v>536</v>
      </c>
      <c r="B143" s="1" t="s">
        <v>461</v>
      </c>
      <c r="C143" t="s">
        <v>729</v>
      </c>
      <c r="D143">
        <f t="shared" si="12"/>
        <v>1.9193857965451055E-3</v>
      </c>
      <c r="F143">
        <v>0.78</v>
      </c>
      <c r="G143">
        <v>0.78</v>
      </c>
      <c r="H143">
        <f t="shared" si="13"/>
        <v>0.7</v>
      </c>
      <c r="J143">
        <f t="shared" si="14"/>
        <v>1.3435700575815737E-3</v>
      </c>
      <c r="K143">
        <f t="shared" si="15"/>
        <v>0.36391554702494633</v>
      </c>
      <c r="L143" s="11">
        <f t="shared" si="16"/>
        <v>3.6919831223629265E-3</v>
      </c>
      <c r="M143">
        <f t="shared" si="17"/>
        <v>2.9836349307956388E-2</v>
      </c>
    </row>
    <row r="144" spans="1:13" ht="15">
      <c r="A144" t="s">
        <v>542</v>
      </c>
      <c r="B144" s="1" t="s">
        <v>497</v>
      </c>
      <c r="C144" t="s">
        <v>694</v>
      </c>
      <c r="D144">
        <f t="shared" si="12"/>
        <v>1.9193857965451055E-3</v>
      </c>
      <c r="F144">
        <v>0.75</v>
      </c>
      <c r="G144">
        <v>0.75</v>
      </c>
      <c r="H144">
        <f t="shared" si="13"/>
        <v>0.7</v>
      </c>
      <c r="J144">
        <f t="shared" si="14"/>
        <v>1.3435700575815737E-3</v>
      </c>
      <c r="K144">
        <f t="shared" si="15"/>
        <v>0.36391554702494633</v>
      </c>
      <c r="L144" s="11">
        <f t="shared" si="16"/>
        <v>3.6919831223629265E-3</v>
      </c>
      <c r="M144">
        <f t="shared" si="17"/>
        <v>2.9836349307956388E-2</v>
      </c>
    </row>
    <row r="145" spans="1:13" ht="15">
      <c r="A145" t="s">
        <v>534</v>
      </c>
      <c r="B145" s="1" t="s">
        <v>103</v>
      </c>
      <c r="C145" t="s">
        <v>972</v>
      </c>
      <c r="D145">
        <f t="shared" si="12"/>
        <v>1.9193857965451055E-3</v>
      </c>
      <c r="F145">
        <v>0.75</v>
      </c>
      <c r="G145">
        <v>0.75</v>
      </c>
      <c r="H145">
        <f t="shared" si="13"/>
        <v>0.7</v>
      </c>
      <c r="J145">
        <f t="shared" si="14"/>
        <v>1.3435700575815737E-3</v>
      </c>
      <c r="K145">
        <f t="shared" si="15"/>
        <v>0.36391554702494633</v>
      </c>
      <c r="L145" s="11">
        <f t="shared" si="16"/>
        <v>3.6919831223629265E-3</v>
      </c>
      <c r="M145">
        <f t="shared" si="17"/>
        <v>2.9836349307956388E-2</v>
      </c>
    </row>
    <row r="146" spans="1:13" ht="15">
      <c r="A146" t="s">
        <v>534</v>
      </c>
      <c r="B146" s="1" t="s">
        <v>121</v>
      </c>
      <c r="C146" t="s">
        <v>973</v>
      </c>
      <c r="D146">
        <f t="shared" si="12"/>
        <v>1.9193857965451055E-3</v>
      </c>
      <c r="F146">
        <v>0.74</v>
      </c>
      <c r="G146">
        <v>0.74</v>
      </c>
      <c r="H146">
        <f t="shared" si="13"/>
        <v>0.7</v>
      </c>
      <c r="J146">
        <f t="shared" si="14"/>
        <v>1.3435700575815737E-3</v>
      </c>
      <c r="K146">
        <f t="shared" si="15"/>
        <v>0.36391554702494633</v>
      </c>
      <c r="L146" s="11">
        <f t="shared" si="16"/>
        <v>3.6919831223629265E-3</v>
      </c>
      <c r="M146">
        <f t="shared" si="17"/>
        <v>2.9836349307956388E-2</v>
      </c>
    </row>
    <row r="147" spans="1:13" ht="15">
      <c r="A147" t="s">
        <v>542</v>
      </c>
      <c r="B147" s="1" t="s">
        <v>510</v>
      </c>
      <c r="C147" t="s">
        <v>699</v>
      </c>
      <c r="D147">
        <f t="shared" si="12"/>
        <v>1.9193857965451055E-3</v>
      </c>
      <c r="F147">
        <v>0.73</v>
      </c>
      <c r="G147">
        <v>0.73</v>
      </c>
      <c r="H147">
        <f t="shared" si="13"/>
        <v>0.7</v>
      </c>
      <c r="J147">
        <f t="shared" si="14"/>
        <v>1.3435700575815737E-3</v>
      </c>
      <c r="K147">
        <f t="shared" si="15"/>
        <v>0.36391554702494633</v>
      </c>
      <c r="L147" s="11">
        <f t="shared" si="16"/>
        <v>3.6919831223629265E-3</v>
      </c>
      <c r="M147">
        <f t="shared" si="17"/>
        <v>2.9836349307956388E-2</v>
      </c>
    </row>
    <row r="148" spans="1:13" ht="15">
      <c r="A148" t="s">
        <v>542</v>
      </c>
      <c r="B148" s="1" t="s">
        <v>505</v>
      </c>
      <c r="C148" t="s">
        <v>701</v>
      </c>
      <c r="D148">
        <f t="shared" si="12"/>
        <v>1.9193857965451055E-3</v>
      </c>
      <c r="F148">
        <v>0.73</v>
      </c>
      <c r="G148">
        <v>0.73</v>
      </c>
      <c r="H148">
        <f t="shared" si="13"/>
        <v>0.7</v>
      </c>
      <c r="J148">
        <f t="shared" si="14"/>
        <v>1.3435700575815737E-3</v>
      </c>
      <c r="K148">
        <f t="shared" si="15"/>
        <v>0.36391554702494633</v>
      </c>
      <c r="L148" s="11">
        <f t="shared" si="16"/>
        <v>3.6919831223629265E-3</v>
      </c>
      <c r="M148">
        <f t="shared" si="17"/>
        <v>2.9836349307956388E-2</v>
      </c>
    </row>
    <row r="149" spans="1:13" ht="15">
      <c r="A149" t="s">
        <v>537</v>
      </c>
      <c r="B149" s="1" t="s">
        <v>166</v>
      </c>
      <c r="C149" t="s">
        <v>707</v>
      </c>
      <c r="D149">
        <f t="shared" si="12"/>
        <v>1.9193857965451055E-3</v>
      </c>
      <c r="F149">
        <v>0.73</v>
      </c>
      <c r="G149">
        <v>0.73</v>
      </c>
      <c r="H149">
        <f t="shared" si="13"/>
        <v>0.7</v>
      </c>
      <c r="J149">
        <f t="shared" si="14"/>
        <v>1.3435700575815737E-3</v>
      </c>
      <c r="K149">
        <f t="shared" si="15"/>
        <v>0.36391554702494633</v>
      </c>
      <c r="L149" s="11">
        <f t="shared" si="16"/>
        <v>3.6919831223629265E-3</v>
      </c>
      <c r="M149">
        <f t="shared" si="17"/>
        <v>2.9836349307956388E-2</v>
      </c>
    </row>
    <row r="150" spans="1:13" ht="15">
      <c r="A150" t="s">
        <v>524</v>
      </c>
      <c r="B150" s="1" t="s">
        <v>4</v>
      </c>
      <c r="C150" t="s">
        <v>697</v>
      </c>
      <c r="D150">
        <f t="shared" si="12"/>
        <v>1.9193857965451055E-3</v>
      </c>
      <c r="F150">
        <v>0.72</v>
      </c>
      <c r="G150">
        <v>0.72</v>
      </c>
      <c r="H150">
        <f t="shared" si="13"/>
        <v>0.7</v>
      </c>
      <c r="J150">
        <f t="shared" si="14"/>
        <v>1.3435700575815737E-3</v>
      </c>
      <c r="K150">
        <f t="shared" si="15"/>
        <v>0.36391554702494633</v>
      </c>
      <c r="L150" s="11">
        <f t="shared" si="16"/>
        <v>3.6919831223629265E-3</v>
      </c>
      <c r="M150">
        <f t="shared" si="17"/>
        <v>2.9836349307956388E-2</v>
      </c>
    </row>
    <row r="151" spans="1:13" ht="15">
      <c r="A151" t="s">
        <v>540</v>
      </c>
      <c r="B151" s="1" t="s">
        <v>265</v>
      </c>
      <c r="C151" t="s">
        <v>583</v>
      </c>
      <c r="D151">
        <f t="shared" si="12"/>
        <v>1.9193857965451055E-3</v>
      </c>
      <c r="F151">
        <v>0.72</v>
      </c>
      <c r="G151">
        <v>0.72</v>
      </c>
      <c r="H151">
        <f t="shared" si="13"/>
        <v>0.7</v>
      </c>
      <c r="J151">
        <f t="shared" si="14"/>
        <v>1.3435700575815737E-3</v>
      </c>
      <c r="K151">
        <f t="shared" si="15"/>
        <v>0.36391554702494633</v>
      </c>
      <c r="L151" s="11">
        <f t="shared" si="16"/>
        <v>3.6919831223629265E-3</v>
      </c>
      <c r="M151">
        <f t="shared" si="17"/>
        <v>2.9836349307956388E-2</v>
      </c>
    </row>
    <row r="152" spans="1:13" ht="15">
      <c r="A152" t="s">
        <v>542</v>
      </c>
      <c r="B152" s="1" t="s">
        <v>508</v>
      </c>
      <c r="C152" t="s">
        <v>582</v>
      </c>
      <c r="D152">
        <f t="shared" si="12"/>
        <v>1.9193857965451055E-3</v>
      </c>
      <c r="F152">
        <v>0.72</v>
      </c>
      <c r="G152">
        <v>0.72</v>
      </c>
      <c r="H152">
        <f t="shared" si="13"/>
        <v>0.7</v>
      </c>
      <c r="J152">
        <f t="shared" si="14"/>
        <v>1.3435700575815737E-3</v>
      </c>
      <c r="K152">
        <f t="shared" si="15"/>
        <v>0.36391554702494633</v>
      </c>
      <c r="L152" s="11">
        <f t="shared" si="16"/>
        <v>3.6919831223629265E-3</v>
      </c>
      <c r="M152">
        <f t="shared" si="17"/>
        <v>2.9836349307956388E-2</v>
      </c>
    </row>
    <row r="153" spans="1:13" ht="15">
      <c r="A153" t="s">
        <v>540</v>
      </c>
      <c r="B153" s="1" t="s">
        <v>233</v>
      </c>
      <c r="C153" t="s">
        <v>714</v>
      </c>
      <c r="D153">
        <f t="shared" si="12"/>
        <v>1.9193857965451055E-3</v>
      </c>
      <c r="F153">
        <v>0.71</v>
      </c>
      <c r="G153">
        <v>0.71</v>
      </c>
      <c r="H153">
        <f t="shared" si="13"/>
        <v>0.7</v>
      </c>
      <c r="J153">
        <f t="shared" si="14"/>
        <v>1.3435700575815737E-3</v>
      </c>
      <c r="K153">
        <f t="shared" si="15"/>
        <v>0.36391554702494633</v>
      </c>
      <c r="L153" s="11">
        <f t="shared" si="16"/>
        <v>3.6919831223629265E-3</v>
      </c>
      <c r="M153">
        <f t="shared" si="17"/>
        <v>2.9836349307956388E-2</v>
      </c>
    </row>
    <row r="154" spans="1:13" ht="15">
      <c r="A154" t="s">
        <v>539</v>
      </c>
      <c r="B154" s="1" t="s">
        <v>311</v>
      </c>
      <c r="C154" t="s">
        <v>727</v>
      </c>
      <c r="D154">
        <f t="shared" si="12"/>
        <v>1.9193857965451055E-3</v>
      </c>
      <c r="F154">
        <v>0.71</v>
      </c>
      <c r="G154">
        <v>0.71</v>
      </c>
      <c r="H154">
        <f t="shared" si="13"/>
        <v>0.7</v>
      </c>
      <c r="J154">
        <f t="shared" si="14"/>
        <v>1.3435700575815737E-3</v>
      </c>
      <c r="K154">
        <f t="shared" si="15"/>
        <v>0.36391554702494633</v>
      </c>
      <c r="L154" s="11">
        <f t="shared" si="16"/>
        <v>3.6919831223629265E-3</v>
      </c>
      <c r="M154">
        <f t="shared" si="17"/>
        <v>2.9836349307956388E-2</v>
      </c>
    </row>
    <row r="155" spans="1:13" ht="15">
      <c r="A155" t="s">
        <v>534</v>
      </c>
      <c r="B155" s="1" t="s">
        <v>84</v>
      </c>
      <c r="C155" t="s">
        <v>720</v>
      </c>
      <c r="D155">
        <f t="shared" si="12"/>
        <v>1.9193857965451055E-3</v>
      </c>
      <c r="F155">
        <v>0.7</v>
      </c>
      <c r="G155">
        <v>0.7</v>
      </c>
      <c r="H155">
        <f t="shared" si="13"/>
        <v>0.7</v>
      </c>
      <c r="J155">
        <f t="shared" si="14"/>
        <v>1.3435700575815737E-3</v>
      </c>
      <c r="K155">
        <f t="shared" si="15"/>
        <v>0.36391554702494633</v>
      </c>
      <c r="L155" s="11">
        <f t="shared" si="16"/>
        <v>3.6919831223629265E-3</v>
      </c>
      <c r="M155">
        <f t="shared" si="17"/>
        <v>2.9836349307956388E-2</v>
      </c>
    </row>
    <row r="156" spans="1:13" ht="15">
      <c r="A156" t="s">
        <v>524</v>
      </c>
      <c r="B156" s="1" t="s">
        <v>41</v>
      </c>
      <c r="C156" t="s">
        <v>974</v>
      </c>
      <c r="D156">
        <f t="shared" si="12"/>
        <v>1.9193857965451055E-3</v>
      </c>
      <c r="F156">
        <v>0.7</v>
      </c>
      <c r="G156">
        <v>0.7</v>
      </c>
      <c r="H156">
        <f t="shared" si="13"/>
        <v>0.7</v>
      </c>
      <c r="J156">
        <f t="shared" si="14"/>
        <v>1.3435700575815737E-3</v>
      </c>
      <c r="K156">
        <f t="shared" si="15"/>
        <v>0.36391554702494633</v>
      </c>
      <c r="L156" s="11">
        <f t="shared" si="16"/>
        <v>3.6919831223629265E-3</v>
      </c>
      <c r="M156">
        <f t="shared" si="17"/>
        <v>2.9836349307956388E-2</v>
      </c>
    </row>
    <row r="157" spans="1:13" ht="15">
      <c r="A157" t="s">
        <v>534</v>
      </c>
      <c r="B157" s="1" t="s">
        <v>65</v>
      </c>
      <c r="C157" t="s">
        <v>704</v>
      </c>
      <c r="D157">
        <f t="shared" si="12"/>
        <v>1.9193857965451055E-3</v>
      </c>
      <c r="F157">
        <v>0.69</v>
      </c>
      <c r="G157">
        <v>0.69</v>
      </c>
      <c r="H157">
        <f t="shared" si="13"/>
        <v>0.7</v>
      </c>
      <c r="J157">
        <f t="shared" si="14"/>
        <v>1.3435700575815737E-3</v>
      </c>
      <c r="K157">
        <f t="shared" si="15"/>
        <v>0.36391554702494633</v>
      </c>
      <c r="L157" s="11">
        <f t="shared" si="16"/>
        <v>3.6919831223629265E-3</v>
      </c>
      <c r="M157">
        <f t="shared" si="17"/>
        <v>2.9836349307956388E-2</v>
      </c>
    </row>
    <row r="158" spans="1:13" ht="15">
      <c r="A158" t="s">
        <v>536</v>
      </c>
      <c r="B158" s="1" t="s">
        <v>441</v>
      </c>
      <c r="C158" t="s">
        <v>723</v>
      </c>
      <c r="D158">
        <f t="shared" si="12"/>
        <v>1.9193857965451055E-3</v>
      </c>
      <c r="F158">
        <v>0.69</v>
      </c>
      <c r="G158">
        <v>0.69</v>
      </c>
      <c r="H158">
        <f t="shared" si="13"/>
        <v>0.7</v>
      </c>
      <c r="J158">
        <f t="shared" si="14"/>
        <v>1.3435700575815737E-3</v>
      </c>
      <c r="K158">
        <f t="shared" si="15"/>
        <v>0.36391554702494633</v>
      </c>
      <c r="L158" s="11">
        <f t="shared" si="16"/>
        <v>3.6919831223629265E-3</v>
      </c>
      <c r="M158">
        <f t="shared" si="17"/>
        <v>2.9836349307956388E-2</v>
      </c>
    </row>
    <row r="159" spans="1:13" ht="15">
      <c r="A159" t="s">
        <v>539</v>
      </c>
      <c r="B159" s="1" t="s">
        <v>298</v>
      </c>
      <c r="C159" t="s">
        <v>703</v>
      </c>
      <c r="D159">
        <f t="shared" si="12"/>
        <v>1.9193857965451055E-3</v>
      </c>
      <c r="F159">
        <v>0.68</v>
      </c>
      <c r="G159">
        <v>0.68</v>
      </c>
      <c r="H159">
        <f t="shared" si="13"/>
        <v>0.7</v>
      </c>
      <c r="J159">
        <f t="shared" si="14"/>
        <v>1.3435700575815737E-3</v>
      </c>
      <c r="K159">
        <f t="shared" si="15"/>
        <v>0.36391554702494633</v>
      </c>
      <c r="L159" s="11">
        <f t="shared" si="16"/>
        <v>3.6919831223629265E-3</v>
      </c>
      <c r="M159">
        <f t="shared" si="17"/>
        <v>2.9836349307956388E-2</v>
      </c>
    </row>
    <row r="160" spans="1:13" ht="15">
      <c r="A160" t="s">
        <v>542</v>
      </c>
      <c r="B160" s="1" t="s">
        <v>515</v>
      </c>
      <c r="C160" t="s">
        <v>585</v>
      </c>
      <c r="D160">
        <f t="shared" si="12"/>
        <v>1.9193857965451055E-3</v>
      </c>
      <c r="F160">
        <v>0.68</v>
      </c>
      <c r="G160">
        <v>0.68</v>
      </c>
      <c r="H160">
        <f t="shared" si="13"/>
        <v>0.7</v>
      </c>
      <c r="J160">
        <f t="shared" si="14"/>
        <v>1.3435700575815737E-3</v>
      </c>
      <c r="K160">
        <f t="shared" si="15"/>
        <v>0.36391554702494633</v>
      </c>
      <c r="L160" s="11">
        <f t="shared" si="16"/>
        <v>3.6919831223629265E-3</v>
      </c>
      <c r="M160">
        <f t="shared" si="17"/>
        <v>2.9836349307956388E-2</v>
      </c>
    </row>
    <row r="161" spans="1:13" ht="15">
      <c r="A161" t="s">
        <v>534</v>
      </c>
      <c r="B161" s="1" t="s">
        <v>117</v>
      </c>
      <c r="C161" t="s">
        <v>584</v>
      </c>
      <c r="D161">
        <f t="shared" si="12"/>
        <v>1.9193857965451055E-3</v>
      </c>
      <c r="F161">
        <v>0.68</v>
      </c>
      <c r="G161">
        <v>0.68</v>
      </c>
      <c r="H161">
        <f t="shared" si="13"/>
        <v>0.7</v>
      </c>
      <c r="J161">
        <f t="shared" si="14"/>
        <v>1.3435700575815737E-3</v>
      </c>
      <c r="K161">
        <f t="shared" si="15"/>
        <v>0.36391554702494633</v>
      </c>
      <c r="L161" s="11">
        <f t="shared" si="16"/>
        <v>3.6919831223629265E-3</v>
      </c>
      <c r="M161">
        <f t="shared" si="17"/>
        <v>2.9836349307956388E-2</v>
      </c>
    </row>
    <row r="162" spans="1:13" ht="15">
      <c r="A162" t="s">
        <v>542</v>
      </c>
      <c r="B162" s="1" t="s">
        <v>511</v>
      </c>
      <c r="C162" t="s">
        <v>586</v>
      </c>
      <c r="D162">
        <f t="shared" si="12"/>
        <v>1.9193857965451055E-3</v>
      </c>
      <c r="F162">
        <v>0.67</v>
      </c>
      <c r="G162">
        <v>0.67</v>
      </c>
      <c r="H162">
        <f t="shared" si="13"/>
        <v>0.7</v>
      </c>
      <c r="J162">
        <f t="shared" si="14"/>
        <v>1.3435700575815737E-3</v>
      </c>
      <c r="K162">
        <f t="shared" si="15"/>
        <v>0.36391554702494633</v>
      </c>
      <c r="L162" s="11">
        <f t="shared" si="16"/>
        <v>3.6919831223629265E-3</v>
      </c>
      <c r="M162">
        <f t="shared" si="17"/>
        <v>2.9836349307956388E-2</v>
      </c>
    </row>
    <row r="163" spans="1:13" ht="15">
      <c r="A163" t="s">
        <v>541</v>
      </c>
      <c r="B163" s="1" t="s">
        <v>212</v>
      </c>
      <c r="C163" t="s">
        <v>721</v>
      </c>
      <c r="D163">
        <f t="shared" si="12"/>
        <v>1.9193857965451055E-3</v>
      </c>
      <c r="F163">
        <v>0.67</v>
      </c>
      <c r="G163">
        <v>0.67</v>
      </c>
      <c r="H163">
        <f t="shared" si="13"/>
        <v>0.7</v>
      </c>
      <c r="J163">
        <f t="shared" si="14"/>
        <v>1.3435700575815737E-3</v>
      </c>
      <c r="K163">
        <f t="shared" si="15"/>
        <v>0.36391554702494633</v>
      </c>
      <c r="L163" s="11">
        <f t="shared" si="16"/>
        <v>3.6919831223629265E-3</v>
      </c>
      <c r="M163">
        <f t="shared" si="17"/>
        <v>2.9836349307956388E-2</v>
      </c>
    </row>
    <row r="164" spans="1:13" ht="15">
      <c r="A164" t="s">
        <v>537</v>
      </c>
      <c r="B164" s="1" t="s">
        <v>188</v>
      </c>
      <c r="C164" t="s">
        <v>900</v>
      </c>
      <c r="D164">
        <f t="shared" si="12"/>
        <v>1.9193857965451055E-3</v>
      </c>
      <c r="F164">
        <v>0.66</v>
      </c>
      <c r="G164">
        <v>0.66</v>
      </c>
      <c r="H164">
        <f t="shared" si="13"/>
        <v>0.7</v>
      </c>
      <c r="J164">
        <f t="shared" si="14"/>
        <v>1.3435700575815737E-3</v>
      </c>
      <c r="K164">
        <f t="shared" si="15"/>
        <v>0.36391554702494633</v>
      </c>
      <c r="L164" s="11">
        <f t="shared" si="16"/>
        <v>3.6919831223629265E-3</v>
      </c>
      <c r="M164">
        <f t="shared" si="17"/>
        <v>2.9836349307956388E-2</v>
      </c>
    </row>
    <row r="165" spans="1:13" ht="15">
      <c r="A165" t="s">
        <v>534</v>
      </c>
      <c r="B165" s="1" t="s">
        <v>68</v>
      </c>
      <c r="C165" t="s">
        <v>705</v>
      </c>
      <c r="D165">
        <f t="shared" si="12"/>
        <v>1.9193857965451055E-3</v>
      </c>
      <c r="F165">
        <v>0.65</v>
      </c>
      <c r="G165">
        <v>0.65</v>
      </c>
      <c r="H165">
        <f t="shared" si="13"/>
        <v>0.7</v>
      </c>
      <c r="J165">
        <f t="shared" si="14"/>
        <v>1.3435700575815737E-3</v>
      </c>
      <c r="K165">
        <f t="shared" si="15"/>
        <v>0.36391554702494633</v>
      </c>
      <c r="L165" s="11">
        <f t="shared" si="16"/>
        <v>3.6919831223629265E-3</v>
      </c>
      <c r="M165">
        <f t="shared" si="17"/>
        <v>2.9836349307956388E-2</v>
      </c>
    </row>
    <row r="166" spans="1:13" ht="15">
      <c r="A166" t="s">
        <v>539</v>
      </c>
      <c r="B166" s="1" t="s">
        <v>294</v>
      </c>
      <c r="C166" t="s">
        <v>698</v>
      </c>
      <c r="D166">
        <f t="shared" si="12"/>
        <v>1.9193857965451055E-3</v>
      </c>
      <c r="F166">
        <v>0.64</v>
      </c>
      <c r="G166">
        <v>0.64</v>
      </c>
      <c r="H166">
        <f t="shared" si="13"/>
        <v>0.7</v>
      </c>
      <c r="J166">
        <f t="shared" si="14"/>
        <v>1.3435700575815737E-3</v>
      </c>
      <c r="K166">
        <f t="shared" si="15"/>
        <v>0.36391554702494633</v>
      </c>
      <c r="L166" s="11">
        <f t="shared" si="16"/>
        <v>3.6919831223629265E-3</v>
      </c>
      <c r="M166">
        <f t="shared" si="17"/>
        <v>2.9836349307956388E-2</v>
      </c>
    </row>
    <row r="167" spans="1:13" ht="15">
      <c r="A167" t="s">
        <v>536</v>
      </c>
      <c r="B167" s="1" t="s">
        <v>417</v>
      </c>
      <c r="C167" t="s">
        <v>702</v>
      </c>
      <c r="D167">
        <f t="shared" si="12"/>
        <v>1.9193857965451055E-3</v>
      </c>
      <c r="F167">
        <v>0.64</v>
      </c>
      <c r="G167">
        <v>0.64</v>
      </c>
      <c r="H167">
        <f t="shared" si="13"/>
        <v>0.7</v>
      </c>
      <c r="J167">
        <f t="shared" si="14"/>
        <v>1.3435700575815737E-3</v>
      </c>
      <c r="K167">
        <f t="shared" si="15"/>
        <v>0.36391554702494633</v>
      </c>
      <c r="L167" s="11">
        <f t="shared" si="16"/>
        <v>3.6919831223629265E-3</v>
      </c>
      <c r="M167">
        <f t="shared" si="17"/>
        <v>2.9836349307956388E-2</v>
      </c>
    </row>
    <row r="168" spans="1:13" ht="15">
      <c r="A168" t="s">
        <v>540</v>
      </c>
      <c r="B168" s="1" t="s">
        <v>270</v>
      </c>
      <c r="C168" t="s">
        <v>724</v>
      </c>
      <c r="D168">
        <f t="shared" si="12"/>
        <v>1.9193857965451055E-3</v>
      </c>
      <c r="F168">
        <v>0.64</v>
      </c>
      <c r="G168">
        <v>0.64</v>
      </c>
      <c r="H168">
        <f t="shared" si="13"/>
        <v>0.7</v>
      </c>
      <c r="J168">
        <f t="shared" si="14"/>
        <v>1.3435700575815737E-3</v>
      </c>
      <c r="K168">
        <f t="shared" si="15"/>
        <v>0.36391554702494633</v>
      </c>
      <c r="L168" s="11">
        <f t="shared" si="16"/>
        <v>3.6919831223629265E-3</v>
      </c>
      <c r="M168">
        <f t="shared" si="17"/>
        <v>2.9836349307956388E-2</v>
      </c>
    </row>
    <row r="169" spans="1:13" ht="15">
      <c r="A169" t="s">
        <v>524</v>
      </c>
      <c r="B169" s="1" t="s">
        <v>5</v>
      </c>
      <c r="C169" t="s">
        <v>706</v>
      </c>
      <c r="D169">
        <f t="shared" si="12"/>
        <v>1.9193857965451055E-3</v>
      </c>
      <c r="F169">
        <v>0.63</v>
      </c>
      <c r="G169">
        <v>0.63</v>
      </c>
      <c r="H169">
        <f t="shared" si="13"/>
        <v>0.7</v>
      </c>
      <c r="J169">
        <f t="shared" si="14"/>
        <v>1.3435700575815737E-3</v>
      </c>
      <c r="K169">
        <f t="shared" si="15"/>
        <v>0.36391554702494633</v>
      </c>
      <c r="L169" s="11">
        <f t="shared" si="16"/>
        <v>3.6919831223629265E-3</v>
      </c>
      <c r="M169">
        <f t="shared" si="17"/>
        <v>2.9836349307956388E-2</v>
      </c>
    </row>
    <row r="170" spans="1:13" ht="15">
      <c r="A170" t="s">
        <v>540</v>
      </c>
      <c r="B170" s="1" t="s">
        <v>240</v>
      </c>
      <c r="C170" t="s">
        <v>975</v>
      </c>
      <c r="D170">
        <f t="shared" si="12"/>
        <v>1.9193857965451055E-3</v>
      </c>
      <c r="F170">
        <v>0.63</v>
      </c>
      <c r="G170">
        <v>0.63</v>
      </c>
      <c r="H170">
        <f t="shared" si="13"/>
        <v>0.7</v>
      </c>
      <c r="J170">
        <f t="shared" si="14"/>
        <v>1.3435700575815737E-3</v>
      </c>
      <c r="K170">
        <f t="shared" si="15"/>
        <v>0.36391554702494633</v>
      </c>
      <c r="L170" s="11">
        <f t="shared" si="16"/>
        <v>3.6919831223629265E-3</v>
      </c>
      <c r="M170">
        <f t="shared" si="17"/>
        <v>2.9836349307956388E-2</v>
      </c>
    </row>
    <row r="171" spans="1:13" ht="15">
      <c r="A171" t="s">
        <v>524</v>
      </c>
      <c r="B171" s="1" t="s">
        <v>3</v>
      </c>
      <c r="C171" t="s">
        <v>696</v>
      </c>
      <c r="D171">
        <f t="shared" si="12"/>
        <v>1.9193857965451055E-3</v>
      </c>
      <c r="F171">
        <v>0.62</v>
      </c>
      <c r="G171">
        <v>0.62</v>
      </c>
      <c r="H171">
        <f t="shared" si="13"/>
        <v>0.7</v>
      </c>
      <c r="J171">
        <f t="shared" si="14"/>
        <v>1.3435700575815737E-3</v>
      </c>
      <c r="K171">
        <f t="shared" si="15"/>
        <v>0.36391554702494633</v>
      </c>
      <c r="L171" s="11">
        <f t="shared" si="16"/>
        <v>3.6919831223629265E-3</v>
      </c>
      <c r="M171">
        <f t="shared" si="17"/>
        <v>2.9836349307956388E-2</v>
      </c>
    </row>
    <row r="172" spans="1:13" ht="15">
      <c r="A172" t="s">
        <v>537</v>
      </c>
      <c r="B172" s="1" t="s">
        <v>179</v>
      </c>
      <c r="C172" t="s">
        <v>976</v>
      </c>
      <c r="D172">
        <f t="shared" si="12"/>
        <v>1.9193857965451055E-3</v>
      </c>
      <c r="F172">
        <v>0.62</v>
      </c>
      <c r="G172">
        <v>0.62</v>
      </c>
      <c r="H172">
        <f t="shared" si="13"/>
        <v>0.7</v>
      </c>
      <c r="J172">
        <f t="shared" si="14"/>
        <v>1.3435700575815737E-3</v>
      </c>
      <c r="K172">
        <f t="shared" si="15"/>
        <v>0.36391554702494633</v>
      </c>
      <c r="L172" s="11">
        <f t="shared" si="16"/>
        <v>3.6919831223629265E-3</v>
      </c>
      <c r="M172">
        <f t="shared" si="17"/>
        <v>2.9836349307956388E-2</v>
      </c>
    </row>
    <row r="173" spans="1:13" ht="15">
      <c r="A173" t="s">
        <v>540</v>
      </c>
      <c r="B173" s="1" t="s">
        <v>234</v>
      </c>
      <c r="C173" t="s">
        <v>715</v>
      </c>
      <c r="D173">
        <f t="shared" si="12"/>
        <v>1.9193857965451055E-3</v>
      </c>
      <c r="F173">
        <v>0.61</v>
      </c>
      <c r="G173">
        <v>0.61</v>
      </c>
      <c r="H173">
        <f t="shared" si="13"/>
        <v>0.7</v>
      </c>
      <c r="J173">
        <f t="shared" si="14"/>
        <v>1.3435700575815737E-3</v>
      </c>
      <c r="K173">
        <f t="shared" si="15"/>
        <v>0.36391554702494633</v>
      </c>
      <c r="L173" s="11">
        <f t="shared" si="16"/>
        <v>3.6919831223629265E-3</v>
      </c>
      <c r="M173">
        <f t="shared" si="17"/>
        <v>2.9836349307956388E-2</v>
      </c>
    </row>
    <row r="174" spans="1:13" ht="15">
      <c r="A174" t="s">
        <v>540</v>
      </c>
      <c r="B174" s="1" t="s">
        <v>246</v>
      </c>
      <c r="C174" t="s">
        <v>717</v>
      </c>
      <c r="D174">
        <f t="shared" si="12"/>
        <v>1.9193857965451055E-3</v>
      </c>
      <c r="F174">
        <v>0.61</v>
      </c>
      <c r="G174">
        <v>0.61</v>
      </c>
      <c r="H174">
        <f t="shared" si="13"/>
        <v>0.7</v>
      </c>
      <c r="J174">
        <f t="shared" si="14"/>
        <v>1.3435700575815737E-3</v>
      </c>
      <c r="K174">
        <f t="shared" si="15"/>
        <v>0.36391554702494633</v>
      </c>
      <c r="L174" s="11">
        <f t="shared" si="16"/>
        <v>3.6919831223629265E-3</v>
      </c>
      <c r="M174">
        <f t="shared" si="17"/>
        <v>2.9836349307956388E-2</v>
      </c>
    </row>
    <row r="175" spans="1:13" ht="15">
      <c r="A175" t="s">
        <v>536</v>
      </c>
      <c r="B175" s="1" t="s">
        <v>440</v>
      </c>
      <c r="C175" t="s">
        <v>722</v>
      </c>
      <c r="D175">
        <f t="shared" si="12"/>
        <v>1.9193857965451055E-3</v>
      </c>
      <c r="F175">
        <v>0.61</v>
      </c>
      <c r="G175">
        <v>0.61</v>
      </c>
      <c r="H175">
        <f t="shared" si="13"/>
        <v>0.7</v>
      </c>
      <c r="J175">
        <f t="shared" si="14"/>
        <v>1.3435700575815737E-3</v>
      </c>
      <c r="K175">
        <f t="shared" si="15"/>
        <v>0.36391554702494633</v>
      </c>
      <c r="L175" s="11">
        <f t="shared" si="16"/>
        <v>3.6919831223629265E-3</v>
      </c>
      <c r="M175">
        <f t="shared" si="17"/>
        <v>2.9836349307956388E-2</v>
      </c>
    </row>
    <row r="176" spans="1:13" ht="15">
      <c r="A176" t="s">
        <v>534</v>
      </c>
      <c r="B176" s="1" t="s">
        <v>64</v>
      </c>
      <c r="C176" t="s">
        <v>587</v>
      </c>
      <c r="D176">
        <f t="shared" si="12"/>
        <v>1.9193857965451055E-3</v>
      </c>
      <c r="F176">
        <v>0.6</v>
      </c>
      <c r="G176">
        <v>0.6</v>
      </c>
      <c r="H176">
        <f t="shared" si="13"/>
        <v>0.7</v>
      </c>
      <c r="J176">
        <f t="shared" si="14"/>
        <v>1.3435700575815737E-3</v>
      </c>
      <c r="K176">
        <f t="shared" si="15"/>
        <v>0.36391554702494633</v>
      </c>
      <c r="L176" s="11">
        <f t="shared" si="16"/>
        <v>3.6919831223629265E-3</v>
      </c>
      <c r="M176">
        <f t="shared" si="17"/>
        <v>2.9836349307956388E-2</v>
      </c>
    </row>
    <row r="177" spans="1:13" ht="15">
      <c r="A177" t="s">
        <v>535</v>
      </c>
      <c r="B177" s="1" t="s">
        <v>368</v>
      </c>
      <c r="C177" t="s">
        <v>712</v>
      </c>
      <c r="D177">
        <f t="shared" si="12"/>
        <v>1.9193857965451055E-3</v>
      </c>
      <c r="F177">
        <v>0.6</v>
      </c>
      <c r="G177">
        <v>0.6</v>
      </c>
      <c r="H177">
        <f t="shared" si="13"/>
        <v>0.7</v>
      </c>
      <c r="J177">
        <f t="shared" si="14"/>
        <v>1.3435700575815737E-3</v>
      </c>
      <c r="K177">
        <f t="shared" si="15"/>
        <v>0.36391554702494633</v>
      </c>
      <c r="L177" s="11">
        <f t="shared" si="16"/>
        <v>3.6919831223629265E-3</v>
      </c>
      <c r="M177">
        <f t="shared" si="17"/>
        <v>2.9836349307956388E-2</v>
      </c>
    </row>
    <row r="178" spans="1:13" ht="15">
      <c r="A178" t="s">
        <v>539</v>
      </c>
      <c r="B178" s="1" t="s">
        <v>307</v>
      </c>
      <c r="C178" t="s">
        <v>713</v>
      </c>
      <c r="D178">
        <f t="shared" si="12"/>
        <v>1.9193857965451055E-3</v>
      </c>
      <c r="F178">
        <v>0.6</v>
      </c>
      <c r="G178">
        <v>0.6</v>
      </c>
      <c r="H178">
        <f t="shared" si="13"/>
        <v>0.7</v>
      </c>
      <c r="J178">
        <f t="shared" si="14"/>
        <v>1.3435700575815737E-3</v>
      </c>
      <c r="K178">
        <f t="shared" si="15"/>
        <v>0.36391554702494633</v>
      </c>
      <c r="L178" s="11">
        <f t="shared" si="16"/>
        <v>3.6919831223629265E-3</v>
      </c>
      <c r="M178">
        <f t="shared" si="17"/>
        <v>2.9836349307956388E-2</v>
      </c>
    </row>
    <row r="179" spans="1:13" ht="15">
      <c r="A179" t="s">
        <v>536</v>
      </c>
      <c r="B179" s="1" t="s">
        <v>455</v>
      </c>
      <c r="C179" t="s">
        <v>726</v>
      </c>
      <c r="D179">
        <f t="shared" si="12"/>
        <v>1.9193857965451055E-3</v>
      </c>
      <c r="F179">
        <v>0.6</v>
      </c>
      <c r="G179">
        <v>0.6</v>
      </c>
      <c r="H179">
        <f t="shared" si="13"/>
        <v>0.7</v>
      </c>
      <c r="J179">
        <f t="shared" si="14"/>
        <v>1.3435700575815737E-3</v>
      </c>
      <c r="K179">
        <f t="shared" si="15"/>
        <v>0.36391554702494633</v>
      </c>
      <c r="L179" s="11">
        <f t="shared" si="16"/>
        <v>3.6919831223629265E-3</v>
      </c>
      <c r="M179">
        <f t="shared" si="17"/>
        <v>2.9836349307956388E-2</v>
      </c>
    </row>
    <row r="180" spans="1:13" ht="15">
      <c r="A180" t="s">
        <v>524</v>
      </c>
      <c r="B180" s="1" t="s">
        <v>51</v>
      </c>
      <c r="C180" t="s">
        <v>728</v>
      </c>
      <c r="D180">
        <f t="shared" si="12"/>
        <v>1.9193857965451055E-3</v>
      </c>
      <c r="F180">
        <v>0.6</v>
      </c>
      <c r="G180">
        <v>0.6</v>
      </c>
      <c r="H180">
        <f t="shared" si="13"/>
        <v>0.7</v>
      </c>
      <c r="J180">
        <f t="shared" si="14"/>
        <v>1.3435700575815737E-3</v>
      </c>
      <c r="K180">
        <f t="shared" si="15"/>
        <v>0.36391554702494633</v>
      </c>
      <c r="L180" s="11">
        <f t="shared" si="16"/>
        <v>3.6919831223629265E-3</v>
      </c>
      <c r="M180">
        <f t="shared" si="17"/>
        <v>2.9836349307956388E-2</v>
      </c>
    </row>
    <row r="181" spans="1:13" ht="15">
      <c r="A181" t="s">
        <v>536</v>
      </c>
      <c r="B181" s="1" t="s">
        <v>481</v>
      </c>
      <c r="C181" t="s">
        <v>977</v>
      </c>
      <c r="D181">
        <f t="shared" si="12"/>
        <v>1.9193857965451055E-3</v>
      </c>
      <c r="F181">
        <v>0.6</v>
      </c>
      <c r="G181">
        <v>0.6</v>
      </c>
      <c r="H181">
        <f t="shared" si="13"/>
        <v>0.7</v>
      </c>
      <c r="J181">
        <f t="shared" si="14"/>
        <v>1.3435700575815737E-3</v>
      </c>
      <c r="K181">
        <f t="shared" si="15"/>
        <v>0.36391554702494633</v>
      </c>
      <c r="L181" s="11">
        <f t="shared" si="16"/>
        <v>3.6919831223629265E-3</v>
      </c>
      <c r="M181">
        <f t="shared" si="17"/>
        <v>2.9836349307956388E-2</v>
      </c>
    </row>
    <row r="182" spans="1:13" ht="15">
      <c r="A182" t="s">
        <v>536</v>
      </c>
      <c r="B182" s="1" t="s">
        <v>428</v>
      </c>
      <c r="C182" t="s">
        <v>978</v>
      </c>
      <c r="D182">
        <f t="shared" si="12"/>
        <v>1.9193857965451055E-3</v>
      </c>
      <c r="F182">
        <v>0.59</v>
      </c>
      <c r="G182">
        <v>0.59</v>
      </c>
      <c r="H182">
        <f t="shared" si="13"/>
        <v>0.1</v>
      </c>
      <c r="J182">
        <f t="shared" si="14"/>
        <v>1.9193857965451057E-4</v>
      </c>
      <c r="K182">
        <f t="shared" si="15"/>
        <v>0.36391554702494633</v>
      </c>
      <c r="L182" s="11">
        <f t="shared" si="16"/>
        <v>5.2742616033756105E-4</v>
      </c>
      <c r="M182">
        <f t="shared" si="17"/>
        <v>5.7430080426679369E-3</v>
      </c>
    </row>
    <row r="183" spans="1:13" ht="15">
      <c r="A183" t="s">
        <v>534</v>
      </c>
      <c r="B183" s="1" t="s">
        <v>100</v>
      </c>
      <c r="C183" t="s">
        <v>833</v>
      </c>
      <c r="D183">
        <f t="shared" si="12"/>
        <v>1.9193857965451055E-3</v>
      </c>
      <c r="F183">
        <v>0.59</v>
      </c>
      <c r="G183">
        <v>0.59</v>
      </c>
      <c r="H183">
        <f t="shared" si="13"/>
        <v>0.1</v>
      </c>
      <c r="J183">
        <f t="shared" si="14"/>
        <v>1.9193857965451057E-4</v>
      </c>
      <c r="K183">
        <f t="shared" si="15"/>
        <v>0.36391554702494633</v>
      </c>
      <c r="L183" s="11">
        <f t="shared" si="16"/>
        <v>5.2742616033756105E-4</v>
      </c>
      <c r="M183">
        <f t="shared" si="17"/>
        <v>5.7430080426679369E-3</v>
      </c>
    </row>
    <row r="184" spans="1:13" ht="15">
      <c r="A184" t="s">
        <v>536</v>
      </c>
      <c r="B184" s="1" t="s">
        <v>463</v>
      </c>
      <c r="C184" t="s">
        <v>865</v>
      </c>
      <c r="D184">
        <f t="shared" si="12"/>
        <v>1.9193857965451055E-3</v>
      </c>
      <c r="F184">
        <v>0.59</v>
      </c>
      <c r="G184">
        <v>0.59</v>
      </c>
      <c r="H184">
        <f t="shared" si="13"/>
        <v>0.1</v>
      </c>
      <c r="J184">
        <f t="shared" si="14"/>
        <v>1.9193857965451057E-4</v>
      </c>
      <c r="K184">
        <f t="shared" si="15"/>
        <v>0.36391554702494633</v>
      </c>
      <c r="L184" s="11">
        <f t="shared" si="16"/>
        <v>5.2742616033756105E-4</v>
      </c>
      <c r="M184">
        <f t="shared" si="17"/>
        <v>5.7430080426679369E-3</v>
      </c>
    </row>
    <row r="185" spans="1:13" ht="15">
      <c r="A185" t="s">
        <v>542</v>
      </c>
      <c r="B185" s="1" t="s">
        <v>517</v>
      </c>
      <c r="C185" t="s">
        <v>858</v>
      </c>
      <c r="D185">
        <f t="shared" si="12"/>
        <v>1.9193857965451055E-3</v>
      </c>
      <c r="F185">
        <v>0.56999999999999995</v>
      </c>
      <c r="G185">
        <v>0.56999999999999995</v>
      </c>
      <c r="H185">
        <f t="shared" si="13"/>
        <v>0.1</v>
      </c>
      <c r="J185">
        <f t="shared" si="14"/>
        <v>1.9193857965451057E-4</v>
      </c>
      <c r="K185">
        <f t="shared" si="15"/>
        <v>0.36391554702494633</v>
      </c>
      <c r="L185" s="11">
        <f t="shared" si="16"/>
        <v>5.2742616033756105E-4</v>
      </c>
      <c r="M185">
        <f t="shared" si="17"/>
        <v>5.7430080426679369E-3</v>
      </c>
    </row>
    <row r="186" spans="1:13" ht="15">
      <c r="A186" t="s">
        <v>536</v>
      </c>
      <c r="B186" s="1" t="s">
        <v>459</v>
      </c>
      <c r="C186" t="s">
        <v>979</v>
      </c>
      <c r="D186">
        <f t="shared" si="12"/>
        <v>1.9193857965451055E-3</v>
      </c>
      <c r="F186">
        <v>0.56999999999999995</v>
      </c>
      <c r="G186">
        <v>0.56999999999999995</v>
      </c>
      <c r="H186">
        <f t="shared" si="13"/>
        <v>0.1</v>
      </c>
      <c r="J186">
        <f t="shared" si="14"/>
        <v>1.9193857965451057E-4</v>
      </c>
      <c r="K186">
        <f t="shared" si="15"/>
        <v>0.36391554702494633</v>
      </c>
      <c r="L186" s="11">
        <f t="shared" si="16"/>
        <v>5.2742616033756105E-4</v>
      </c>
      <c r="M186">
        <f t="shared" si="17"/>
        <v>5.7430080426679369E-3</v>
      </c>
    </row>
    <row r="187" spans="1:13" ht="15">
      <c r="A187" t="s">
        <v>537</v>
      </c>
      <c r="B187" s="1" t="s">
        <v>210</v>
      </c>
      <c r="C187" t="s">
        <v>873</v>
      </c>
      <c r="D187">
        <f t="shared" si="12"/>
        <v>1.9193857965451055E-3</v>
      </c>
      <c r="F187">
        <v>0.56000000000000005</v>
      </c>
      <c r="G187">
        <v>0.56000000000000005</v>
      </c>
      <c r="H187">
        <f t="shared" si="13"/>
        <v>0.1</v>
      </c>
      <c r="J187">
        <f t="shared" si="14"/>
        <v>1.9193857965451057E-4</v>
      </c>
      <c r="K187">
        <f t="shared" si="15"/>
        <v>0.36391554702494633</v>
      </c>
      <c r="L187" s="11">
        <f t="shared" si="16"/>
        <v>5.2742616033756105E-4</v>
      </c>
      <c r="M187">
        <f t="shared" si="17"/>
        <v>5.7430080426679369E-3</v>
      </c>
    </row>
    <row r="188" spans="1:13" ht="15">
      <c r="A188" t="s">
        <v>535</v>
      </c>
      <c r="B188" s="1" t="s">
        <v>354</v>
      </c>
      <c r="C188" t="s">
        <v>771</v>
      </c>
      <c r="D188">
        <f t="shared" si="12"/>
        <v>1.9193857965451055E-3</v>
      </c>
      <c r="F188">
        <v>0.55000000000000004</v>
      </c>
      <c r="G188">
        <v>0.55000000000000004</v>
      </c>
      <c r="H188">
        <f t="shared" si="13"/>
        <v>0.1</v>
      </c>
      <c r="J188">
        <f t="shared" si="14"/>
        <v>1.9193857965451057E-4</v>
      </c>
      <c r="K188">
        <f t="shared" si="15"/>
        <v>0.36391554702494633</v>
      </c>
      <c r="L188" s="11">
        <f t="shared" si="16"/>
        <v>5.2742616033756105E-4</v>
      </c>
      <c r="M188">
        <f t="shared" si="17"/>
        <v>5.7430080426679369E-3</v>
      </c>
    </row>
    <row r="189" spans="1:13" ht="15">
      <c r="A189" t="s">
        <v>524</v>
      </c>
      <c r="B189" s="1" t="s">
        <v>38</v>
      </c>
      <c r="C189" t="s">
        <v>851</v>
      </c>
      <c r="D189">
        <f t="shared" si="12"/>
        <v>1.9193857965451055E-3</v>
      </c>
      <c r="F189">
        <v>0.55000000000000004</v>
      </c>
      <c r="G189">
        <v>0.55000000000000004</v>
      </c>
      <c r="H189">
        <f t="shared" si="13"/>
        <v>0.1</v>
      </c>
      <c r="J189">
        <f t="shared" si="14"/>
        <v>1.9193857965451057E-4</v>
      </c>
      <c r="K189">
        <f t="shared" si="15"/>
        <v>0.36391554702494633</v>
      </c>
      <c r="L189" s="11">
        <f t="shared" si="16"/>
        <v>5.2742616033756105E-4</v>
      </c>
      <c r="M189">
        <f t="shared" si="17"/>
        <v>5.7430080426679369E-3</v>
      </c>
    </row>
    <row r="190" spans="1:13" ht="15">
      <c r="A190" t="s">
        <v>535</v>
      </c>
      <c r="B190" s="1" t="s">
        <v>398</v>
      </c>
      <c r="C190" t="s">
        <v>588</v>
      </c>
      <c r="D190">
        <f t="shared" si="12"/>
        <v>1.9193857965451055E-3</v>
      </c>
      <c r="F190">
        <v>0.55000000000000004</v>
      </c>
      <c r="G190">
        <v>0.55000000000000004</v>
      </c>
      <c r="H190">
        <f t="shared" si="13"/>
        <v>0.1</v>
      </c>
      <c r="J190">
        <f t="shared" si="14"/>
        <v>1.9193857965451057E-4</v>
      </c>
      <c r="K190">
        <f t="shared" si="15"/>
        <v>0.36391554702494633</v>
      </c>
      <c r="L190" s="11">
        <f t="shared" si="16"/>
        <v>5.2742616033756105E-4</v>
      </c>
      <c r="M190">
        <f t="shared" si="17"/>
        <v>5.7430080426679369E-3</v>
      </c>
    </row>
    <row r="191" spans="1:13" ht="15">
      <c r="A191" t="s">
        <v>535</v>
      </c>
      <c r="B191" s="1" t="s">
        <v>411</v>
      </c>
      <c r="C191" t="s">
        <v>894</v>
      </c>
      <c r="D191">
        <f t="shared" si="12"/>
        <v>1.9193857965451055E-3</v>
      </c>
      <c r="F191">
        <v>0.55000000000000004</v>
      </c>
      <c r="G191">
        <v>0.55000000000000004</v>
      </c>
      <c r="H191">
        <f t="shared" si="13"/>
        <v>0.1</v>
      </c>
      <c r="J191">
        <f t="shared" si="14"/>
        <v>1.9193857965451057E-4</v>
      </c>
      <c r="K191">
        <f t="shared" si="15"/>
        <v>0.36391554702494633</v>
      </c>
      <c r="L191" s="11">
        <f t="shared" si="16"/>
        <v>5.2742616033756105E-4</v>
      </c>
      <c r="M191">
        <f t="shared" si="17"/>
        <v>5.7430080426679369E-3</v>
      </c>
    </row>
    <row r="192" spans="1:13" ht="15">
      <c r="A192" t="s">
        <v>534</v>
      </c>
      <c r="B192" s="1" t="s">
        <v>59</v>
      </c>
      <c r="C192" t="s">
        <v>735</v>
      </c>
      <c r="D192">
        <f t="shared" si="12"/>
        <v>1.9193857965451055E-3</v>
      </c>
      <c r="F192">
        <v>0.54</v>
      </c>
      <c r="G192">
        <v>0.54</v>
      </c>
      <c r="H192">
        <f t="shared" si="13"/>
        <v>0.1</v>
      </c>
      <c r="J192">
        <f t="shared" si="14"/>
        <v>1.9193857965451057E-4</v>
      </c>
      <c r="K192">
        <f t="shared" si="15"/>
        <v>0.36391554702494633</v>
      </c>
      <c r="L192" s="11">
        <f t="shared" si="16"/>
        <v>5.2742616033756105E-4</v>
      </c>
      <c r="M192">
        <f t="shared" si="17"/>
        <v>5.7430080426679369E-3</v>
      </c>
    </row>
    <row r="193" spans="1:13" ht="15">
      <c r="A193" t="s">
        <v>537</v>
      </c>
      <c r="B193" s="1" t="s">
        <v>168</v>
      </c>
      <c r="C193" t="s">
        <v>748</v>
      </c>
      <c r="D193">
        <f t="shared" si="12"/>
        <v>1.9193857965451055E-3</v>
      </c>
      <c r="F193">
        <v>0.54</v>
      </c>
      <c r="G193">
        <v>0.54</v>
      </c>
      <c r="H193">
        <f t="shared" si="13"/>
        <v>0.1</v>
      </c>
      <c r="J193">
        <f t="shared" si="14"/>
        <v>1.9193857965451057E-4</v>
      </c>
      <c r="K193">
        <f t="shared" si="15"/>
        <v>0.36391554702494633</v>
      </c>
      <c r="L193" s="11">
        <f t="shared" si="16"/>
        <v>5.2742616033756105E-4</v>
      </c>
      <c r="M193">
        <f t="shared" si="17"/>
        <v>5.7430080426679369E-3</v>
      </c>
    </row>
    <row r="194" spans="1:13" ht="15">
      <c r="A194" t="s">
        <v>534</v>
      </c>
      <c r="B194" s="1" t="s">
        <v>70</v>
      </c>
      <c r="C194" t="s">
        <v>589</v>
      </c>
      <c r="D194">
        <f t="shared" ref="D194:D257" si="18">1/521</f>
        <v>1.9193857965451055E-3</v>
      </c>
      <c r="F194">
        <v>0.54</v>
      </c>
      <c r="G194">
        <v>0.54</v>
      </c>
      <c r="H194">
        <f t="shared" ref="H194:H257" si="19">IF(G194&gt;1,0.95,IF(G194&lt;0.6, 0.1, 0.7))</f>
        <v>0.1</v>
      </c>
      <c r="J194">
        <f t="shared" si="14"/>
        <v>1.9193857965451057E-4</v>
      </c>
      <c r="K194">
        <f t="shared" si="15"/>
        <v>0.36391554702494633</v>
      </c>
      <c r="L194" s="11">
        <f t="shared" si="16"/>
        <v>5.2742616033756105E-4</v>
      </c>
      <c r="M194">
        <f t="shared" si="17"/>
        <v>5.7430080426679369E-3</v>
      </c>
    </row>
    <row r="195" spans="1:13" ht="15">
      <c r="A195" t="s">
        <v>542</v>
      </c>
      <c r="B195" s="1" t="s">
        <v>501</v>
      </c>
      <c r="C195" t="s">
        <v>755</v>
      </c>
      <c r="D195">
        <f t="shared" si="18"/>
        <v>1.9193857965451055E-3</v>
      </c>
      <c r="F195">
        <v>0.54</v>
      </c>
      <c r="G195">
        <v>0.54</v>
      </c>
      <c r="H195">
        <f t="shared" si="19"/>
        <v>0.1</v>
      </c>
      <c r="J195">
        <f t="shared" ref="J195:J258" si="20">D195*H195</f>
        <v>1.9193857965451057E-4</v>
      </c>
      <c r="K195">
        <f t="shared" ref="K195:K258" si="21">SUM(J$2:J$523)</f>
        <v>0.36391554702494633</v>
      </c>
      <c r="L195" s="11">
        <f t="shared" ref="L195:L258" si="22">J195/K195</f>
        <v>5.2742616033756105E-4</v>
      </c>
      <c r="M195">
        <f t="shared" ref="M195:M258" si="23">L195*-LOG(L195,2)</f>
        <v>5.7430080426679369E-3</v>
      </c>
    </row>
    <row r="196" spans="1:13" ht="15">
      <c r="A196" t="s">
        <v>537</v>
      </c>
      <c r="B196" s="1" t="s">
        <v>151</v>
      </c>
      <c r="C196" t="s">
        <v>738</v>
      </c>
      <c r="D196">
        <f t="shared" si="18"/>
        <v>1.9193857965451055E-3</v>
      </c>
      <c r="F196">
        <v>0.53</v>
      </c>
      <c r="G196">
        <v>0.53</v>
      </c>
      <c r="H196">
        <f t="shared" si="19"/>
        <v>0.1</v>
      </c>
      <c r="J196">
        <f t="shared" si="20"/>
        <v>1.9193857965451057E-4</v>
      </c>
      <c r="K196">
        <f t="shared" si="21"/>
        <v>0.36391554702494633</v>
      </c>
      <c r="L196" s="11">
        <f t="shared" si="22"/>
        <v>5.2742616033756105E-4</v>
      </c>
      <c r="M196">
        <f t="shared" si="23"/>
        <v>5.7430080426679369E-3</v>
      </c>
    </row>
    <row r="197" spans="1:13" ht="15">
      <c r="A197" t="s">
        <v>540</v>
      </c>
      <c r="B197" s="1" t="s">
        <v>258</v>
      </c>
      <c r="C197" t="s">
        <v>819</v>
      </c>
      <c r="D197">
        <f t="shared" si="18"/>
        <v>1.9193857965451055E-3</v>
      </c>
      <c r="F197">
        <v>0.53</v>
      </c>
      <c r="G197">
        <v>0.53</v>
      </c>
      <c r="H197">
        <f t="shared" si="19"/>
        <v>0.1</v>
      </c>
      <c r="J197">
        <f t="shared" si="20"/>
        <v>1.9193857965451057E-4</v>
      </c>
      <c r="K197">
        <f t="shared" si="21"/>
        <v>0.36391554702494633</v>
      </c>
      <c r="L197" s="11">
        <f t="shared" si="22"/>
        <v>5.2742616033756105E-4</v>
      </c>
      <c r="M197">
        <f t="shared" si="23"/>
        <v>5.7430080426679369E-3</v>
      </c>
    </row>
    <row r="198" spans="1:13" ht="15">
      <c r="A198" t="s">
        <v>540</v>
      </c>
      <c r="B198" s="1" t="s">
        <v>237</v>
      </c>
      <c r="C198" t="s">
        <v>590</v>
      </c>
      <c r="D198">
        <f t="shared" si="18"/>
        <v>1.9193857965451055E-3</v>
      </c>
      <c r="F198">
        <v>0.52</v>
      </c>
      <c r="G198">
        <v>0.52</v>
      </c>
      <c r="H198">
        <f t="shared" si="19"/>
        <v>0.1</v>
      </c>
      <c r="J198">
        <f t="shared" si="20"/>
        <v>1.9193857965451057E-4</v>
      </c>
      <c r="K198">
        <f t="shared" si="21"/>
        <v>0.36391554702494633</v>
      </c>
      <c r="L198" s="11">
        <f t="shared" si="22"/>
        <v>5.2742616033756105E-4</v>
      </c>
      <c r="M198">
        <f t="shared" si="23"/>
        <v>5.7430080426679369E-3</v>
      </c>
    </row>
    <row r="199" spans="1:13" ht="15">
      <c r="A199" t="s">
        <v>524</v>
      </c>
      <c r="B199" s="1" t="s">
        <v>19</v>
      </c>
      <c r="C199" t="s">
        <v>903</v>
      </c>
      <c r="D199">
        <f t="shared" si="18"/>
        <v>1.9193857965451055E-3</v>
      </c>
      <c r="F199">
        <v>0.52</v>
      </c>
      <c r="G199">
        <v>0.52</v>
      </c>
      <c r="H199">
        <f t="shared" si="19"/>
        <v>0.1</v>
      </c>
      <c r="J199">
        <f t="shared" si="20"/>
        <v>1.9193857965451057E-4</v>
      </c>
      <c r="K199">
        <f t="shared" si="21"/>
        <v>0.36391554702494633</v>
      </c>
      <c r="L199" s="11">
        <f t="shared" si="22"/>
        <v>5.2742616033756105E-4</v>
      </c>
      <c r="M199">
        <f t="shared" si="23"/>
        <v>5.7430080426679369E-3</v>
      </c>
    </row>
    <row r="200" spans="1:13" ht="15">
      <c r="A200" t="s">
        <v>524</v>
      </c>
      <c r="B200" s="1" t="s">
        <v>21</v>
      </c>
      <c r="C200" t="s">
        <v>815</v>
      </c>
      <c r="D200">
        <f t="shared" si="18"/>
        <v>1.9193857965451055E-3</v>
      </c>
      <c r="F200">
        <v>0.51</v>
      </c>
      <c r="G200">
        <v>0.51</v>
      </c>
      <c r="H200">
        <f t="shared" si="19"/>
        <v>0.1</v>
      </c>
      <c r="J200">
        <f t="shared" si="20"/>
        <v>1.9193857965451057E-4</v>
      </c>
      <c r="K200">
        <f t="shared" si="21"/>
        <v>0.36391554702494633</v>
      </c>
      <c r="L200" s="11">
        <f t="shared" si="22"/>
        <v>5.2742616033756105E-4</v>
      </c>
      <c r="M200">
        <f t="shared" si="23"/>
        <v>5.7430080426679369E-3</v>
      </c>
    </row>
    <row r="201" spans="1:13" ht="15">
      <c r="A201" t="s">
        <v>536</v>
      </c>
      <c r="B201" s="1" t="s">
        <v>468</v>
      </c>
      <c r="C201" t="s">
        <v>876</v>
      </c>
      <c r="D201">
        <f t="shared" si="18"/>
        <v>1.9193857965451055E-3</v>
      </c>
      <c r="F201">
        <v>0.51</v>
      </c>
      <c r="G201">
        <v>0.51</v>
      </c>
      <c r="H201">
        <f t="shared" si="19"/>
        <v>0.1</v>
      </c>
      <c r="J201">
        <f t="shared" si="20"/>
        <v>1.9193857965451057E-4</v>
      </c>
      <c r="K201">
        <f t="shared" si="21"/>
        <v>0.36391554702494633</v>
      </c>
      <c r="L201" s="11">
        <f t="shared" si="22"/>
        <v>5.2742616033756105E-4</v>
      </c>
      <c r="M201">
        <f t="shared" si="23"/>
        <v>5.7430080426679369E-3</v>
      </c>
    </row>
    <row r="202" spans="1:13" ht="15">
      <c r="A202" t="s">
        <v>535</v>
      </c>
      <c r="B202" s="1" t="s">
        <v>344</v>
      </c>
      <c r="C202" t="s">
        <v>764</v>
      </c>
      <c r="D202">
        <f t="shared" si="18"/>
        <v>1.9193857965451055E-3</v>
      </c>
      <c r="F202">
        <v>0.5</v>
      </c>
      <c r="G202">
        <v>0.5</v>
      </c>
      <c r="H202">
        <f t="shared" si="19"/>
        <v>0.1</v>
      </c>
      <c r="J202">
        <f t="shared" si="20"/>
        <v>1.9193857965451057E-4</v>
      </c>
      <c r="K202">
        <f t="shared" si="21"/>
        <v>0.36391554702494633</v>
      </c>
      <c r="L202" s="11">
        <f t="shared" si="22"/>
        <v>5.2742616033756105E-4</v>
      </c>
      <c r="M202">
        <f t="shared" si="23"/>
        <v>5.7430080426679369E-3</v>
      </c>
    </row>
    <row r="203" spans="1:13" ht="15">
      <c r="A203" t="s">
        <v>540</v>
      </c>
      <c r="B203" s="1" t="s">
        <v>239</v>
      </c>
      <c r="C203" t="s">
        <v>798</v>
      </c>
      <c r="D203">
        <f t="shared" si="18"/>
        <v>1.9193857965451055E-3</v>
      </c>
      <c r="F203">
        <v>0.5</v>
      </c>
      <c r="G203">
        <v>0.5</v>
      </c>
      <c r="H203">
        <f t="shared" si="19"/>
        <v>0.1</v>
      </c>
      <c r="J203">
        <f t="shared" si="20"/>
        <v>1.9193857965451057E-4</v>
      </c>
      <c r="K203">
        <f t="shared" si="21"/>
        <v>0.36391554702494633</v>
      </c>
      <c r="L203" s="11">
        <f t="shared" si="22"/>
        <v>5.2742616033756105E-4</v>
      </c>
      <c r="M203">
        <f t="shared" si="23"/>
        <v>5.7430080426679369E-3</v>
      </c>
    </row>
    <row r="204" spans="1:13" ht="15">
      <c r="A204" t="s">
        <v>534</v>
      </c>
      <c r="B204" s="1" t="s">
        <v>83</v>
      </c>
      <c r="C204" t="s">
        <v>812</v>
      </c>
      <c r="D204">
        <f t="shared" si="18"/>
        <v>1.9193857965451055E-3</v>
      </c>
      <c r="F204">
        <v>0.5</v>
      </c>
      <c r="G204">
        <v>0.5</v>
      </c>
      <c r="H204">
        <f t="shared" si="19"/>
        <v>0.1</v>
      </c>
      <c r="J204">
        <f t="shared" si="20"/>
        <v>1.9193857965451057E-4</v>
      </c>
      <c r="K204">
        <f t="shared" si="21"/>
        <v>0.36391554702494633</v>
      </c>
      <c r="L204" s="11">
        <f t="shared" si="22"/>
        <v>5.2742616033756105E-4</v>
      </c>
      <c r="M204">
        <f t="shared" si="23"/>
        <v>5.7430080426679369E-3</v>
      </c>
    </row>
    <row r="205" spans="1:13" ht="15">
      <c r="A205" t="s">
        <v>535</v>
      </c>
      <c r="B205" s="1" t="s">
        <v>379</v>
      </c>
      <c r="C205" t="s">
        <v>818</v>
      </c>
      <c r="D205">
        <f t="shared" si="18"/>
        <v>1.9193857965451055E-3</v>
      </c>
      <c r="F205">
        <v>0.5</v>
      </c>
      <c r="G205">
        <v>0.5</v>
      </c>
      <c r="H205">
        <f t="shared" si="19"/>
        <v>0.1</v>
      </c>
      <c r="J205">
        <f t="shared" si="20"/>
        <v>1.9193857965451057E-4</v>
      </c>
      <c r="K205">
        <f t="shared" si="21"/>
        <v>0.36391554702494633</v>
      </c>
      <c r="L205" s="11">
        <f t="shared" si="22"/>
        <v>5.2742616033756105E-4</v>
      </c>
      <c r="M205">
        <f t="shared" si="23"/>
        <v>5.7430080426679369E-3</v>
      </c>
    </row>
    <row r="206" spans="1:13" ht="15">
      <c r="A206" t="s">
        <v>537</v>
      </c>
      <c r="B206" s="1" t="s">
        <v>182</v>
      </c>
      <c r="C206" t="s">
        <v>754</v>
      </c>
      <c r="D206">
        <f t="shared" si="18"/>
        <v>1.9193857965451055E-3</v>
      </c>
      <c r="F206">
        <v>0.49</v>
      </c>
      <c r="G206">
        <v>0.49</v>
      </c>
      <c r="H206">
        <f t="shared" si="19"/>
        <v>0.1</v>
      </c>
      <c r="J206">
        <f t="shared" si="20"/>
        <v>1.9193857965451057E-4</v>
      </c>
      <c r="K206">
        <f t="shared" si="21"/>
        <v>0.36391554702494633</v>
      </c>
      <c r="L206" s="11">
        <f t="shared" si="22"/>
        <v>5.2742616033756105E-4</v>
      </c>
      <c r="M206">
        <f t="shared" si="23"/>
        <v>5.7430080426679369E-3</v>
      </c>
    </row>
    <row r="207" spans="1:13" ht="15">
      <c r="A207" t="s">
        <v>535</v>
      </c>
      <c r="B207" s="1" t="s">
        <v>343</v>
      </c>
      <c r="C207" t="s">
        <v>591</v>
      </c>
      <c r="D207">
        <f t="shared" si="18"/>
        <v>1.9193857965451055E-3</v>
      </c>
      <c r="F207">
        <v>0.49</v>
      </c>
      <c r="G207">
        <v>0.49</v>
      </c>
      <c r="H207">
        <f t="shared" si="19"/>
        <v>0.1</v>
      </c>
      <c r="J207">
        <f t="shared" si="20"/>
        <v>1.9193857965451057E-4</v>
      </c>
      <c r="K207">
        <f t="shared" si="21"/>
        <v>0.36391554702494633</v>
      </c>
      <c r="L207" s="11">
        <f t="shared" si="22"/>
        <v>5.2742616033756105E-4</v>
      </c>
      <c r="M207">
        <f t="shared" si="23"/>
        <v>5.7430080426679369E-3</v>
      </c>
    </row>
    <row r="208" spans="1:13" ht="15">
      <c r="A208" t="s">
        <v>535</v>
      </c>
      <c r="B208" s="1" t="s">
        <v>345</v>
      </c>
      <c r="C208" t="s">
        <v>765</v>
      </c>
      <c r="D208">
        <f t="shared" si="18"/>
        <v>1.9193857965451055E-3</v>
      </c>
      <c r="F208">
        <v>0.49</v>
      </c>
      <c r="G208">
        <v>0.49</v>
      </c>
      <c r="H208">
        <f t="shared" si="19"/>
        <v>0.1</v>
      </c>
      <c r="J208">
        <f t="shared" si="20"/>
        <v>1.9193857965451057E-4</v>
      </c>
      <c r="K208">
        <f t="shared" si="21"/>
        <v>0.36391554702494633</v>
      </c>
      <c r="L208" s="11">
        <f t="shared" si="22"/>
        <v>5.2742616033756105E-4</v>
      </c>
      <c r="M208">
        <f t="shared" si="23"/>
        <v>5.7430080426679369E-3</v>
      </c>
    </row>
    <row r="209" spans="1:13" ht="15">
      <c r="A209" t="s">
        <v>537</v>
      </c>
      <c r="B209" s="1" t="s">
        <v>205</v>
      </c>
      <c r="C209" t="s">
        <v>811</v>
      </c>
      <c r="D209">
        <f t="shared" si="18"/>
        <v>1.9193857965451055E-3</v>
      </c>
      <c r="F209">
        <v>0.49</v>
      </c>
      <c r="G209">
        <v>0.49</v>
      </c>
      <c r="H209">
        <f t="shared" si="19"/>
        <v>0.1</v>
      </c>
      <c r="J209">
        <f t="shared" si="20"/>
        <v>1.9193857965451057E-4</v>
      </c>
      <c r="K209">
        <f t="shared" si="21"/>
        <v>0.36391554702494633</v>
      </c>
      <c r="L209" s="11">
        <f t="shared" si="22"/>
        <v>5.2742616033756105E-4</v>
      </c>
      <c r="M209">
        <f t="shared" si="23"/>
        <v>5.7430080426679369E-3</v>
      </c>
    </row>
    <row r="210" spans="1:13" ht="15">
      <c r="A210" t="s">
        <v>535</v>
      </c>
      <c r="B210" s="1" t="s">
        <v>324</v>
      </c>
      <c r="C210" t="s">
        <v>980</v>
      </c>
      <c r="D210">
        <f t="shared" si="18"/>
        <v>1.9193857965451055E-3</v>
      </c>
      <c r="F210">
        <v>0.47</v>
      </c>
      <c r="G210">
        <v>0.47</v>
      </c>
      <c r="H210">
        <f t="shared" si="19"/>
        <v>0.1</v>
      </c>
      <c r="J210">
        <f t="shared" si="20"/>
        <v>1.9193857965451057E-4</v>
      </c>
      <c r="K210">
        <f t="shared" si="21"/>
        <v>0.36391554702494633</v>
      </c>
      <c r="L210" s="11">
        <f t="shared" si="22"/>
        <v>5.2742616033756105E-4</v>
      </c>
      <c r="M210">
        <f t="shared" si="23"/>
        <v>5.7430080426679369E-3</v>
      </c>
    </row>
    <row r="211" spans="1:13" ht="15">
      <c r="A211" t="s">
        <v>524</v>
      </c>
      <c r="B211" s="1" t="s">
        <v>52</v>
      </c>
      <c r="C211" t="s">
        <v>592</v>
      </c>
      <c r="D211">
        <f t="shared" si="18"/>
        <v>1.9193857965451055E-3</v>
      </c>
      <c r="F211">
        <v>0.47</v>
      </c>
      <c r="G211">
        <v>0.47</v>
      </c>
      <c r="H211">
        <f t="shared" si="19"/>
        <v>0.1</v>
      </c>
      <c r="J211">
        <f t="shared" si="20"/>
        <v>1.9193857965451057E-4</v>
      </c>
      <c r="K211">
        <f t="shared" si="21"/>
        <v>0.36391554702494633</v>
      </c>
      <c r="L211" s="11">
        <f t="shared" si="22"/>
        <v>5.2742616033756105E-4</v>
      </c>
      <c r="M211">
        <f t="shared" si="23"/>
        <v>5.7430080426679369E-3</v>
      </c>
    </row>
    <row r="212" spans="1:13" ht="15">
      <c r="A212" t="s">
        <v>535</v>
      </c>
      <c r="B212" s="1" t="s">
        <v>335</v>
      </c>
      <c r="C212" t="s">
        <v>759</v>
      </c>
      <c r="D212">
        <f t="shared" si="18"/>
        <v>1.9193857965451055E-3</v>
      </c>
      <c r="F212">
        <v>0.46</v>
      </c>
      <c r="G212">
        <v>0.46</v>
      </c>
      <c r="H212">
        <f t="shared" si="19"/>
        <v>0.1</v>
      </c>
      <c r="J212">
        <f t="shared" si="20"/>
        <v>1.9193857965451057E-4</v>
      </c>
      <c r="K212">
        <f t="shared" si="21"/>
        <v>0.36391554702494633</v>
      </c>
      <c r="L212" s="11">
        <f t="shared" si="22"/>
        <v>5.2742616033756105E-4</v>
      </c>
      <c r="M212">
        <f t="shared" si="23"/>
        <v>5.7430080426679369E-3</v>
      </c>
    </row>
    <row r="213" spans="1:13" ht="15">
      <c r="A213" t="s">
        <v>535</v>
      </c>
      <c r="B213" s="1" t="s">
        <v>396</v>
      </c>
      <c r="C213" t="s">
        <v>871</v>
      </c>
      <c r="D213">
        <f t="shared" si="18"/>
        <v>1.9193857965451055E-3</v>
      </c>
      <c r="F213">
        <v>0.46</v>
      </c>
      <c r="G213">
        <v>0.46</v>
      </c>
      <c r="H213">
        <f t="shared" si="19"/>
        <v>0.1</v>
      </c>
      <c r="J213">
        <f t="shared" si="20"/>
        <v>1.9193857965451057E-4</v>
      </c>
      <c r="K213">
        <f t="shared" si="21"/>
        <v>0.36391554702494633</v>
      </c>
      <c r="L213" s="11">
        <f t="shared" si="22"/>
        <v>5.2742616033756105E-4</v>
      </c>
      <c r="M213">
        <f t="shared" si="23"/>
        <v>5.7430080426679369E-3</v>
      </c>
    </row>
    <row r="214" spans="1:13" ht="15">
      <c r="A214" t="s">
        <v>534</v>
      </c>
      <c r="B214" s="1" t="s">
        <v>129</v>
      </c>
      <c r="C214" t="s">
        <v>908</v>
      </c>
      <c r="D214">
        <f t="shared" si="18"/>
        <v>1.9193857965451055E-3</v>
      </c>
      <c r="F214">
        <v>0.46</v>
      </c>
      <c r="G214">
        <v>0.46</v>
      </c>
      <c r="H214">
        <f t="shared" si="19"/>
        <v>0.1</v>
      </c>
      <c r="J214">
        <f t="shared" si="20"/>
        <v>1.9193857965451057E-4</v>
      </c>
      <c r="K214">
        <f t="shared" si="21"/>
        <v>0.36391554702494633</v>
      </c>
      <c r="L214" s="11">
        <f t="shared" si="22"/>
        <v>5.2742616033756105E-4</v>
      </c>
      <c r="M214">
        <f t="shared" si="23"/>
        <v>5.7430080426679369E-3</v>
      </c>
    </row>
    <row r="215" spans="1:13" ht="15">
      <c r="A215" t="s">
        <v>540</v>
      </c>
      <c r="B215" s="1" t="s">
        <v>284</v>
      </c>
      <c r="C215" t="s">
        <v>880</v>
      </c>
      <c r="D215">
        <f t="shared" si="18"/>
        <v>1.9193857965451055E-3</v>
      </c>
      <c r="F215">
        <v>0.45</v>
      </c>
      <c r="G215">
        <v>0.45</v>
      </c>
      <c r="H215">
        <f t="shared" si="19"/>
        <v>0.1</v>
      </c>
      <c r="J215">
        <f t="shared" si="20"/>
        <v>1.9193857965451057E-4</v>
      </c>
      <c r="K215">
        <f t="shared" si="21"/>
        <v>0.36391554702494633</v>
      </c>
      <c r="L215" s="11">
        <f t="shared" si="22"/>
        <v>5.2742616033756105E-4</v>
      </c>
      <c r="M215">
        <f t="shared" si="23"/>
        <v>5.7430080426679369E-3</v>
      </c>
    </row>
    <row r="216" spans="1:13" ht="15">
      <c r="A216" t="s">
        <v>539</v>
      </c>
      <c r="B216" s="1" t="s">
        <v>286</v>
      </c>
      <c r="C216" t="s">
        <v>981</v>
      </c>
      <c r="D216">
        <f t="shared" si="18"/>
        <v>1.9193857965451055E-3</v>
      </c>
      <c r="F216">
        <v>0.44</v>
      </c>
      <c r="G216">
        <v>0.44</v>
      </c>
      <c r="H216">
        <f t="shared" si="19"/>
        <v>0.1</v>
      </c>
      <c r="J216">
        <f t="shared" si="20"/>
        <v>1.9193857965451057E-4</v>
      </c>
      <c r="K216">
        <f t="shared" si="21"/>
        <v>0.36391554702494633</v>
      </c>
      <c r="L216" s="11">
        <f t="shared" si="22"/>
        <v>5.2742616033756105E-4</v>
      </c>
      <c r="M216">
        <f t="shared" si="23"/>
        <v>5.7430080426679369E-3</v>
      </c>
    </row>
    <row r="217" spans="1:13" ht="15">
      <c r="A217" t="s">
        <v>535</v>
      </c>
      <c r="B217" s="1" t="s">
        <v>369</v>
      </c>
      <c r="C217" t="s">
        <v>593</v>
      </c>
      <c r="D217">
        <f t="shared" si="18"/>
        <v>1.9193857965451055E-3</v>
      </c>
      <c r="F217">
        <v>0.44</v>
      </c>
      <c r="G217">
        <v>0.44</v>
      </c>
      <c r="H217">
        <f t="shared" si="19"/>
        <v>0.1</v>
      </c>
      <c r="J217">
        <f t="shared" si="20"/>
        <v>1.9193857965451057E-4</v>
      </c>
      <c r="K217">
        <f t="shared" si="21"/>
        <v>0.36391554702494633</v>
      </c>
      <c r="L217" s="11">
        <f t="shared" si="22"/>
        <v>5.2742616033756105E-4</v>
      </c>
      <c r="M217">
        <f t="shared" si="23"/>
        <v>5.7430080426679369E-3</v>
      </c>
    </row>
    <row r="218" spans="1:13" ht="15">
      <c r="A218" t="s">
        <v>524</v>
      </c>
      <c r="B218" s="1" t="s">
        <v>24</v>
      </c>
      <c r="C218" t="s">
        <v>840</v>
      </c>
      <c r="D218">
        <f t="shared" si="18"/>
        <v>1.9193857965451055E-3</v>
      </c>
      <c r="F218">
        <v>0.44</v>
      </c>
      <c r="G218">
        <v>0.44</v>
      </c>
      <c r="H218">
        <f t="shared" si="19"/>
        <v>0.1</v>
      </c>
      <c r="J218">
        <f t="shared" si="20"/>
        <v>1.9193857965451057E-4</v>
      </c>
      <c r="K218">
        <f t="shared" si="21"/>
        <v>0.36391554702494633</v>
      </c>
      <c r="L218" s="11">
        <f t="shared" si="22"/>
        <v>5.2742616033756105E-4</v>
      </c>
      <c r="M218">
        <f t="shared" si="23"/>
        <v>5.7430080426679369E-3</v>
      </c>
    </row>
    <row r="219" spans="1:13" ht="15">
      <c r="A219" t="s">
        <v>540</v>
      </c>
      <c r="B219" s="1" t="s">
        <v>250</v>
      </c>
      <c r="C219" t="s">
        <v>902</v>
      </c>
      <c r="D219">
        <f t="shared" si="18"/>
        <v>1.9193857965451055E-3</v>
      </c>
      <c r="F219">
        <v>0.43</v>
      </c>
      <c r="G219">
        <v>0.43</v>
      </c>
      <c r="H219">
        <f t="shared" si="19"/>
        <v>0.1</v>
      </c>
      <c r="J219">
        <f t="shared" si="20"/>
        <v>1.9193857965451057E-4</v>
      </c>
      <c r="K219">
        <f t="shared" si="21"/>
        <v>0.36391554702494633</v>
      </c>
      <c r="L219" s="11">
        <f t="shared" si="22"/>
        <v>5.2742616033756105E-4</v>
      </c>
      <c r="M219">
        <f t="shared" si="23"/>
        <v>5.7430080426679369E-3</v>
      </c>
    </row>
    <row r="220" spans="1:13" ht="15">
      <c r="A220" t="s">
        <v>536</v>
      </c>
      <c r="B220" s="1" t="s">
        <v>473</v>
      </c>
      <c r="C220" t="s">
        <v>982</v>
      </c>
      <c r="D220">
        <f t="shared" si="18"/>
        <v>1.9193857965451055E-3</v>
      </c>
      <c r="F220">
        <v>0.43</v>
      </c>
      <c r="G220">
        <v>0.43</v>
      </c>
      <c r="H220">
        <f t="shared" si="19"/>
        <v>0.1</v>
      </c>
      <c r="J220">
        <f t="shared" si="20"/>
        <v>1.9193857965451057E-4</v>
      </c>
      <c r="K220">
        <f t="shared" si="21"/>
        <v>0.36391554702494633</v>
      </c>
      <c r="L220" s="11">
        <f t="shared" si="22"/>
        <v>5.2742616033756105E-4</v>
      </c>
      <c r="M220">
        <f t="shared" si="23"/>
        <v>5.7430080426679369E-3</v>
      </c>
    </row>
    <row r="221" spans="1:13" ht="15">
      <c r="A221" t="s">
        <v>524</v>
      </c>
      <c r="B221" s="1" t="s">
        <v>56</v>
      </c>
      <c r="C221" t="s">
        <v>877</v>
      </c>
      <c r="D221">
        <f t="shared" si="18"/>
        <v>1.9193857965451055E-3</v>
      </c>
      <c r="F221">
        <v>0.43</v>
      </c>
      <c r="G221">
        <v>0.43</v>
      </c>
      <c r="H221">
        <f t="shared" si="19"/>
        <v>0.1</v>
      </c>
      <c r="J221">
        <f t="shared" si="20"/>
        <v>1.9193857965451057E-4</v>
      </c>
      <c r="K221">
        <f t="shared" si="21"/>
        <v>0.36391554702494633</v>
      </c>
      <c r="L221" s="11">
        <f t="shared" si="22"/>
        <v>5.2742616033756105E-4</v>
      </c>
      <c r="M221">
        <f t="shared" si="23"/>
        <v>5.7430080426679369E-3</v>
      </c>
    </row>
    <row r="222" spans="1:13" ht="15">
      <c r="A222" t="s">
        <v>524</v>
      </c>
      <c r="B222" s="1" t="s">
        <v>8</v>
      </c>
      <c r="C222" t="s">
        <v>898</v>
      </c>
      <c r="D222">
        <f t="shared" si="18"/>
        <v>1.9193857965451055E-3</v>
      </c>
      <c r="F222">
        <v>0.42</v>
      </c>
      <c r="G222">
        <v>0.42</v>
      </c>
      <c r="H222">
        <f t="shared" si="19"/>
        <v>0.1</v>
      </c>
      <c r="J222">
        <f t="shared" si="20"/>
        <v>1.9193857965451057E-4</v>
      </c>
      <c r="K222">
        <f t="shared" si="21"/>
        <v>0.36391554702494633</v>
      </c>
      <c r="L222" s="11">
        <f t="shared" si="22"/>
        <v>5.2742616033756105E-4</v>
      </c>
      <c r="M222">
        <f t="shared" si="23"/>
        <v>5.7430080426679369E-3</v>
      </c>
    </row>
    <row r="223" spans="1:13" ht="15">
      <c r="A223" t="s">
        <v>536</v>
      </c>
      <c r="B223" s="1" t="s">
        <v>445</v>
      </c>
      <c r="C223" t="s">
        <v>838</v>
      </c>
      <c r="D223">
        <f t="shared" si="18"/>
        <v>1.9193857965451055E-3</v>
      </c>
      <c r="F223">
        <v>0.42</v>
      </c>
      <c r="G223">
        <v>0.42</v>
      </c>
      <c r="H223">
        <f t="shared" si="19"/>
        <v>0.1</v>
      </c>
      <c r="J223">
        <f t="shared" si="20"/>
        <v>1.9193857965451057E-4</v>
      </c>
      <c r="K223">
        <f t="shared" si="21"/>
        <v>0.36391554702494633</v>
      </c>
      <c r="L223" s="11">
        <f t="shared" si="22"/>
        <v>5.2742616033756105E-4</v>
      </c>
      <c r="M223">
        <f t="shared" si="23"/>
        <v>5.7430080426679369E-3</v>
      </c>
    </row>
    <row r="224" spans="1:13" ht="15">
      <c r="A224" t="s">
        <v>534</v>
      </c>
      <c r="B224" s="1" t="s">
        <v>127</v>
      </c>
      <c r="C224" t="s">
        <v>983</v>
      </c>
      <c r="D224">
        <f t="shared" si="18"/>
        <v>1.9193857965451055E-3</v>
      </c>
      <c r="F224">
        <v>0.42</v>
      </c>
      <c r="G224">
        <v>0.42</v>
      </c>
      <c r="H224">
        <f t="shared" si="19"/>
        <v>0.1</v>
      </c>
      <c r="J224">
        <f t="shared" si="20"/>
        <v>1.9193857965451057E-4</v>
      </c>
      <c r="K224">
        <f t="shared" si="21"/>
        <v>0.36391554702494633</v>
      </c>
      <c r="L224" s="11">
        <f t="shared" si="22"/>
        <v>5.2742616033756105E-4</v>
      </c>
      <c r="M224">
        <f t="shared" si="23"/>
        <v>5.7430080426679369E-3</v>
      </c>
    </row>
    <row r="225" spans="1:13" ht="15">
      <c r="A225" t="s">
        <v>536</v>
      </c>
      <c r="B225" s="1" t="s">
        <v>432</v>
      </c>
      <c r="C225" t="s">
        <v>768</v>
      </c>
      <c r="D225">
        <f t="shared" si="18"/>
        <v>1.9193857965451055E-3</v>
      </c>
      <c r="F225">
        <v>0.41</v>
      </c>
      <c r="G225">
        <v>0.41</v>
      </c>
      <c r="H225">
        <f t="shared" si="19"/>
        <v>0.1</v>
      </c>
      <c r="J225">
        <f t="shared" si="20"/>
        <v>1.9193857965451057E-4</v>
      </c>
      <c r="K225">
        <f t="shared" si="21"/>
        <v>0.36391554702494633</v>
      </c>
      <c r="L225" s="11">
        <f t="shared" si="22"/>
        <v>5.2742616033756105E-4</v>
      </c>
      <c r="M225">
        <f t="shared" si="23"/>
        <v>5.7430080426679369E-3</v>
      </c>
    </row>
    <row r="226" spans="1:13" ht="15">
      <c r="A226" t="s">
        <v>541</v>
      </c>
      <c r="B226" s="1" t="s">
        <v>216</v>
      </c>
      <c r="C226" t="s">
        <v>984</v>
      </c>
      <c r="D226">
        <f t="shared" si="18"/>
        <v>1.9193857965451055E-3</v>
      </c>
      <c r="F226">
        <v>0.41</v>
      </c>
      <c r="G226">
        <v>0.41</v>
      </c>
      <c r="H226">
        <f t="shared" si="19"/>
        <v>0.1</v>
      </c>
      <c r="J226">
        <f t="shared" si="20"/>
        <v>1.9193857965451057E-4</v>
      </c>
      <c r="K226">
        <f t="shared" si="21"/>
        <v>0.36391554702494633</v>
      </c>
      <c r="L226" s="11">
        <f t="shared" si="22"/>
        <v>5.2742616033756105E-4</v>
      </c>
      <c r="M226">
        <f t="shared" si="23"/>
        <v>5.7430080426679369E-3</v>
      </c>
    </row>
    <row r="227" spans="1:13" ht="15">
      <c r="A227" t="s">
        <v>537</v>
      </c>
      <c r="B227" s="1" t="s">
        <v>178</v>
      </c>
      <c r="C227" t="s">
        <v>751</v>
      </c>
      <c r="D227">
        <f t="shared" si="18"/>
        <v>1.9193857965451055E-3</v>
      </c>
      <c r="F227">
        <v>0.4</v>
      </c>
      <c r="G227">
        <v>0.4</v>
      </c>
      <c r="H227">
        <f t="shared" si="19"/>
        <v>0.1</v>
      </c>
      <c r="J227">
        <f t="shared" si="20"/>
        <v>1.9193857965451057E-4</v>
      </c>
      <c r="K227">
        <f t="shared" si="21"/>
        <v>0.36391554702494633</v>
      </c>
      <c r="L227" s="11">
        <f t="shared" si="22"/>
        <v>5.2742616033756105E-4</v>
      </c>
      <c r="M227">
        <f t="shared" si="23"/>
        <v>5.7430080426679369E-3</v>
      </c>
    </row>
    <row r="228" spans="1:13" ht="15">
      <c r="A228" t="s">
        <v>535</v>
      </c>
      <c r="B228" s="1" t="s">
        <v>403</v>
      </c>
      <c r="C228" t="s">
        <v>881</v>
      </c>
      <c r="D228">
        <f t="shared" si="18"/>
        <v>1.9193857965451055E-3</v>
      </c>
      <c r="F228">
        <v>0.4</v>
      </c>
      <c r="G228">
        <v>0.4</v>
      </c>
      <c r="H228">
        <f t="shared" si="19"/>
        <v>0.1</v>
      </c>
      <c r="J228">
        <f t="shared" si="20"/>
        <v>1.9193857965451057E-4</v>
      </c>
      <c r="K228">
        <f t="shared" si="21"/>
        <v>0.36391554702494633</v>
      </c>
      <c r="L228" s="11">
        <f t="shared" si="22"/>
        <v>5.2742616033756105E-4</v>
      </c>
      <c r="M228">
        <f t="shared" si="23"/>
        <v>5.7430080426679369E-3</v>
      </c>
    </row>
    <row r="229" spans="1:13" ht="15">
      <c r="A229" t="s">
        <v>534</v>
      </c>
      <c r="B229" s="1" t="s">
        <v>97</v>
      </c>
      <c r="C229" t="s">
        <v>594</v>
      </c>
      <c r="D229">
        <f t="shared" si="18"/>
        <v>1.9193857965451055E-3</v>
      </c>
      <c r="F229">
        <v>0.39</v>
      </c>
      <c r="G229">
        <v>0.39</v>
      </c>
      <c r="H229">
        <f t="shared" si="19"/>
        <v>0.1</v>
      </c>
      <c r="J229">
        <f t="shared" si="20"/>
        <v>1.9193857965451057E-4</v>
      </c>
      <c r="K229">
        <f t="shared" si="21"/>
        <v>0.36391554702494633</v>
      </c>
      <c r="L229" s="11">
        <f t="shared" si="22"/>
        <v>5.2742616033756105E-4</v>
      </c>
      <c r="M229">
        <f t="shared" si="23"/>
        <v>5.7430080426679369E-3</v>
      </c>
    </row>
    <row r="230" spans="1:13" ht="15">
      <c r="A230" t="s">
        <v>540</v>
      </c>
      <c r="B230" s="1" t="s">
        <v>248</v>
      </c>
      <c r="C230" t="s">
        <v>801</v>
      </c>
      <c r="D230">
        <f t="shared" si="18"/>
        <v>1.9193857965451055E-3</v>
      </c>
      <c r="F230">
        <v>0.38</v>
      </c>
      <c r="G230">
        <v>0.38</v>
      </c>
      <c r="H230">
        <f t="shared" si="19"/>
        <v>0.1</v>
      </c>
      <c r="J230">
        <f t="shared" si="20"/>
        <v>1.9193857965451057E-4</v>
      </c>
      <c r="K230">
        <f t="shared" si="21"/>
        <v>0.36391554702494633</v>
      </c>
      <c r="L230" s="11">
        <f t="shared" si="22"/>
        <v>5.2742616033756105E-4</v>
      </c>
      <c r="M230">
        <f t="shared" si="23"/>
        <v>5.7430080426679369E-3</v>
      </c>
    </row>
    <row r="231" spans="1:13" ht="15">
      <c r="A231" t="s">
        <v>542</v>
      </c>
      <c r="B231" s="1" t="s">
        <v>507</v>
      </c>
      <c r="C231" t="s">
        <v>836</v>
      </c>
      <c r="D231">
        <f t="shared" si="18"/>
        <v>1.9193857965451055E-3</v>
      </c>
      <c r="F231">
        <v>0.38</v>
      </c>
      <c r="G231">
        <v>0.38</v>
      </c>
      <c r="H231">
        <f t="shared" si="19"/>
        <v>0.1</v>
      </c>
      <c r="J231">
        <f t="shared" si="20"/>
        <v>1.9193857965451057E-4</v>
      </c>
      <c r="K231">
        <f t="shared" si="21"/>
        <v>0.36391554702494633</v>
      </c>
      <c r="L231" s="11">
        <f t="shared" si="22"/>
        <v>5.2742616033756105E-4</v>
      </c>
      <c r="M231">
        <f t="shared" si="23"/>
        <v>5.7430080426679369E-3</v>
      </c>
    </row>
    <row r="232" spans="1:13" ht="15">
      <c r="A232" t="s">
        <v>534</v>
      </c>
      <c r="B232" s="1" t="s">
        <v>112</v>
      </c>
      <c r="C232" t="s">
        <v>985</v>
      </c>
      <c r="D232">
        <f t="shared" si="18"/>
        <v>1.9193857965451055E-3</v>
      </c>
      <c r="F232">
        <v>0.38</v>
      </c>
      <c r="G232">
        <v>0.38</v>
      </c>
      <c r="H232">
        <f t="shared" si="19"/>
        <v>0.1</v>
      </c>
      <c r="J232">
        <f t="shared" si="20"/>
        <v>1.9193857965451057E-4</v>
      </c>
      <c r="K232">
        <f t="shared" si="21"/>
        <v>0.36391554702494633</v>
      </c>
      <c r="L232" s="11">
        <f t="shared" si="22"/>
        <v>5.2742616033756105E-4</v>
      </c>
      <c r="M232">
        <f t="shared" si="23"/>
        <v>5.7430080426679369E-3</v>
      </c>
    </row>
    <row r="233" spans="1:13" ht="15">
      <c r="A233" t="s">
        <v>541</v>
      </c>
      <c r="B233" s="1" t="s">
        <v>217</v>
      </c>
      <c r="C233" t="s">
        <v>829</v>
      </c>
      <c r="D233">
        <f t="shared" si="18"/>
        <v>1.9193857965451055E-3</v>
      </c>
      <c r="F233">
        <v>0.37</v>
      </c>
      <c r="G233">
        <v>0.37</v>
      </c>
      <c r="H233">
        <f t="shared" si="19"/>
        <v>0.1</v>
      </c>
      <c r="J233">
        <f t="shared" si="20"/>
        <v>1.9193857965451057E-4</v>
      </c>
      <c r="K233">
        <f t="shared" si="21"/>
        <v>0.36391554702494633</v>
      </c>
      <c r="L233" s="11">
        <f t="shared" si="22"/>
        <v>5.2742616033756105E-4</v>
      </c>
      <c r="M233">
        <f t="shared" si="23"/>
        <v>5.7430080426679369E-3</v>
      </c>
    </row>
    <row r="234" spans="1:13" ht="15">
      <c r="A234" t="s">
        <v>535</v>
      </c>
      <c r="B234" s="1" t="s">
        <v>390</v>
      </c>
      <c r="C234" t="s">
        <v>595</v>
      </c>
      <c r="D234">
        <f t="shared" si="18"/>
        <v>1.9193857965451055E-3</v>
      </c>
      <c r="F234">
        <v>0.37</v>
      </c>
      <c r="G234">
        <v>0.37</v>
      </c>
      <c r="H234">
        <f t="shared" si="19"/>
        <v>0.1</v>
      </c>
      <c r="J234">
        <f t="shared" si="20"/>
        <v>1.9193857965451057E-4</v>
      </c>
      <c r="K234">
        <f t="shared" si="21"/>
        <v>0.36391554702494633</v>
      </c>
      <c r="L234" s="11">
        <f t="shared" si="22"/>
        <v>5.2742616033756105E-4</v>
      </c>
      <c r="M234">
        <f t="shared" si="23"/>
        <v>5.7430080426679369E-3</v>
      </c>
    </row>
    <row r="235" spans="1:13" ht="15">
      <c r="A235" t="s">
        <v>542</v>
      </c>
      <c r="B235" s="1" t="s">
        <v>518</v>
      </c>
      <c r="C235" t="s">
        <v>986</v>
      </c>
      <c r="D235">
        <f t="shared" si="18"/>
        <v>1.9193857965451055E-3</v>
      </c>
      <c r="F235">
        <v>0.36</v>
      </c>
      <c r="G235">
        <v>0.36</v>
      </c>
      <c r="H235">
        <f t="shared" si="19"/>
        <v>0.1</v>
      </c>
      <c r="J235">
        <f t="shared" si="20"/>
        <v>1.9193857965451057E-4</v>
      </c>
      <c r="K235">
        <f t="shared" si="21"/>
        <v>0.36391554702494633</v>
      </c>
      <c r="L235" s="11">
        <f t="shared" si="22"/>
        <v>5.2742616033756105E-4</v>
      </c>
      <c r="M235">
        <f t="shared" si="23"/>
        <v>5.7430080426679369E-3</v>
      </c>
    </row>
    <row r="236" spans="1:13" ht="15">
      <c r="A236" t="s">
        <v>540</v>
      </c>
      <c r="B236" s="1" t="s">
        <v>254</v>
      </c>
      <c r="C236" t="s">
        <v>805</v>
      </c>
      <c r="D236">
        <f t="shared" si="18"/>
        <v>1.9193857965451055E-3</v>
      </c>
      <c r="F236">
        <v>0.35</v>
      </c>
      <c r="G236">
        <v>0.35</v>
      </c>
      <c r="H236">
        <f t="shared" si="19"/>
        <v>0.1</v>
      </c>
      <c r="J236">
        <f t="shared" si="20"/>
        <v>1.9193857965451057E-4</v>
      </c>
      <c r="K236">
        <f t="shared" si="21"/>
        <v>0.36391554702494633</v>
      </c>
      <c r="L236" s="11">
        <f t="shared" si="22"/>
        <v>5.2742616033756105E-4</v>
      </c>
      <c r="M236">
        <f t="shared" si="23"/>
        <v>5.7430080426679369E-3</v>
      </c>
    </row>
    <row r="237" spans="1:13" ht="15">
      <c r="A237" t="s">
        <v>540</v>
      </c>
      <c r="B237" s="1" t="s">
        <v>274</v>
      </c>
      <c r="C237" t="s">
        <v>875</v>
      </c>
      <c r="D237">
        <f t="shared" si="18"/>
        <v>1.9193857965451055E-3</v>
      </c>
      <c r="F237">
        <v>0.35</v>
      </c>
      <c r="G237">
        <v>0.35</v>
      </c>
      <c r="H237">
        <f t="shared" si="19"/>
        <v>0.1</v>
      </c>
      <c r="J237">
        <f t="shared" si="20"/>
        <v>1.9193857965451057E-4</v>
      </c>
      <c r="K237">
        <f t="shared" si="21"/>
        <v>0.36391554702494633</v>
      </c>
      <c r="L237" s="11">
        <f t="shared" si="22"/>
        <v>5.2742616033756105E-4</v>
      </c>
      <c r="M237">
        <f t="shared" si="23"/>
        <v>5.7430080426679369E-3</v>
      </c>
    </row>
    <row r="238" spans="1:13" ht="15">
      <c r="A238" t="s">
        <v>537</v>
      </c>
      <c r="B238" s="1" t="s">
        <v>172</v>
      </c>
      <c r="C238" t="s">
        <v>987</v>
      </c>
      <c r="D238">
        <f t="shared" si="18"/>
        <v>1.9193857965451055E-3</v>
      </c>
      <c r="F238">
        <v>0.34</v>
      </c>
      <c r="G238">
        <v>0.34</v>
      </c>
      <c r="H238">
        <f t="shared" si="19"/>
        <v>0.1</v>
      </c>
      <c r="J238">
        <f t="shared" si="20"/>
        <v>1.9193857965451057E-4</v>
      </c>
      <c r="K238">
        <f t="shared" si="21"/>
        <v>0.36391554702494633</v>
      </c>
      <c r="L238" s="11">
        <f t="shared" si="22"/>
        <v>5.2742616033756105E-4</v>
      </c>
      <c r="M238">
        <f t="shared" si="23"/>
        <v>5.7430080426679369E-3</v>
      </c>
    </row>
    <row r="239" spans="1:13" ht="15">
      <c r="A239" t="s">
        <v>534</v>
      </c>
      <c r="B239" s="1" t="s">
        <v>107</v>
      </c>
      <c r="C239" t="s">
        <v>844</v>
      </c>
      <c r="D239">
        <f t="shared" si="18"/>
        <v>1.9193857965451055E-3</v>
      </c>
      <c r="F239">
        <v>0.34</v>
      </c>
      <c r="G239">
        <v>0.34</v>
      </c>
      <c r="H239">
        <f t="shared" si="19"/>
        <v>0.1</v>
      </c>
      <c r="J239">
        <f t="shared" si="20"/>
        <v>1.9193857965451057E-4</v>
      </c>
      <c r="K239">
        <f t="shared" si="21"/>
        <v>0.36391554702494633</v>
      </c>
      <c r="L239" s="11">
        <f t="shared" si="22"/>
        <v>5.2742616033756105E-4</v>
      </c>
      <c r="M239">
        <f t="shared" si="23"/>
        <v>5.7430080426679369E-3</v>
      </c>
    </row>
    <row r="240" spans="1:13" ht="15">
      <c r="A240" t="s">
        <v>540</v>
      </c>
      <c r="B240" s="1" t="s">
        <v>252</v>
      </c>
      <c r="C240" t="s">
        <v>803</v>
      </c>
      <c r="D240">
        <f t="shared" si="18"/>
        <v>1.9193857965451055E-3</v>
      </c>
      <c r="F240">
        <v>0.33</v>
      </c>
      <c r="G240">
        <v>0.33</v>
      </c>
      <c r="H240">
        <f t="shared" si="19"/>
        <v>0.1</v>
      </c>
      <c r="J240">
        <f t="shared" si="20"/>
        <v>1.9193857965451057E-4</v>
      </c>
      <c r="K240">
        <f t="shared" si="21"/>
        <v>0.36391554702494633</v>
      </c>
      <c r="L240" s="11">
        <f t="shared" si="22"/>
        <v>5.2742616033756105E-4</v>
      </c>
      <c r="M240">
        <f t="shared" si="23"/>
        <v>5.7430080426679369E-3</v>
      </c>
    </row>
    <row r="241" spans="1:13" ht="15">
      <c r="A241" t="s">
        <v>524</v>
      </c>
      <c r="B241" s="1" t="s">
        <v>30</v>
      </c>
      <c r="C241" t="s">
        <v>596</v>
      </c>
      <c r="D241">
        <f t="shared" si="18"/>
        <v>1.9193857965451055E-3</v>
      </c>
      <c r="F241">
        <v>0.33</v>
      </c>
      <c r="G241">
        <v>0.33</v>
      </c>
      <c r="H241">
        <f t="shared" si="19"/>
        <v>0.1</v>
      </c>
      <c r="J241">
        <f t="shared" si="20"/>
        <v>1.9193857965451057E-4</v>
      </c>
      <c r="K241">
        <f t="shared" si="21"/>
        <v>0.36391554702494633</v>
      </c>
      <c r="L241" s="11">
        <f t="shared" si="22"/>
        <v>5.2742616033756105E-4</v>
      </c>
      <c r="M241">
        <f t="shared" si="23"/>
        <v>5.7430080426679369E-3</v>
      </c>
    </row>
    <row r="242" spans="1:13" ht="15">
      <c r="A242" t="s">
        <v>536</v>
      </c>
      <c r="B242" s="1" t="s">
        <v>429</v>
      </c>
      <c r="C242" t="s">
        <v>756</v>
      </c>
      <c r="D242">
        <f t="shared" si="18"/>
        <v>1.9193857965451055E-3</v>
      </c>
      <c r="F242">
        <v>0.32</v>
      </c>
      <c r="G242">
        <v>0.32</v>
      </c>
      <c r="H242">
        <f t="shared" si="19"/>
        <v>0.1</v>
      </c>
      <c r="J242">
        <f t="shared" si="20"/>
        <v>1.9193857965451057E-4</v>
      </c>
      <c r="K242">
        <f t="shared" si="21"/>
        <v>0.36391554702494633</v>
      </c>
      <c r="L242" s="11">
        <f t="shared" si="22"/>
        <v>5.2742616033756105E-4</v>
      </c>
      <c r="M242">
        <f t="shared" si="23"/>
        <v>5.7430080426679369E-3</v>
      </c>
    </row>
    <row r="243" spans="1:13" ht="15">
      <c r="A243" t="s">
        <v>535</v>
      </c>
      <c r="B243" s="1" t="s">
        <v>409</v>
      </c>
      <c r="C243" t="s">
        <v>888</v>
      </c>
      <c r="D243">
        <f t="shared" si="18"/>
        <v>1.9193857965451055E-3</v>
      </c>
      <c r="F243">
        <v>0.32</v>
      </c>
      <c r="G243">
        <v>0.32</v>
      </c>
      <c r="H243">
        <f t="shared" si="19"/>
        <v>0.1</v>
      </c>
      <c r="J243">
        <f t="shared" si="20"/>
        <v>1.9193857965451057E-4</v>
      </c>
      <c r="K243">
        <f t="shared" si="21"/>
        <v>0.36391554702494633</v>
      </c>
      <c r="L243" s="11">
        <f t="shared" si="22"/>
        <v>5.2742616033756105E-4</v>
      </c>
      <c r="M243">
        <f t="shared" si="23"/>
        <v>5.7430080426679369E-3</v>
      </c>
    </row>
    <row r="244" spans="1:13" ht="15">
      <c r="A244" t="s">
        <v>536</v>
      </c>
      <c r="B244" s="1" t="s">
        <v>462</v>
      </c>
      <c r="C244" t="s">
        <v>864</v>
      </c>
      <c r="D244">
        <f t="shared" si="18"/>
        <v>1.9193857965451055E-3</v>
      </c>
      <c r="F244">
        <v>0.31</v>
      </c>
      <c r="G244">
        <v>0.31</v>
      </c>
      <c r="H244">
        <f t="shared" si="19"/>
        <v>0.1</v>
      </c>
      <c r="J244">
        <f t="shared" si="20"/>
        <v>1.9193857965451057E-4</v>
      </c>
      <c r="K244">
        <f t="shared" si="21"/>
        <v>0.36391554702494633</v>
      </c>
      <c r="L244" s="11">
        <f t="shared" si="22"/>
        <v>5.2742616033756105E-4</v>
      </c>
      <c r="M244">
        <f t="shared" si="23"/>
        <v>5.7430080426679369E-3</v>
      </c>
    </row>
    <row r="245" spans="1:13" ht="15">
      <c r="A245" t="s">
        <v>536</v>
      </c>
      <c r="B245" s="1" t="s">
        <v>484</v>
      </c>
      <c r="C245" t="s">
        <v>890</v>
      </c>
      <c r="D245">
        <f t="shared" si="18"/>
        <v>1.9193857965451055E-3</v>
      </c>
      <c r="F245">
        <v>0.31</v>
      </c>
      <c r="G245">
        <v>0.31</v>
      </c>
      <c r="H245">
        <f t="shared" si="19"/>
        <v>0.1</v>
      </c>
      <c r="J245">
        <f t="shared" si="20"/>
        <v>1.9193857965451057E-4</v>
      </c>
      <c r="K245">
        <f t="shared" si="21"/>
        <v>0.36391554702494633</v>
      </c>
      <c r="L245" s="11">
        <f t="shared" si="22"/>
        <v>5.2742616033756105E-4</v>
      </c>
      <c r="M245">
        <f t="shared" si="23"/>
        <v>5.7430080426679369E-3</v>
      </c>
    </row>
    <row r="246" spans="1:13" ht="15">
      <c r="A246" t="s">
        <v>536</v>
      </c>
      <c r="B246" s="1" t="s">
        <v>435</v>
      </c>
      <c r="C246" t="s">
        <v>779</v>
      </c>
      <c r="D246">
        <f t="shared" si="18"/>
        <v>1.9193857965451055E-3</v>
      </c>
      <c r="F246">
        <v>0.28999999999999998</v>
      </c>
      <c r="G246">
        <v>0.28999999999999998</v>
      </c>
      <c r="H246">
        <f t="shared" si="19"/>
        <v>0.1</v>
      </c>
      <c r="J246">
        <f t="shared" si="20"/>
        <v>1.9193857965451057E-4</v>
      </c>
      <c r="K246">
        <f t="shared" si="21"/>
        <v>0.36391554702494633</v>
      </c>
      <c r="L246" s="11">
        <f t="shared" si="22"/>
        <v>5.2742616033756105E-4</v>
      </c>
      <c r="M246">
        <f t="shared" si="23"/>
        <v>5.7430080426679369E-3</v>
      </c>
    </row>
    <row r="247" spans="1:13" ht="15">
      <c r="A247" t="s">
        <v>524</v>
      </c>
      <c r="B247" s="1" t="s">
        <v>16</v>
      </c>
      <c r="C247" t="s">
        <v>988</v>
      </c>
      <c r="D247">
        <f t="shared" si="18"/>
        <v>1.9193857965451055E-3</v>
      </c>
      <c r="F247">
        <v>0.28999999999999998</v>
      </c>
      <c r="G247">
        <v>0.28999999999999998</v>
      </c>
      <c r="H247">
        <f t="shared" si="19"/>
        <v>0.1</v>
      </c>
      <c r="J247">
        <f t="shared" si="20"/>
        <v>1.9193857965451057E-4</v>
      </c>
      <c r="K247">
        <f t="shared" si="21"/>
        <v>0.36391554702494633</v>
      </c>
      <c r="L247" s="11">
        <f t="shared" si="22"/>
        <v>5.2742616033756105E-4</v>
      </c>
      <c r="M247">
        <f t="shared" si="23"/>
        <v>5.7430080426679369E-3</v>
      </c>
    </row>
    <row r="248" spans="1:13" ht="15">
      <c r="A248" t="s">
        <v>538</v>
      </c>
      <c r="B248" s="1" t="s">
        <v>148</v>
      </c>
      <c r="C248" t="s">
        <v>891</v>
      </c>
      <c r="D248">
        <f t="shared" si="18"/>
        <v>1.9193857965451055E-3</v>
      </c>
      <c r="F248">
        <v>0.27</v>
      </c>
      <c r="G248">
        <v>0.27</v>
      </c>
      <c r="H248">
        <f t="shared" si="19"/>
        <v>0.1</v>
      </c>
      <c r="J248">
        <f t="shared" si="20"/>
        <v>1.9193857965451057E-4</v>
      </c>
      <c r="K248">
        <f t="shared" si="21"/>
        <v>0.36391554702494633</v>
      </c>
      <c r="L248" s="11">
        <f t="shared" si="22"/>
        <v>5.2742616033756105E-4</v>
      </c>
      <c r="M248">
        <f t="shared" si="23"/>
        <v>5.7430080426679369E-3</v>
      </c>
    </row>
    <row r="249" spans="1:13" ht="15">
      <c r="A249" t="s">
        <v>539</v>
      </c>
      <c r="B249" s="1" t="s">
        <v>301</v>
      </c>
      <c r="C249" t="s">
        <v>989</v>
      </c>
      <c r="D249">
        <f t="shared" si="18"/>
        <v>1.9193857965451055E-3</v>
      </c>
      <c r="F249">
        <v>0.26</v>
      </c>
      <c r="G249">
        <v>0.26</v>
      </c>
      <c r="H249">
        <f t="shared" si="19"/>
        <v>0.1</v>
      </c>
      <c r="J249">
        <f t="shared" si="20"/>
        <v>1.9193857965451057E-4</v>
      </c>
      <c r="K249">
        <f t="shared" si="21"/>
        <v>0.36391554702494633</v>
      </c>
      <c r="L249" s="11">
        <f t="shared" si="22"/>
        <v>5.2742616033756105E-4</v>
      </c>
      <c r="M249">
        <f t="shared" si="23"/>
        <v>5.7430080426679369E-3</v>
      </c>
    </row>
    <row r="250" spans="1:13" ht="15">
      <c r="A250" t="s">
        <v>540</v>
      </c>
      <c r="B250" s="1" t="s">
        <v>266</v>
      </c>
      <c r="C250" t="s">
        <v>832</v>
      </c>
      <c r="D250">
        <f t="shared" si="18"/>
        <v>1.9193857965451055E-3</v>
      </c>
      <c r="F250">
        <v>0.26</v>
      </c>
      <c r="G250">
        <v>0.26</v>
      </c>
      <c r="H250">
        <f t="shared" si="19"/>
        <v>0.1</v>
      </c>
      <c r="J250">
        <f t="shared" si="20"/>
        <v>1.9193857965451057E-4</v>
      </c>
      <c r="K250">
        <f t="shared" si="21"/>
        <v>0.36391554702494633</v>
      </c>
      <c r="L250" s="11">
        <f t="shared" si="22"/>
        <v>5.2742616033756105E-4</v>
      </c>
      <c r="M250">
        <f t="shared" si="23"/>
        <v>5.7430080426679369E-3</v>
      </c>
    </row>
    <row r="251" spans="1:13" ht="15">
      <c r="A251" t="s">
        <v>537</v>
      </c>
      <c r="B251" s="1" t="s">
        <v>203</v>
      </c>
      <c r="C251" t="s">
        <v>810</v>
      </c>
      <c r="D251">
        <f t="shared" si="18"/>
        <v>1.9193857965451055E-3</v>
      </c>
      <c r="F251">
        <v>0.25</v>
      </c>
      <c r="G251">
        <v>0.25</v>
      </c>
      <c r="H251">
        <f t="shared" si="19"/>
        <v>0.1</v>
      </c>
      <c r="J251">
        <f t="shared" si="20"/>
        <v>1.9193857965451057E-4</v>
      </c>
      <c r="K251">
        <f t="shared" si="21"/>
        <v>0.36391554702494633</v>
      </c>
      <c r="L251" s="11">
        <f t="shared" si="22"/>
        <v>5.2742616033756105E-4</v>
      </c>
      <c r="M251">
        <f t="shared" si="23"/>
        <v>5.7430080426679369E-3</v>
      </c>
    </row>
    <row r="252" spans="1:13" ht="15">
      <c r="A252" t="s">
        <v>524</v>
      </c>
      <c r="B252" s="1" t="s">
        <v>40</v>
      </c>
      <c r="C252" t="s">
        <v>854</v>
      </c>
      <c r="D252">
        <f t="shared" si="18"/>
        <v>1.9193857965451055E-3</v>
      </c>
      <c r="F252">
        <v>0.23</v>
      </c>
      <c r="G252">
        <v>0.23</v>
      </c>
      <c r="H252">
        <f t="shared" si="19"/>
        <v>0.1</v>
      </c>
      <c r="J252">
        <f t="shared" si="20"/>
        <v>1.9193857965451057E-4</v>
      </c>
      <c r="K252">
        <f t="shared" si="21"/>
        <v>0.36391554702494633</v>
      </c>
      <c r="L252" s="11">
        <f t="shared" si="22"/>
        <v>5.2742616033756105E-4</v>
      </c>
      <c r="M252">
        <f t="shared" si="23"/>
        <v>5.7430080426679369E-3</v>
      </c>
    </row>
    <row r="253" spans="1:13" ht="15">
      <c r="A253" t="s">
        <v>524</v>
      </c>
      <c r="B253" s="1" t="s">
        <v>35</v>
      </c>
      <c r="C253" t="s">
        <v>849</v>
      </c>
      <c r="D253">
        <f t="shared" si="18"/>
        <v>1.9193857965451055E-3</v>
      </c>
      <c r="F253">
        <v>0.21</v>
      </c>
      <c r="G253">
        <v>0.21</v>
      </c>
      <c r="H253">
        <f t="shared" si="19"/>
        <v>0.1</v>
      </c>
      <c r="J253">
        <f t="shared" si="20"/>
        <v>1.9193857965451057E-4</v>
      </c>
      <c r="K253">
        <f t="shared" si="21"/>
        <v>0.36391554702494633</v>
      </c>
      <c r="L253" s="11">
        <f t="shared" si="22"/>
        <v>5.2742616033756105E-4</v>
      </c>
      <c r="M253">
        <f t="shared" si="23"/>
        <v>5.7430080426679369E-3</v>
      </c>
    </row>
    <row r="254" spans="1:13" ht="15">
      <c r="A254" t="s">
        <v>524</v>
      </c>
      <c r="B254" s="1" t="s">
        <v>47</v>
      </c>
      <c r="C254" t="s">
        <v>597</v>
      </c>
      <c r="D254">
        <f t="shared" si="18"/>
        <v>1.9193857965451055E-3</v>
      </c>
      <c r="F254">
        <v>0.21</v>
      </c>
      <c r="G254">
        <v>0.21</v>
      </c>
      <c r="H254">
        <f t="shared" si="19"/>
        <v>0.1</v>
      </c>
      <c r="J254">
        <f t="shared" si="20"/>
        <v>1.9193857965451057E-4</v>
      </c>
      <c r="K254">
        <f t="shared" si="21"/>
        <v>0.36391554702494633</v>
      </c>
      <c r="L254" s="11">
        <f t="shared" si="22"/>
        <v>5.2742616033756105E-4</v>
      </c>
      <c r="M254">
        <f t="shared" si="23"/>
        <v>5.7430080426679369E-3</v>
      </c>
    </row>
    <row r="255" spans="1:13" ht="15">
      <c r="A255" t="s">
        <v>536</v>
      </c>
      <c r="B255" s="1" t="s">
        <v>438</v>
      </c>
      <c r="C255" t="s">
        <v>820</v>
      </c>
      <c r="D255">
        <f t="shared" si="18"/>
        <v>1.9193857965451055E-3</v>
      </c>
      <c r="F255">
        <v>0.2</v>
      </c>
      <c r="G255">
        <v>0.2</v>
      </c>
      <c r="H255">
        <f t="shared" si="19"/>
        <v>0.1</v>
      </c>
      <c r="J255">
        <f t="shared" si="20"/>
        <v>1.9193857965451057E-4</v>
      </c>
      <c r="K255">
        <f t="shared" si="21"/>
        <v>0.36391554702494633</v>
      </c>
      <c r="L255" s="11">
        <f t="shared" si="22"/>
        <v>5.2742616033756105E-4</v>
      </c>
      <c r="M255">
        <f t="shared" si="23"/>
        <v>5.7430080426679369E-3</v>
      </c>
    </row>
    <row r="256" spans="1:13" ht="15">
      <c r="A256" t="s">
        <v>535</v>
      </c>
      <c r="B256" s="1" t="s">
        <v>320</v>
      </c>
      <c r="C256" t="e">
        <v>#N/A</v>
      </c>
      <c r="D256">
        <f t="shared" si="18"/>
        <v>1.9193857965451055E-3</v>
      </c>
      <c r="F256" t="e">
        <v>#N/A</v>
      </c>
      <c r="G256">
        <v>0</v>
      </c>
      <c r="H256">
        <f t="shared" si="19"/>
        <v>0.1</v>
      </c>
      <c r="J256">
        <f t="shared" si="20"/>
        <v>1.9193857965451057E-4</v>
      </c>
      <c r="K256">
        <f t="shared" si="21"/>
        <v>0.36391554702494633</v>
      </c>
      <c r="L256" s="11">
        <f t="shared" si="22"/>
        <v>5.2742616033756105E-4</v>
      </c>
      <c r="M256">
        <f t="shared" si="23"/>
        <v>5.7430080426679369E-3</v>
      </c>
    </row>
    <row r="257" spans="1:13" ht="15">
      <c r="A257" t="s">
        <v>539</v>
      </c>
      <c r="B257" s="1" t="s">
        <v>288</v>
      </c>
      <c r="C257" t="e">
        <v>#N/A</v>
      </c>
      <c r="D257">
        <f t="shared" si="18"/>
        <v>1.9193857965451055E-3</v>
      </c>
      <c r="F257" t="e">
        <v>#N/A</v>
      </c>
      <c r="G257">
        <v>0</v>
      </c>
      <c r="H257">
        <f t="shared" si="19"/>
        <v>0.1</v>
      </c>
      <c r="J257">
        <f t="shared" si="20"/>
        <v>1.9193857965451057E-4</v>
      </c>
      <c r="K257">
        <f t="shared" si="21"/>
        <v>0.36391554702494633</v>
      </c>
      <c r="L257" s="11">
        <f t="shared" si="22"/>
        <v>5.2742616033756105E-4</v>
      </c>
      <c r="M257">
        <f t="shared" si="23"/>
        <v>5.7430080426679369E-3</v>
      </c>
    </row>
    <row r="258" spans="1:13" ht="15">
      <c r="A258" t="s">
        <v>539</v>
      </c>
      <c r="B258" s="1" t="s">
        <v>290</v>
      </c>
      <c r="C258" t="e">
        <v>#N/A</v>
      </c>
      <c r="D258">
        <f t="shared" ref="D258:D321" si="24">1/521</f>
        <v>1.9193857965451055E-3</v>
      </c>
      <c r="F258" t="e">
        <v>#N/A</v>
      </c>
      <c r="G258">
        <v>0</v>
      </c>
      <c r="H258">
        <f t="shared" ref="H258:H321" si="25">IF(G258&gt;1,0.95,IF(G258&lt;0.6, 0.1, 0.7))</f>
        <v>0.1</v>
      </c>
      <c r="J258">
        <f t="shared" si="20"/>
        <v>1.9193857965451057E-4</v>
      </c>
      <c r="K258">
        <f t="shared" si="21"/>
        <v>0.36391554702494633</v>
      </c>
      <c r="L258" s="11">
        <f t="shared" si="22"/>
        <v>5.2742616033756105E-4</v>
      </c>
      <c r="M258">
        <f t="shared" si="23"/>
        <v>5.7430080426679369E-3</v>
      </c>
    </row>
    <row r="259" spans="1:13" ht="15">
      <c r="A259" t="s">
        <v>539</v>
      </c>
      <c r="B259" s="1" t="s">
        <v>291</v>
      </c>
      <c r="C259" t="e">
        <v>#N/A</v>
      </c>
      <c r="D259">
        <f t="shared" si="24"/>
        <v>1.9193857965451055E-3</v>
      </c>
      <c r="F259" t="e">
        <v>#N/A</v>
      </c>
      <c r="G259">
        <v>0</v>
      </c>
      <c r="H259">
        <f t="shared" si="25"/>
        <v>0.1</v>
      </c>
      <c r="J259">
        <f t="shared" ref="J259:J322" si="26">D259*H259</f>
        <v>1.9193857965451057E-4</v>
      </c>
      <c r="K259">
        <f t="shared" ref="K259:K322" si="27">SUM(J$2:J$523)</f>
        <v>0.36391554702494633</v>
      </c>
      <c r="L259" s="11">
        <f t="shared" ref="L259:L322" si="28">J259/K259</f>
        <v>5.2742616033756105E-4</v>
      </c>
      <c r="M259">
        <f t="shared" ref="M259:M322" si="29">L259*-LOG(L259,2)</f>
        <v>5.7430080426679369E-3</v>
      </c>
    </row>
    <row r="260" spans="1:13" ht="15">
      <c r="A260" t="s">
        <v>542</v>
      </c>
      <c r="B260" s="1" t="s">
        <v>493</v>
      </c>
      <c r="C260" t="e">
        <v>#N/A</v>
      </c>
      <c r="D260">
        <f t="shared" si="24"/>
        <v>1.9193857965451055E-3</v>
      </c>
      <c r="F260" t="e">
        <v>#N/A</v>
      </c>
      <c r="G260">
        <v>0</v>
      </c>
      <c r="H260">
        <f t="shared" si="25"/>
        <v>0.1</v>
      </c>
      <c r="J260">
        <f t="shared" si="26"/>
        <v>1.9193857965451057E-4</v>
      </c>
      <c r="K260">
        <f t="shared" si="27"/>
        <v>0.36391554702494633</v>
      </c>
      <c r="L260" s="11">
        <f t="shared" si="28"/>
        <v>5.2742616033756105E-4</v>
      </c>
      <c r="M260">
        <f t="shared" si="29"/>
        <v>5.7430080426679369E-3</v>
      </c>
    </row>
    <row r="261" spans="1:13" ht="15">
      <c r="A261" t="s">
        <v>542</v>
      </c>
      <c r="B261" s="1" t="s">
        <v>494</v>
      </c>
      <c r="C261" t="e">
        <v>#N/A</v>
      </c>
      <c r="D261">
        <f t="shared" si="24"/>
        <v>1.9193857965451055E-3</v>
      </c>
      <c r="F261" t="e">
        <v>#N/A</v>
      </c>
      <c r="G261">
        <v>0</v>
      </c>
      <c r="H261">
        <f t="shared" si="25"/>
        <v>0.1</v>
      </c>
      <c r="J261">
        <f t="shared" si="26"/>
        <v>1.9193857965451057E-4</v>
      </c>
      <c r="K261">
        <f t="shared" si="27"/>
        <v>0.36391554702494633</v>
      </c>
      <c r="L261" s="11">
        <f t="shared" si="28"/>
        <v>5.2742616033756105E-4</v>
      </c>
      <c r="M261">
        <f t="shared" si="29"/>
        <v>5.7430080426679369E-3</v>
      </c>
    </row>
    <row r="262" spans="1:13" ht="15">
      <c r="A262" t="s">
        <v>542</v>
      </c>
      <c r="B262" s="1" t="s">
        <v>495</v>
      </c>
      <c r="C262" t="e">
        <v>#N/A</v>
      </c>
      <c r="D262">
        <f t="shared" si="24"/>
        <v>1.9193857965451055E-3</v>
      </c>
      <c r="F262" t="e">
        <v>#N/A</v>
      </c>
      <c r="G262">
        <v>0</v>
      </c>
      <c r="H262">
        <f t="shared" si="25"/>
        <v>0.1</v>
      </c>
      <c r="J262">
        <f t="shared" si="26"/>
        <v>1.9193857965451057E-4</v>
      </c>
      <c r="K262">
        <f t="shared" si="27"/>
        <v>0.36391554702494633</v>
      </c>
      <c r="L262" s="11">
        <f t="shared" si="28"/>
        <v>5.2742616033756105E-4</v>
      </c>
      <c r="M262">
        <f t="shared" si="29"/>
        <v>5.7430080426679369E-3</v>
      </c>
    </row>
    <row r="263" spans="1:13" ht="15">
      <c r="A263" t="s">
        <v>542</v>
      </c>
      <c r="B263" s="1" t="s">
        <v>496</v>
      </c>
      <c r="C263" t="e">
        <v>#N/A</v>
      </c>
      <c r="D263">
        <f t="shared" si="24"/>
        <v>1.9193857965451055E-3</v>
      </c>
      <c r="F263" t="e">
        <v>#N/A</v>
      </c>
      <c r="G263">
        <v>0</v>
      </c>
      <c r="H263">
        <f t="shared" si="25"/>
        <v>0.1</v>
      </c>
      <c r="J263">
        <f t="shared" si="26"/>
        <v>1.9193857965451057E-4</v>
      </c>
      <c r="K263">
        <f t="shared" si="27"/>
        <v>0.36391554702494633</v>
      </c>
      <c r="L263" s="11">
        <f t="shared" si="28"/>
        <v>5.2742616033756105E-4</v>
      </c>
      <c r="M263">
        <f t="shared" si="29"/>
        <v>5.7430080426679369E-3</v>
      </c>
    </row>
    <row r="264" spans="1:13" ht="15">
      <c r="A264" t="s">
        <v>524</v>
      </c>
      <c r="B264" s="1" t="s">
        <v>1</v>
      </c>
      <c r="C264" t="e">
        <v>#N/A</v>
      </c>
      <c r="D264">
        <f t="shared" si="24"/>
        <v>1.9193857965451055E-3</v>
      </c>
      <c r="F264" t="e">
        <v>#N/A</v>
      </c>
      <c r="G264">
        <v>0</v>
      </c>
      <c r="H264">
        <f t="shared" si="25"/>
        <v>0.1</v>
      </c>
      <c r="J264">
        <f t="shared" si="26"/>
        <v>1.9193857965451057E-4</v>
      </c>
      <c r="K264">
        <f t="shared" si="27"/>
        <v>0.36391554702494633</v>
      </c>
      <c r="L264" s="11">
        <f t="shared" si="28"/>
        <v>5.2742616033756105E-4</v>
      </c>
      <c r="M264">
        <f t="shared" si="29"/>
        <v>5.7430080426679369E-3</v>
      </c>
    </row>
    <row r="265" spans="1:13" ht="15">
      <c r="A265" t="s">
        <v>535</v>
      </c>
      <c r="B265" s="1" t="s">
        <v>323</v>
      </c>
      <c r="C265" t="e">
        <v>#N/A</v>
      </c>
      <c r="D265">
        <f t="shared" si="24"/>
        <v>1.9193857965451055E-3</v>
      </c>
      <c r="F265" t="e">
        <v>#N/A</v>
      </c>
      <c r="G265">
        <v>0</v>
      </c>
      <c r="H265">
        <f t="shared" si="25"/>
        <v>0.1</v>
      </c>
      <c r="J265">
        <f t="shared" si="26"/>
        <v>1.9193857965451057E-4</v>
      </c>
      <c r="K265">
        <f t="shared" si="27"/>
        <v>0.36391554702494633</v>
      </c>
      <c r="L265" s="11">
        <f t="shared" si="28"/>
        <v>5.2742616033756105E-4</v>
      </c>
      <c r="M265">
        <f t="shared" si="29"/>
        <v>5.7430080426679369E-3</v>
      </c>
    </row>
    <row r="266" spans="1:13" ht="15">
      <c r="A266" t="s">
        <v>542</v>
      </c>
      <c r="B266" s="1" t="s">
        <v>498</v>
      </c>
      <c r="C266" t="e">
        <v>#N/A</v>
      </c>
      <c r="D266">
        <f t="shared" si="24"/>
        <v>1.9193857965451055E-3</v>
      </c>
      <c r="F266" t="e">
        <v>#N/A</v>
      </c>
      <c r="G266">
        <v>0</v>
      </c>
      <c r="H266">
        <f t="shared" si="25"/>
        <v>0.1</v>
      </c>
      <c r="J266">
        <f t="shared" si="26"/>
        <v>1.9193857965451057E-4</v>
      </c>
      <c r="K266">
        <f t="shared" si="27"/>
        <v>0.36391554702494633</v>
      </c>
      <c r="L266" s="11">
        <f t="shared" si="28"/>
        <v>5.2742616033756105E-4</v>
      </c>
      <c r="M266">
        <f t="shared" si="29"/>
        <v>5.7430080426679369E-3</v>
      </c>
    </row>
    <row r="267" spans="1:13" ht="15">
      <c r="A267" t="s">
        <v>542</v>
      </c>
      <c r="B267" s="1" t="s">
        <v>499</v>
      </c>
      <c r="C267" t="e">
        <v>#N/A</v>
      </c>
      <c r="D267">
        <f t="shared" si="24"/>
        <v>1.9193857965451055E-3</v>
      </c>
      <c r="F267" t="e">
        <v>#N/A</v>
      </c>
      <c r="G267">
        <v>0</v>
      </c>
      <c r="H267">
        <f t="shared" si="25"/>
        <v>0.1</v>
      </c>
      <c r="J267">
        <f t="shared" si="26"/>
        <v>1.9193857965451057E-4</v>
      </c>
      <c r="K267">
        <f t="shared" si="27"/>
        <v>0.36391554702494633</v>
      </c>
      <c r="L267" s="11">
        <f t="shared" si="28"/>
        <v>5.2742616033756105E-4</v>
      </c>
      <c r="M267">
        <f t="shared" si="29"/>
        <v>5.7430080426679369E-3</v>
      </c>
    </row>
    <row r="268" spans="1:13" ht="15">
      <c r="A268" t="s">
        <v>542</v>
      </c>
      <c r="B268" s="1" t="s">
        <v>500</v>
      </c>
      <c r="C268" t="e">
        <v>#N/A</v>
      </c>
      <c r="D268">
        <f t="shared" si="24"/>
        <v>1.9193857965451055E-3</v>
      </c>
      <c r="F268" t="e">
        <v>#N/A</v>
      </c>
      <c r="G268">
        <v>0</v>
      </c>
      <c r="H268">
        <f t="shared" si="25"/>
        <v>0.1</v>
      </c>
      <c r="J268">
        <f t="shared" si="26"/>
        <v>1.9193857965451057E-4</v>
      </c>
      <c r="K268">
        <f t="shared" si="27"/>
        <v>0.36391554702494633</v>
      </c>
      <c r="L268" s="11">
        <f t="shared" si="28"/>
        <v>5.2742616033756105E-4</v>
      </c>
      <c r="M268">
        <f t="shared" si="29"/>
        <v>5.7430080426679369E-3</v>
      </c>
    </row>
    <row r="269" spans="1:13" ht="15">
      <c r="A269" t="s">
        <v>539</v>
      </c>
      <c r="B269" s="1" t="s">
        <v>292</v>
      </c>
      <c r="C269" t="e">
        <v>#N/A</v>
      </c>
      <c r="D269">
        <f t="shared" si="24"/>
        <v>1.9193857965451055E-3</v>
      </c>
      <c r="F269" t="e">
        <v>#N/A</v>
      </c>
      <c r="G269">
        <v>0</v>
      </c>
      <c r="H269">
        <f t="shared" si="25"/>
        <v>0.1</v>
      </c>
      <c r="J269">
        <f t="shared" si="26"/>
        <v>1.9193857965451057E-4</v>
      </c>
      <c r="K269">
        <f t="shared" si="27"/>
        <v>0.36391554702494633</v>
      </c>
      <c r="L269" s="11">
        <f t="shared" si="28"/>
        <v>5.2742616033756105E-4</v>
      </c>
      <c r="M269">
        <f t="shared" si="29"/>
        <v>5.7430080426679369E-3</v>
      </c>
    </row>
    <row r="270" spans="1:13" ht="15">
      <c r="A270" t="s">
        <v>539</v>
      </c>
      <c r="B270" s="1" t="s">
        <v>293</v>
      </c>
      <c r="C270" t="e">
        <v>#N/A</v>
      </c>
      <c r="D270">
        <f t="shared" si="24"/>
        <v>1.9193857965451055E-3</v>
      </c>
      <c r="F270" t="e">
        <v>#N/A</v>
      </c>
      <c r="G270">
        <v>0</v>
      </c>
      <c r="H270">
        <f t="shared" si="25"/>
        <v>0.1</v>
      </c>
      <c r="J270">
        <f t="shared" si="26"/>
        <v>1.9193857965451057E-4</v>
      </c>
      <c r="K270">
        <f t="shared" si="27"/>
        <v>0.36391554702494633</v>
      </c>
      <c r="L270" s="11">
        <f t="shared" si="28"/>
        <v>5.2742616033756105E-4</v>
      </c>
      <c r="M270">
        <f t="shared" si="29"/>
        <v>5.7430080426679369E-3</v>
      </c>
    </row>
    <row r="271" spans="1:13" ht="15">
      <c r="A271" t="s">
        <v>536</v>
      </c>
      <c r="B271" s="1" t="s">
        <v>416</v>
      </c>
      <c r="C271" t="e">
        <v>#N/A</v>
      </c>
      <c r="D271">
        <f t="shared" si="24"/>
        <v>1.9193857965451055E-3</v>
      </c>
      <c r="F271" t="e">
        <v>#N/A</v>
      </c>
      <c r="G271">
        <v>0</v>
      </c>
      <c r="H271">
        <f t="shared" si="25"/>
        <v>0.1</v>
      </c>
      <c r="J271">
        <f t="shared" si="26"/>
        <v>1.9193857965451057E-4</v>
      </c>
      <c r="K271">
        <f t="shared" si="27"/>
        <v>0.36391554702494633</v>
      </c>
      <c r="L271" s="11">
        <f t="shared" si="28"/>
        <v>5.2742616033756105E-4</v>
      </c>
      <c r="M271">
        <f t="shared" si="29"/>
        <v>5.7430080426679369E-3</v>
      </c>
    </row>
    <row r="272" spans="1:13" ht="15">
      <c r="A272" t="s">
        <v>535</v>
      </c>
      <c r="B272" s="1" t="s">
        <v>325</v>
      </c>
      <c r="C272" t="e">
        <v>#N/A</v>
      </c>
      <c r="D272">
        <f t="shared" si="24"/>
        <v>1.9193857965451055E-3</v>
      </c>
      <c r="F272" t="e">
        <v>#N/A</v>
      </c>
      <c r="G272">
        <v>0</v>
      </c>
      <c r="H272">
        <f t="shared" si="25"/>
        <v>0.1</v>
      </c>
      <c r="J272">
        <f t="shared" si="26"/>
        <v>1.9193857965451057E-4</v>
      </c>
      <c r="K272">
        <f t="shared" si="27"/>
        <v>0.36391554702494633</v>
      </c>
      <c r="L272" s="11">
        <f t="shared" si="28"/>
        <v>5.2742616033756105E-4</v>
      </c>
      <c r="M272">
        <f t="shared" si="29"/>
        <v>5.7430080426679369E-3</v>
      </c>
    </row>
    <row r="273" spans="1:13" ht="15">
      <c r="A273" t="s">
        <v>539</v>
      </c>
      <c r="B273" s="1" t="s">
        <v>296</v>
      </c>
      <c r="C273" t="e">
        <v>#N/A</v>
      </c>
      <c r="D273">
        <f t="shared" si="24"/>
        <v>1.9193857965451055E-3</v>
      </c>
      <c r="F273" t="e">
        <v>#N/A</v>
      </c>
      <c r="G273">
        <v>0</v>
      </c>
      <c r="H273">
        <f t="shared" si="25"/>
        <v>0.1</v>
      </c>
      <c r="J273">
        <f t="shared" si="26"/>
        <v>1.9193857965451057E-4</v>
      </c>
      <c r="K273">
        <f t="shared" si="27"/>
        <v>0.36391554702494633</v>
      </c>
      <c r="L273" s="11">
        <f t="shared" si="28"/>
        <v>5.2742616033756105E-4</v>
      </c>
      <c r="M273">
        <f t="shared" si="29"/>
        <v>5.7430080426679369E-3</v>
      </c>
    </row>
    <row r="274" spans="1:13" ht="15">
      <c r="A274" t="s">
        <v>535</v>
      </c>
      <c r="B274" s="1" t="s">
        <v>326</v>
      </c>
      <c r="C274" t="e">
        <v>#N/A</v>
      </c>
      <c r="D274">
        <f t="shared" si="24"/>
        <v>1.9193857965451055E-3</v>
      </c>
      <c r="F274" t="e">
        <v>#N/A</v>
      </c>
      <c r="G274">
        <v>0</v>
      </c>
      <c r="H274">
        <f t="shared" si="25"/>
        <v>0.1</v>
      </c>
      <c r="J274">
        <f t="shared" si="26"/>
        <v>1.9193857965451057E-4</v>
      </c>
      <c r="K274">
        <f t="shared" si="27"/>
        <v>0.36391554702494633</v>
      </c>
      <c r="L274" s="11">
        <f t="shared" si="28"/>
        <v>5.2742616033756105E-4</v>
      </c>
      <c r="M274">
        <f t="shared" si="29"/>
        <v>5.7430080426679369E-3</v>
      </c>
    </row>
    <row r="275" spans="1:13" ht="15">
      <c r="A275" t="s">
        <v>534</v>
      </c>
      <c r="B275" s="1" t="s">
        <v>57</v>
      </c>
      <c r="C275" t="e">
        <v>#N/A</v>
      </c>
      <c r="D275">
        <f t="shared" si="24"/>
        <v>1.9193857965451055E-3</v>
      </c>
      <c r="F275" t="e">
        <v>#N/A</v>
      </c>
      <c r="G275">
        <v>0</v>
      </c>
      <c r="H275">
        <f t="shared" si="25"/>
        <v>0.1</v>
      </c>
      <c r="J275">
        <f t="shared" si="26"/>
        <v>1.9193857965451057E-4</v>
      </c>
      <c r="K275">
        <f t="shared" si="27"/>
        <v>0.36391554702494633</v>
      </c>
      <c r="L275" s="11">
        <f t="shared" si="28"/>
        <v>5.2742616033756105E-4</v>
      </c>
      <c r="M275">
        <f t="shared" si="29"/>
        <v>5.7430080426679369E-3</v>
      </c>
    </row>
    <row r="276" spans="1:13" ht="15">
      <c r="A276" t="s">
        <v>534</v>
      </c>
      <c r="B276" s="1" t="s">
        <v>58</v>
      </c>
      <c r="C276" t="e">
        <v>#N/A</v>
      </c>
      <c r="D276">
        <f t="shared" si="24"/>
        <v>1.9193857965451055E-3</v>
      </c>
      <c r="F276" t="e">
        <v>#N/A</v>
      </c>
      <c r="G276">
        <v>0</v>
      </c>
      <c r="H276">
        <f t="shared" si="25"/>
        <v>0.1</v>
      </c>
      <c r="J276">
        <f t="shared" si="26"/>
        <v>1.9193857965451057E-4</v>
      </c>
      <c r="K276">
        <f t="shared" si="27"/>
        <v>0.36391554702494633</v>
      </c>
      <c r="L276" s="11">
        <f t="shared" si="28"/>
        <v>5.2742616033756105E-4</v>
      </c>
      <c r="M276">
        <f t="shared" si="29"/>
        <v>5.7430080426679369E-3</v>
      </c>
    </row>
    <row r="277" spans="1:13" ht="15">
      <c r="A277" t="s">
        <v>535</v>
      </c>
      <c r="B277" s="1" t="s">
        <v>327</v>
      </c>
      <c r="C277" t="e">
        <v>#N/A</v>
      </c>
      <c r="D277">
        <f t="shared" si="24"/>
        <v>1.9193857965451055E-3</v>
      </c>
      <c r="F277" t="e">
        <v>#N/A</v>
      </c>
      <c r="G277">
        <v>0</v>
      </c>
      <c r="H277">
        <f t="shared" si="25"/>
        <v>0.1</v>
      </c>
      <c r="J277">
        <f t="shared" si="26"/>
        <v>1.9193857965451057E-4</v>
      </c>
      <c r="K277">
        <f t="shared" si="27"/>
        <v>0.36391554702494633</v>
      </c>
      <c r="L277" s="11">
        <f t="shared" si="28"/>
        <v>5.2742616033756105E-4</v>
      </c>
      <c r="M277">
        <f t="shared" si="29"/>
        <v>5.7430080426679369E-3</v>
      </c>
    </row>
    <row r="278" spans="1:13" ht="15">
      <c r="A278" t="s">
        <v>534</v>
      </c>
      <c r="B278" s="1" t="s">
        <v>60</v>
      </c>
      <c r="C278" t="e">
        <v>#N/A</v>
      </c>
      <c r="D278">
        <f t="shared" si="24"/>
        <v>1.9193857965451055E-3</v>
      </c>
      <c r="F278" t="e">
        <v>#N/A</v>
      </c>
      <c r="G278">
        <v>0</v>
      </c>
      <c r="H278">
        <f t="shared" si="25"/>
        <v>0.1</v>
      </c>
      <c r="J278">
        <f t="shared" si="26"/>
        <v>1.9193857965451057E-4</v>
      </c>
      <c r="K278">
        <f t="shared" si="27"/>
        <v>0.36391554702494633</v>
      </c>
      <c r="L278" s="11">
        <f t="shared" si="28"/>
        <v>5.2742616033756105E-4</v>
      </c>
      <c r="M278">
        <f t="shared" si="29"/>
        <v>5.7430080426679369E-3</v>
      </c>
    </row>
    <row r="279" spans="1:13" ht="15">
      <c r="A279" t="s">
        <v>534</v>
      </c>
      <c r="B279" s="1" t="s">
        <v>61</v>
      </c>
      <c r="C279" t="e">
        <v>#N/A</v>
      </c>
      <c r="D279">
        <f t="shared" si="24"/>
        <v>1.9193857965451055E-3</v>
      </c>
      <c r="F279" t="e">
        <v>#N/A</v>
      </c>
      <c r="G279">
        <v>0</v>
      </c>
      <c r="H279">
        <f t="shared" si="25"/>
        <v>0.1</v>
      </c>
      <c r="J279">
        <f t="shared" si="26"/>
        <v>1.9193857965451057E-4</v>
      </c>
      <c r="K279">
        <f t="shared" si="27"/>
        <v>0.36391554702494633</v>
      </c>
      <c r="L279" s="11">
        <f t="shared" si="28"/>
        <v>5.2742616033756105E-4</v>
      </c>
      <c r="M279">
        <f t="shared" si="29"/>
        <v>5.7430080426679369E-3</v>
      </c>
    </row>
    <row r="280" spans="1:13" ht="15">
      <c r="A280" t="s">
        <v>534</v>
      </c>
      <c r="B280" s="1" t="s">
        <v>62</v>
      </c>
      <c r="C280" t="e">
        <v>#N/A</v>
      </c>
      <c r="D280">
        <f t="shared" si="24"/>
        <v>1.9193857965451055E-3</v>
      </c>
      <c r="F280" t="e">
        <v>#N/A</v>
      </c>
      <c r="G280">
        <v>0</v>
      </c>
      <c r="H280">
        <f t="shared" si="25"/>
        <v>0.1</v>
      </c>
      <c r="J280">
        <f t="shared" si="26"/>
        <v>1.9193857965451057E-4</v>
      </c>
      <c r="K280">
        <f t="shared" si="27"/>
        <v>0.36391554702494633</v>
      </c>
      <c r="L280" s="11">
        <f t="shared" si="28"/>
        <v>5.2742616033756105E-4</v>
      </c>
      <c r="M280">
        <f t="shared" si="29"/>
        <v>5.7430080426679369E-3</v>
      </c>
    </row>
    <row r="281" spans="1:13" ht="15">
      <c r="A281" t="s">
        <v>534</v>
      </c>
      <c r="B281" s="1" t="s">
        <v>66</v>
      </c>
      <c r="C281" t="e">
        <v>#N/A</v>
      </c>
      <c r="D281">
        <f t="shared" si="24"/>
        <v>1.9193857965451055E-3</v>
      </c>
      <c r="F281" t="e">
        <v>#N/A</v>
      </c>
      <c r="G281">
        <v>0</v>
      </c>
      <c r="H281">
        <f t="shared" si="25"/>
        <v>0.1</v>
      </c>
      <c r="J281">
        <f t="shared" si="26"/>
        <v>1.9193857965451057E-4</v>
      </c>
      <c r="K281">
        <f t="shared" si="27"/>
        <v>0.36391554702494633</v>
      </c>
      <c r="L281" s="11">
        <f t="shared" si="28"/>
        <v>5.2742616033756105E-4</v>
      </c>
      <c r="M281">
        <f t="shared" si="29"/>
        <v>5.7430080426679369E-3</v>
      </c>
    </row>
    <row r="282" spans="1:13" ht="15">
      <c r="A282" t="s">
        <v>536</v>
      </c>
      <c r="B282" s="1" t="s">
        <v>420</v>
      </c>
      <c r="C282" t="e">
        <v>#N/A</v>
      </c>
      <c r="D282">
        <f t="shared" si="24"/>
        <v>1.9193857965451055E-3</v>
      </c>
      <c r="F282" t="e">
        <v>#N/A</v>
      </c>
      <c r="G282">
        <v>0</v>
      </c>
      <c r="H282">
        <f t="shared" si="25"/>
        <v>0.1</v>
      </c>
      <c r="J282">
        <f t="shared" si="26"/>
        <v>1.9193857965451057E-4</v>
      </c>
      <c r="K282">
        <f t="shared" si="27"/>
        <v>0.36391554702494633</v>
      </c>
      <c r="L282" s="11">
        <f t="shared" si="28"/>
        <v>5.2742616033756105E-4</v>
      </c>
      <c r="M282">
        <f t="shared" si="29"/>
        <v>5.7430080426679369E-3</v>
      </c>
    </row>
    <row r="283" spans="1:13" ht="15">
      <c r="A283" t="s">
        <v>534</v>
      </c>
      <c r="B283" s="1" t="s">
        <v>67</v>
      </c>
      <c r="C283" t="e">
        <v>#N/A</v>
      </c>
      <c r="D283">
        <f t="shared" si="24"/>
        <v>1.9193857965451055E-3</v>
      </c>
      <c r="F283" t="e">
        <v>#N/A</v>
      </c>
      <c r="G283">
        <v>0</v>
      </c>
      <c r="H283">
        <f t="shared" si="25"/>
        <v>0.1</v>
      </c>
      <c r="J283">
        <f t="shared" si="26"/>
        <v>1.9193857965451057E-4</v>
      </c>
      <c r="K283">
        <f t="shared" si="27"/>
        <v>0.36391554702494633</v>
      </c>
      <c r="L283" s="11">
        <f t="shared" si="28"/>
        <v>5.2742616033756105E-4</v>
      </c>
      <c r="M283">
        <f t="shared" si="29"/>
        <v>5.7430080426679369E-3</v>
      </c>
    </row>
    <row r="284" spans="1:13" ht="15">
      <c r="A284" t="s">
        <v>537</v>
      </c>
      <c r="B284" s="1" t="s">
        <v>150</v>
      </c>
      <c r="C284" t="e">
        <v>#N/A</v>
      </c>
      <c r="D284">
        <f t="shared" si="24"/>
        <v>1.9193857965451055E-3</v>
      </c>
      <c r="F284" t="e">
        <v>#N/A</v>
      </c>
      <c r="G284">
        <v>0</v>
      </c>
      <c r="H284">
        <f t="shared" si="25"/>
        <v>0.1</v>
      </c>
      <c r="J284">
        <f t="shared" si="26"/>
        <v>1.9193857965451057E-4</v>
      </c>
      <c r="K284">
        <f t="shared" si="27"/>
        <v>0.36391554702494633</v>
      </c>
      <c r="L284" s="11">
        <f t="shared" si="28"/>
        <v>5.2742616033756105E-4</v>
      </c>
      <c r="M284">
        <f t="shared" si="29"/>
        <v>5.7430080426679369E-3</v>
      </c>
    </row>
    <row r="285" spans="1:13">
      <c r="A285" t="s">
        <v>537</v>
      </c>
      <c r="B285" s="2" t="s">
        <v>152</v>
      </c>
      <c r="C285" t="e">
        <v>#N/A</v>
      </c>
      <c r="D285">
        <f t="shared" si="24"/>
        <v>1.9193857965451055E-3</v>
      </c>
      <c r="F285" t="e">
        <v>#N/A</v>
      </c>
      <c r="G285">
        <v>0</v>
      </c>
      <c r="H285">
        <f t="shared" si="25"/>
        <v>0.1</v>
      </c>
      <c r="J285">
        <f t="shared" si="26"/>
        <v>1.9193857965451057E-4</v>
      </c>
      <c r="K285">
        <f t="shared" si="27"/>
        <v>0.36391554702494633</v>
      </c>
      <c r="L285" s="11">
        <f t="shared" si="28"/>
        <v>5.2742616033756105E-4</v>
      </c>
      <c r="M285">
        <f t="shared" si="29"/>
        <v>5.7430080426679369E-3</v>
      </c>
    </row>
    <row r="286" spans="1:13" ht="15">
      <c r="A286" t="s">
        <v>537</v>
      </c>
      <c r="B286" s="1" t="s">
        <v>153</v>
      </c>
      <c r="C286" t="e">
        <v>#N/A</v>
      </c>
      <c r="D286">
        <f t="shared" si="24"/>
        <v>1.9193857965451055E-3</v>
      </c>
      <c r="F286" t="e">
        <v>#N/A</v>
      </c>
      <c r="G286">
        <v>0</v>
      </c>
      <c r="H286">
        <f t="shared" si="25"/>
        <v>0.1</v>
      </c>
      <c r="J286">
        <f t="shared" si="26"/>
        <v>1.9193857965451057E-4</v>
      </c>
      <c r="K286">
        <f t="shared" si="27"/>
        <v>0.36391554702494633</v>
      </c>
      <c r="L286" s="11">
        <f t="shared" si="28"/>
        <v>5.2742616033756105E-4</v>
      </c>
      <c r="M286">
        <f t="shared" si="29"/>
        <v>5.7430080426679369E-3</v>
      </c>
    </row>
    <row r="287" spans="1:13" ht="15">
      <c r="A287" t="s">
        <v>537</v>
      </c>
      <c r="B287" s="1" t="s">
        <v>154</v>
      </c>
      <c r="C287" t="e">
        <v>#N/A</v>
      </c>
      <c r="D287">
        <f t="shared" si="24"/>
        <v>1.9193857965451055E-3</v>
      </c>
      <c r="F287" t="e">
        <v>#N/A</v>
      </c>
      <c r="G287">
        <v>0</v>
      </c>
      <c r="H287">
        <f t="shared" si="25"/>
        <v>0.1</v>
      </c>
      <c r="J287">
        <f t="shared" si="26"/>
        <v>1.9193857965451057E-4</v>
      </c>
      <c r="K287">
        <f t="shared" si="27"/>
        <v>0.36391554702494633</v>
      </c>
      <c r="L287" s="11">
        <f t="shared" si="28"/>
        <v>5.2742616033756105E-4</v>
      </c>
      <c r="M287">
        <f t="shared" si="29"/>
        <v>5.7430080426679369E-3</v>
      </c>
    </row>
    <row r="288" spans="1:13" ht="15">
      <c r="A288" t="s">
        <v>537</v>
      </c>
      <c r="B288" s="1" t="s">
        <v>155</v>
      </c>
      <c r="C288" t="e">
        <v>#N/A</v>
      </c>
      <c r="D288">
        <f t="shared" si="24"/>
        <v>1.9193857965451055E-3</v>
      </c>
      <c r="F288" t="e">
        <v>#N/A</v>
      </c>
      <c r="G288">
        <v>0</v>
      </c>
      <c r="H288">
        <f t="shared" si="25"/>
        <v>0.1</v>
      </c>
      <c r="J288">
        <f t="shared" si="26"/>
        <v>1.9193857965451057E-4</v>
      </c>
      <c r="K288">
        <f t="shared" si="27"/>
        <v>0.36391554702494633</v>
      </c>
      <c r="L288" s="11">
        <f t="shared" si="28"/>
        <v>5.2742616033756105E-4</v>
      </c>
      <c r="M288">
        <f t="shared" si="29"/>
        <v>5.7430080426679369E-3</v>
      </c>
    </row>
    <row r="289" spans="1:13" ht="15">
      <c r="A289" t="s">
        <v>537</v>
      </c>
      <c r="B289" s="1" t="s">
        <v>156</v>
      </c>
      <c r="C289" t="e">
        <v>#N/A</v>
      </c>
      <c r="D289">
        <f t="shared" si="24"/>
        <v>1.9193857965451055E-3</v>
      </c>
      <c r="F289" t="e">
        <v>#N/A</v>
      </c>
      <c r="G289">
        <v>0</v>
      </c>
      <c r="H289">
        <f t="shared" si="25"/>
        <v>0.1</v>
      </c>
      <c r="J289">
        <f t="shared" si="26"/>
        <v>1.9193857965451057E-4</v>
      </c>
      <c r="K289">
        <f t="shared" si="27"/>
        <v>0.36391554702494633</v>
      </c>
      <c r="L289" s="11">
        <f t="shared" si="28"/>
        <v>5.2742616033756105E-4</v>
      </c>
      <c r="M289">
        <f t="shared" si="29"/>
        <v>5.7430080426679369E-3</v>
      </c>
    </row>
    <row r="290" spans="1:13" ht="15">
      <c r="A290" t="s">
        <v>537</v>
      </c>
      <c r="B290" s="1" t="s">
        <v>157</v>
      </c>
      <c r="C290" t="e">
        <v>#N/A</v>
      </c>
      <c r="D290">
        <f t="shared" si="24"/>
        <v>1.9193857965451055E-3</v>
      </c>
      <c r="F290" t="e">
        <v>#N/A</v>
      </c>
      <c r="G290">
        <v>0</v>
      </c>
      <c r="H290">
        <f t="shared" si="25"/>
        <v>0.1</v>
      </c>
      <c r="J290">
        <f t="shared" si="26"/>
        <v>1.9193857965451057E-4</v>
      </c>
      <c r="K290">
        <f t="shared" si="27"/>
        <v>0.36391554702494633</v>
      </c>
      <c r="L290" s="11">
        <f t="shared" si="28"/>
        <v>5.2742616033756105E-4</v>
      </c>
      <c r="M290">
        <f t="shared" si="29"/>
        <v>5.7430080426679369E-3</v>
      </c>
    </row>
    <row r="291" spans="1:13" ht="15">
      <c r="A291" t="s">
        <v>537</v>
      </c>
      <c r="B291" s="1" t="s">
        <v>158</v>
      </c>
      <c r="C291" t="e">
        <v>#N/A</v>
      </c>
      <c r="D291">
        <f t="shared" si="24"/>
        <v>1.9193857965451055E-3</v>
      </c>
      <c r="F291" t="e">
        <v>#N/A</v>
      </c>
      <c r="G291">
        <v>0</v>
      </c>
      <c r="H291">
        <f t="shared" si="25"/>
        <v>0.1</v>
      </c>
      <c r="J291">
        <f t="shared" si="26"/>
        <v>1.9193857965451057E-4</v>
      </c>
      <c r="K291">
        <f t="shared" si="27"/>
        <v>0.36391554702494633</v>
      </c>
      <c r="L291" s="11">
        <f t="shared" si="28"/>
        <v>5.2742616033756105E-4</v>
      </c>
      <c r="M291">
        <f t="shared" si="29"/>
        <v>5.7430080426679369E-3</v>
      </c>
    </row>
    <row r="292" spans="1:13" ht="15">
      <c r="A292" t="s">
        <v>537</v>
      </c>
      <c r="B292" s="1" t="s">
        <v>159</v>
      </c>
      <c r="C292" t="e">
        <v>#N/A</v>
      </c>
      <c r="D292">
        <f t="shared" si="24"/>
        <v>1.9193857965451055E-3</v>
      </c>
      <c r="F292" t="e">
        <v>#N/A</v>
      </c>
      <c r="G292">
        <v>0</v>
      </c>
      <c r="H292">
        <f t="shared" si="25"/>
        <v>0.1</v>
      </c>
      <c r="J292">
        <f t="shared" si="26"/>
        <v>1.9193857965451057E-4</v>
      </c>
      <c r="K292">
        <f t="shared" si="27"/>
        <v>0.36391554702494633</v>
      </c>
      <c r="L292" s="11">
        <f t="shared" si="28"/>
        <v>5.2742616033756105E-4</v>
      </c>
      <c r="M292">
        <f t="shared" si="29"/>
        <v>5.7430080426679369E-3</v>
      </c>
    </row>
    <row r="293" spans="1:13" ht="15">
      <c r="A293" t="s">
        <v>537</v>
      </c>
      <c r="B293" s="1" t="s">
        <v>160</v>
      </c>
      <c r="C293" t="e">
        <v>#N/A</v>
      </c>
      <c r="D293">
        <f t="shared" si="24"/>
        <v>1.9193857965451055E-3</v>
      </c>
      <c r="F293" t="e">
        <v>#N/A</v>
      </c>
      <c r="G293">
        <v>0</v>
      </c>
      <c r="H293">
        <f t="shared" si="25"/>
        <v>0.1</v>
      </c>
      <c r="J293">
        <f t="shared" si="26"/>
        <v>1.9193857965451057E-4</v>
      </c>
      <c r="K293">
        <f t="shared" si="27"/>
        <v>0.36391554702494633</v>
      </c>
      <c r="L293" s="11">
        <f t="shared" si="28"/>
        <v>5.2742616033756105E-4</v>
      </c>
      <c r="M293">
        <f t="shared" si="29"/>
        <v>5.7430080426679369E-3</v>
      </c>
    </row>
    <row r="294" spans="1:13" ht="15">
      <c r="A294" t="s">
        <v>537</v>
      </c>
      <c r="B294" s="1" t="s">
        <v>161</v>
      </c>
      <c r="C294" t="e">
        <v>#N/A</v>
      </c>
      <c r="D294">
        <f t="shared" si="24"/>
        <v>1.9193857965451055E-3</v>
      </c>
      <c r="F294" t="e">
        <v>#N/A</v>
      </c>
      <c r="G294">
        <v>0</v>
      </c>
      <c r="H294">
        <f t="shared" si="25"/>
        <v>0.1</v>
      </c>
      <c r="J294">
        <f t="shared" si="26"/>
        <v>1.9193857965451057E-4</v>
      </c>
      <c r="K294">
        <f t="shared" si="27"/>
        <v>0.36391554702494633</v>
      </c>
      <c r="L294" s="11">
        <f t="shared" si="28"/>
        <v>5.2742616033756105E-4</v>
      </c>
      <c r="M294">
        <f t="shared" si="29"/>
        <v>5.7430080426679369E-3</v>
      </c>
    </row>
    <row r="295" spans="1:13" ht="15">
      <c r="A295" t="s">
        <v>537</v>
      </c>
      <c r="B295" s="1" t="s">
        <v>163</v>
      </c>
      <c r="C295" t="e">
        <v>#N/A</v>
      </c>
      <c r="D295">
        <f t="shared" si="24"/>
        <v>1.9193857965451055E-3</v>
      </c>
      <c r="F295" t="e">
        <v>#N/A</v>
      </c>
      <c r="G295">
        <v>0</v>
      </c>
      <c r="H295">
        <f t="shared" si="25"/>
        <v>0.1</v>
      </c>
      <c r="J295">
        <f t="shared" si="26"/>
        <v>1.9193857965451057E-4</v>
      </c>
      <c r="K295">
        <f t="shared" si="27"/>
        <v>0.36391554702494633</v>
      </c>
      <c r="L295" s="11">
        <f t="shared" si="28"/>
        <v>5.2742616033756105E-4</v>
      </c>
      <c r="M295">
        <f t="shared" si="29"/>
        <v>5.7430080426679369E-3</v>
      </c>
    </row>
    <row r="296" spans="1:13" ht="15">
      <c r="A296" t="s">
        <v>537</v>
      </c>
      <c r="B296" s="1" t="s">
        <v>164</v>
      </c>
      <c r="C296" t="e">
        <v>#N/A</v>
      </c>
      <c r="D296">
        <f t="shared" si="24"/>
        <v>1.9193857965451055E-3</v>
      </c>
      <c r="F296" t="e">
        <v>#N/A</v>
      </c>
      <c r="G296">
        <v>0</v>
      </c>
      <c r="H296">
        <f t="shared" si="25"/>
        <v>0.1</v>
      </c>
      <c r="J296">
        <f t="shared" si="26"/>
        <v>1.9193857965451057E-4</v>
      </c>
      <c r="K296">
        <f t="shared" si="27"/>
        <v>0.36391554702494633</v>
      </c>
      <c r="L296" s="11">
        <f t="shared" si="28"/>
        <v>5.2742616033756105E-4</v>
      </c>
      <c r="M296">
        <f t="shared" si="29"/>
        <v>5.7430080426679369E-3</v>
      </c>
    </row>
    <row r="297" spans="1:13" ht="15">
      <c r="A297" t="s">
        <v>537</v>
      </c>
      <c r="B297" s="1" t="s">
        <v>173</v>
      </c>
      <c r="C297" t="e">
        <v>#N/A</v>
      </c>
      <c r="D297">
        <f t="shared" si="24"/>
        <v>1.9193857965451055E-3</v>
      </c>
      <c r="F297" t="e">
        <v>#N/A</v>
      </c>
      <c r="G297">
        <v>0</v>
      </c>
      <c r="H297">
        <f t="shared" si="25"/>
        <v>0.1</v>
      </c>
      <c r="J297">
        <f t="shared" si="26"/>
        <v>1.9193857965451057E-4</v>
      </c>
      <c r="K297">
        <f t="shared" si="27"/>
        <v>0.36391554702494633</v>
      </c>
      <c r="L297" s="11">
        <f t="shared" si="28"/>
        <v>5.2742616033756105E-4</v>
      </c>
      <c r="M297">
        <f t="shared" si="29"/>
        <v>5.7430080426679369E-3</v>
      </c>
    </row>
    <row r="298" spans="1:13" ht="15">
      <c r="A298" t="s">
        <v>537</v>
      </c>
      <c r="B298" s="1" t="s">
        <v>174</v>
      </c>
      <c r="C298" t="e">
        <v>#N/A</v>
      </c>
      <c r="D298">
        <f t="shared" si="24"/>
        <v>1.9193857965451055E-3</v>
      </c>
      <c r="F298" t="e">
        <v>#N/A</v>
      </c>
      <c r="G298">
        <v>0</v>
      </c>
      <c r="H298">
        <f t="shared" si="25"/>
        <v>0.1</v>
      </c>
      <c r="J298">
        <f t="shared" si="26"/>
        <v>1.9193857965451057E-4</v>
      </c>
      <c r="K298">
        <f t="shared" si="27"/>
        <v>0.36391554702494633</v>
      </c>
      <c r="L298" s="11">
        <f t="shared" si="28"/>
        <v>5.2742616033756105E-4</v>
      </c>
      <c r="M298">
        <f t="shared" si="29"/>
        <v>5.7430080426679369E-3</v>
      </c>
    </row>
    <row r="299" spans="1:13" ht="15">
      <c r="A299" t="s">
        <v>537</v>
      </c>
      <c r="B299" s="1" t="s">
        <v>175</v>
      </c>
      <c r="C299" t="e">
        <v>#N/A</v>
      </c>
      <c r="D299">
        <f t="shared" si="24"/>
        <v>1.9193857965451055E-3</v>
      </c>
      <c r="F299" t="e">
        <v>#N/A</v>
      </c>
      <c r="G299">
        <v>0</v>
      </c>
      <c r="H299">
        <f t="shared" si="25"/>
        <v>0.1</v>
      </c>
      <c r="J299">
        <f t="shared" si="26"/>
        <v>1.9193857965451057E-4</v>
      </c>
      <c r="K299">
        <f t="shared" si="27"/>
        <v>0.36391554702494633</v>
      </c>
      <c r="L299" s="11">
        <f t="shared" si="28"/>
        <v>5.2742616033756105E-4</v>
      </c>
      <c r="M299">
        <f t="shared" si="29"/>
        <v>5.7430080426679369E-3</v>
      </c>
    </row>
    <row r="300" spans="1:13">
      <c r="A300" t="s">
        <v>538</v>
      </c>
      <c r="B300" s="2" t="s">
        <v>139</v>
      </c>
      <c r="C300" t="e">
        <v>#N/A</v>
      </c>
      <c r="D300">
        <f t="shared" si="24"/>
        <v>1.9193857965451055E-3</v>
      </c>
      <c r="F300" t="e">
        <v>#N/A</v>
      </c>
      <c r="G300">
        <v>0</v>
      </c>
      <c r="H300">
        <f t="shared" si="25"/>
        <v>0.1</v>
      </c>
      <c r="J300">
        <f t="shared" si="26"/>
        <v>1.9193857965451057E-4</v>
      </c>
      <c r="K300">
        <f t="shared" si="27"/>
        <v>0.36391554702494633</v>
      </c>
      <c r="L300" s="11">
        <f t="shared" si="28"/>
        <v>5.2742616033756105E-4</v>
      </c>
      <c r="M300">
        <f t="shared" si="29"/>
        <v>5.7430080426679369E-3</v>
      </c>
    </row>
    <row r="301" spans="1:13">
      <c r="A301" t="s">
        <v>536</v>
      </c>
      <c r="B301" s="2" t="s">
        <v>426</v>
      </c>
      <c r="C301" t="e">
        <v>#N/A</v>
      </c>
      <c r="D301">
        <f t="shared" si="24"/>
        <v>1.9193857965451055E-3</v>
      </c>
      <c r="F301" t="e">
        <v>#N/A</v>
      </c>
      <c r="G301">
        <v>0</v>
      </c>
      <c r="H301">
        <f t="shared" si="25"/>
        <v>0.1</v>
      </c>
      <c r="J301">
        <f t="shared" si="26"/>
        <v>1.9193857965451057E-4</v>
      </c>
      <c r="K301">
        <f t="shared" si="27"/>
        <v>0.36391554702494633</v>
      </c>
      <c r="L301" s="11">
        <f t="shared" si="28"/>
        <v>5.2742616033756105E-4</v>
      </c>
      <c r="M301">
        <f t="shared" si="29"/>
        <v>5.7430080426679369E-3</v>
      </c>
    </row>
    <row r="302" spans="1:13" ht="15">
      <c r="A302" t="s">
        <v>534</v>
      </c>
      <c r="B302" s="1" t="s">
        <v>71</v>
      </c>
      <c r="C302" t="e">
        <v>#N/A</v>
      </c>
      <c r="D302">
        <f t="shared" si="24"/>
        <v>1.9193857965451055E-3</v>
      </c>
      <c r="F302" t="e">
        <v>#N/A</v>
      </c>
      <c r="G302">
        <v>0</v>
      </c>
      <c r="H302">
        <f t="shared" si="25"/>
        <v>0.1</v>
      </c>
      <c r="J302">
        <f t="shared" si="26"/>
        <v>1.9193857965451057E-4</v>
      </c>
      <c r="K302">
        <f t="shared" si="27"/>
        <v>0.36391554702494633</v>
      </c>
      <c r="L302" s="11">
        <f t="shared" si="28"/>
        <v>5.2742616033756105E-4</v>
      </c>
      <c r="M302">
        <f t="shared" si="29"/>
        <v>5.7430080426679369E-3</v>
      </c>
    </row>
    <row r="303" spans="1:13" ht="15">
      <c r="A303" t="s">
        <v>534</v>
      </c>
      <c r="B303" s="1" t="s">
        <v>72</v>
      </c>
      <c r="C303" t="e">
        <v>#N/A</v>
      </c>
      <c r="D303">
        <f t="shared" si="24"/>
        <v>1.9193857965451055E-3</v>
      </c>
      <c r="F303" t="e">
        <v>#N/A</v>
      </c>
      <c r="G303">
        <v>0</v>
      </c>
      <c r="H303">
        <f t="shared" si="25"/>
        <v>0.1</v>
      </c>
      <c r="J303">
        <f t="shared" si="26"/>
        <v>1.9193857965451057E-4</v>
      </c>
      <c r="K303">
        <f t="shared" si="27"/>
        <v>0.36391554702494633</v>
      </c>
      <c r="L303" s="11">
        <f t="shared" si="28"/>
        <v>5.2742616033756105E-4</v>
      </c>
      <c r="M303">
        <f t="shared" si="29"/>
        <v>5.7430080426679369E-3</v>
      </c>
    </row>
    <row r="304" spans="1:13" ht="15">
      <c r="A304" t="s">
        <v>534</v>
      </c>
      <c r="B304" s="1" t="s">
        <v>74</v>
      </c>
      <c r="C304" t="e">
        <v>#N/A</v>
      </c>
      <c r="D304">
        <f t="shared" si="24"/>
        <v>1.9193857965451055E-3</v>
      </c>
      <c r="F304" t="e">
        <v>#N/A</v>
      </c>
      <c r="G304">
        <v>0</v>
      </c>
      <c r="H304">
        <f t="shared" si="25"/>
        <v>0.1</v>
      </c>
      <c r="J304">
        <f t="shared" si="26"/>
        <v>1.9193857965451057E-4</v>
      </c>
      <c r="K304">
        <f t="shared" si="27"/>
        <v>0.36391554702494633</v>
      </c>
      <c r="L304" s="11">
        <f t="shared" si="28"/>
        <v>5.2742616033756105E-4</v>
      </c>
      <c r="M304">
        <f t="shared" si="29"/>
        <v>5.7430080426679369E-3</v>
      </c>
    </row>
    <row r="305" spans="1:13" ht="15">
      <c r="A305" t="s">
        <v>534</v>
      </c>
      <c r="B305" s="1" t="s">
        <v>75</v>
      </c>
      <c r="C305" t="e">
        <v>#N/A</v>
      </c>
      <c r="D305">
        <f t="shared" si="24"/>
        <v>1.9193857965451055E-3</v>
      </c>
      <c r="F305" t="e">
        <v>#N/A</v>
      </c>
      <c r="G305">
        <v>0</v>
      </c>
      <c r="H305">
        <f t="shared" si="25"/>
        <v>0.1</v>
      </c>
      <c r="J305">
        <f t="shared" si="26"/>
        <v>1.9193857965451057E-4</v>
      </c>
      <c r="K305">
        <f t="shared" si="27"/>
        <v>0.36391554702494633</v>
      </c>
      <c r="L305" s="11">
        <f t="shared" si="28"/>
        <v>5.2742616033756105E-4</v>
      </c>
      <c r="M305">
        <f t="shared" si="29"/>
        <v>5.7430080426679369E-3</v>
      </c>
    </row>
    <row r="306" spans="1:13" ht="15">
      <c r="A306" t="s">
        <v>534</v>
      </c>
      <c r="B306" s="1" t="s">
        <v>76</v>
      </c>
      <c r="C306" t="e">
        <v>#N/A</v>
      </c>
      <c r="D306">
        <f t="shared" si="24"/>
        <v>1.9193857965451055E-3</v>
      </c>
      <c r="F306" t="e">
        <v>#N/A</v>
      </c>
      <c r="G306">
        <v>0</v>
      </c>
      <c r="H306">
        <f t="shared" si="25"/>
        <v>0.1</v>
      </c>
      <c r="J306">
        <f t="shared" si="26"/>
        <v>1.9193857965451057E-4</v>
      </c>
      <c r="K306">
        <f t="shared" si="27"/>
        <v>0.36391554702494633</v>
      </c>
      <c r="L306" s="11">
        <f t="shared" si="28"/>
        <v>5.2742616033756105E-4</v>
      </c>
      <c r="M306">
        <f t="shared" si="29"/>
        <v>5.7430080426679369E-3</v>
      </c>
    </row>
    <row r="307" spans="1:13" ht="15">
      <c r="A307" t="s">
        <v>535</v>
      </c>
      <c r="B307" s="1" t="s">
        <v>331</v>
      </c>
      <c r="C307" t="e">
        <v>#N/A</v>
      </c>
      <c r="D307">
        <f t="shared" si="24"/>
        <v>1.9193857965451055E-3</v>
      </c>
      <c r="F307" t="e">
        <v>#N/A</v>
      </c>
      <c r="G307">
        <v>0</v>
      </c>
      <c r="H307">
        <f t="shared" si="25"/>
        <v>0.1</v>
      </c>
      <c r="J307">
        <f t="shared" si="26"/>
        <v>1.9193857965451057E-4</v>
      </c>
      <c r="K307">
        <f t="shared" si="27"/>
        <v>0.36391554702494633</v>
      </c>
      <c r="L307" s="11">
        <f t="shared" si="28"/>
        <v>5.2742616033756105E-4</v>
      </c>
      <c r="M307">
        <f t="shared" si="29"/>
        <v>5.7430080426679369E-3</v>
      </c>
    </row>
    <row r="308" spans="1:13" ht="15">
      <c r="A308" t="s">
        <v>524</v>
      </c>
      <c r="B308" s="1" t="s">
        <v>9</v>
      </c>
      <c r="C308" t="e">
        <v>#N/A</v>
      </c>
      <c r="D308">
        <f t="shared" si="24"/>
        <v>1.9193857965451055E-3</v>
      </c>
      <c r="F308" t="e">
        <v>#N/A</v>
      </c>
      <c r="G308">
        <v>0</v>
      </c>
      <c r="H308">
        <f t="shared" si="25"/>
        <v>0.1</v>
      </c>
      <c r="J308">
        <f t="shared" si="26"/>
        <v>1.9193857965451057E-4</v>
      </c>
      <c r="K308">
        <f t="shared" si="27"/>
        <v>0.36391554702494633</v>
      </c>
      <c r="L308" s="11">
        <f t="shared" si="28"/>
        <v>5.2742616033756105E-4</v>
      </c>
      <c r="M308">
        <f t="shared" si="29"/>
        <v>5.7430080426679369E-3</v>
      </c>
    </row>
    <row r="309" spans="1:13" ht="15">
      <c r="A309" t="s">
        <v>536</v>
      </c>
      <c r="B309" s="1" t="s">
        <v>427</v>
      </c>
      <c r="C309" t="e">
        <v>#N/A</v>
      </c>
      <c r="D309">
        <f t="shared" si="24"/>
        <v>1.9193857965451055E-3</v>
      </c>
      <c r="F309" t="e">
        <v>#N/A</v>
      </c>
      <c r="G309">
        <v>0</v>
      </c>
      <c r="H309">
        <f t="shared" si="25"/>
        <v>0.1</v>
      </c>
      <c r="J309">
        <f t="shared" si="26"/>
        <v>1.9193857965451057E-4</v>
      </c>
      <c r="K309">
        <f t="shared" si="27"/>
        <v>0.36391554702494633</v>
      </c>
      <c r="L309" s="11">
        <f t="shared" si="28"/>
        <v>5.2742616033756105E-4</v>
      </c>
      <c r="M309">
        <f t="shared" si="29"/>
        <v>5.7430080426679369E-3</v>
      </c>
    </row>
    <row r="310" spans="1:13" ht="15">
      <c r="A310" t="s">
        <v>537</v>
      </c>
      <c r="B310" s="1" t="s">
        <v>181</v>
      </c>
      <c r="C310" t="e">
        <v>#N/A</v>
      </c>
      <c r="D310">
        <f t="shared" si="24"/>
        <v>1.9193857965451055E-3</v>
      </c>
      <c r="F310" t="e">
        <v>#N/A</v>
      </c>
      <c r="G310">
        <v>0</v>
      </c>
      <c r="H310">
        <f t="shared" si="25"/>
        <v>0.1</v>
      </c>
      <c r="J310">
        <f t="shared" si="26"/>
        <v>1.9193857965451057E-4</v>
      </c>
      <c r="K310">
        <f t="shared" si="27"/>
        <v>0.36391554702494633</v>
      </c>
      <c r="L310" s="11">
        <f t="shared" si="28"/>
        <v>5.2742616033756105E-4</v>
      </c>
      <c r="M310">
        <f t="shared" si="29"/>
        <v>5.7430080426679369E-3</v>
      </c>
    </row>
    <row r="311" spans="1:13" ht="15">
      <c r="A311" t="s">
        <v>537</v>
      </c>
      <c r="B311" s="1" t="s">
        <v>183</v>
      </c>
      <c r="C311" t="e">
        <v>#N/A</v>
      </c>
      <c r="D311">
        <f t="shared" si="24"/>
        <v>1.9193857965451055E-3</v>
      </c>
      <c r="F311" t="e">
        <v>#N/A</v>
      </c>
      <c r="G311">
        <v>0</v>
      </c>
      <c r="H311">
        <f t="shared" si="25"/>
        <v>0.1</v>
      </c>
      <c r="J311">
        <f t="shared" si="26"/>
        <v>1.9193857965451057E-4</v>
      </c>
      <c r="K311">
        <f t="shared" si="27"/>
        <v>0.36391554702494633</v>
      </c>
      <c r="L311" s="11">
        <f t="shared" si="28"/>
        <v>5.2742616033756105E-4</v>
      </c>
      <c r="M311">
        <f t="shared" si="29"/>
        <v>5.7430080426679369E-3</v>
      </c>
    </row>
    <row r="312" spans="1:13" ht="15">
      <c r="A312" t="s">
        <v>537</v>
      </c>
      <c r="B312" s="1" t="s">
        <v>184</v>
      </c>
      <c r="C312" t="e">
        <v>#N/A</v>
      </c>
      <c r="D312">
        <f t="shared" si="24"/>
        <v>1.9193857965451055E-3</v>
      </c>
      <c r="F312" t="e">
        <v>#N/A</v>
      </c>
      <c r="G312">
        <v>0</v>
      </c>
      <c r="H312">
        <f t="shared" si="25"/>
        <v>0.1</v>
      </c>
      <c r="J312">
        <f t="shared" si="26"/>
        <v>1.9193857965451057E-4</v>
      </c>
      <c r="K312">
        <f t="shared" si="27"/>
        <v>0.36391554702494633</v>
      </c>
      <c r="L312" s="11">
        <f t="shared" si="28"/>
        <v>5.2742616033756105E-4</v>
      </c>
      <c r="M312">
        <f t="shared" si="29"/>
        <v>5.7430080426679369E-3</v>
      </c>
    </row>
    <row r="313" spans="1:13" ht="15">
      <c r="A313" t="s">
        <v>536</v>
      </c>
      <c r="B313" s="1" t="s">
        <v>431</v>
      </c>
      <c r="C313" t="e">
        <v>#N/A</v>
      </c>
      <c r="D313">
        <f t="shared" si="24"/>
        <v>1.9193857965451055E-3</v>
      </c>
      <c r="F313" t="e">
        <v>#N/A</v>
      </c>
      <c r="G313">
        <v>0</v>
      </c>
      <c r="H313">
        <f t="shared" si="25"/>
        <v>0.1</v>
      </c>
      <c r="J313">
        <f t="shared" si="26"/>
        <v>1.9193857965451057E-4</v>
      </c>
      <c r="K313">
        <f t="shared" si="27"/>
        <v>0.36391554702494633</v>
      </c>
      <c r="L313" s="11">
        <f t="shared" si="28"/>
        <v>5.2742616033756105E-4</v>
      </c>
      <c r="M313">
        <f t="shared" si="29"/>
        <v>5.7430080426679369E-3</v>
      </c>
    </row>
    <row r="314" spans="1:13" ht="15">
      <c r="A314" t="s">
        <v>535</v>
      </c>
      <c r="B314" s="1" t="s">
        <v>333</v>
      </c>
      <c r="C314" t="e">
        <v>#N/A</v>
      </c>
      <c r="D314">
        <f t="shared" si="24"/>
        <v>1.9193857965451055E-3</v>
      </c>
      <c r="F314" t="e">
        <v>#N/A</v>
      </c>
      <c r="G314">
        <v>0</v>
      </c>
      <c r="H314">
        <f t="shared" si="25"/>
        <v>0.1</v>
      </c>
      <c r="J314">
        <f t="shared" si="26"/>
        <v>1.9193857965451057E-4</v>
      </c>
      <c r="K314">
        <f t="shared" si="27"/>
        <v>0.36391554702494633</v>
      </c>
      <c r="L314" s="11">
        <f t="shared" si="28"/>
        <v>5.2742616033756105E-4</v>
      </c>
      <c r="M314">
        <f t="shared" si="29"/>
        <v>5.7430080426679369E-3</v>
      </c>
    </row>
    <row r="315" spans="1:13" ht="15">
      <c r="A315" t="s">
        <v>535</v>
      </c>
      <c r="B315" s="1" t="s">
        <v>334</v>
      </c>
      <c r="C315" t="e">
        <v>#N/A</v>
      </c>
      <c r="D315">
        <f t="shared" si="24"/>
        <v>1.9193857965451055E-3</v>
      </c>
      <c r="F315" t="e">
        <v>#N/A</v>
      </c>
      <c r="G315">
        <v>0</v>
      </c>
      <c r="H315">
        <f t="shared" si="25"/>
        <v>0.1</v>
      </c>
      <c r="J315">
        <f t="shared" si="26"/>
        <v>1.9193857965451057E-4</v>
      </c>
      <c r="K315">
        <f t="shared" si="27"/>
        <v>0.36391554702494633</v>
      </c>
      <c r="L315" s="11">
        <f t="shared" si="28"/>
        <v>5.2742616033756105E-4</v>
      </c>
      <c r="M315">
        <f t="shared" si="29"/>
        <v>5.7430080426679369E-3</v>
      </c>
    </row>
    <row r="316" spans="1:13" ht="15">
      <c r="A316" t="s">
        <v>535</v>
      </c>
      <c r="B316" s="1" t="s">
        <v>336</v>
      </c>
      <c r="C316" t="e">
        <v>#N/A</v>
      </c>
      <c r="D316">
        <f t="shared" si="24"/>
        <v>1.9193857965451055E-3</v>
      </c>
      <c r="F316" t="e">
        <v>#N/A</v>
      </c>
      <c r="G316">
        <v>0</v>
      </c>
      <c r="H316">
        <f t="shared" si="25"/>
        <v>0.1</v>
      </c>
      <c r="J316">
        <f t="shared" si="26"/>
        <v>1.9193857965451057E-4</v>
      </c>
      <c r="K316">
        <f t="shared" si="27"/>
        <v>0.36391554702494633</v>
      </c>
      <c r="L316" s="11">
        <f t="shared" si="28"/>
        <v>5.2742616033756105E-4</v>
      </c>
      <c r="M316">
        <f t="shared" si="29"/>
        <v>5.7430080426679369E-3</v>
      </c>
    </row>
    <row r="317" spans="1:13" ht="15">
      <c r="A317" t="s">
        <v>535</v>
      </c>
      <c r="B317" s="1" t="s">
        <v>337</v>
      </c>
      <c r="C317" t="e">
        <v>#N/A</v>
      </c>
      <c r="D317">
        <f t="shared" si="24"/>
        <v>1.9193857965451055E-3</v>
      </c>
      <c r="F317" t="e">
        <v>#N/A</v>
      </c>
      <c r="G317">
        <v>0</v>
      </c>
      <c r="H317">
        <f t="shared" si="25"/>
        <v>0.1</v>
      </c>
      <c r="J317">
        <f t="shared" si="26"/>
        <v>1.9193857965451057E-4</v>
      </c>
      <c r="K317">
        <f t="shared" si="27"/>
        <v>0.36391554702494633</v>
      </c>
      <c r="L317" s="11">
        <f t="shared" si="28"/>
        <v>5.2742616033756105E-4</v>
      </c>
      <c r="M317">
        <f t="shared" si="29"/>
        <v>5.7430080426679369E-3</v>
      </c>
    </row>
    <row r="318" spans="1:13" ht="15">
      <c r="A318" t="s">
        <v>535</v>
      </c>
      <c r="B318" s="1" t="s">
        <v>338</v>
      </c>
      <c r="C318" t="e">
        <v>#N/A</v>
      </c>
      <c r="D318">
        <f t="shared" si="24"/>
        <v>1.9193857965451055E-3</v>
      </c>
      <c r="F318" t="e">
        <v>#N/A</v>
      </c>
      <c r="G318">
        <v>0</v>
      </c>
      <c r="H318">
        <f t="shared" si="25"/>
        <v>0.1</v>
      </c>
      <c r="J318">
        <f t="shared" si="26"/>
        <v>1.9193857965451057E-4</v>
      </c>
      <c r="K318">
        <f t="shared" si="27"/>
        <v>0.36391554702494633</v>
      </c>
      <c r="L318" s="11">
        <f t="shared" si="28"/>
        <v>5.2742616033756105E-4</v>
      </c>
      <c r="M318">
        <f t="shared" si="29"/>
        <v>5.7430080426679369E-3</v>
      </c>
    </row>
    <row r="319" spans="1:13" ht="15">
      <c r="A319" t="s">
        <v>535</v>
      </c>
      <c r="B319" s="1" t="s">
        <v>339</v>
      </c>
      <c r="C319" t="e">
        <v>#N/A</v>
      </c>
      <c r="D319">
        <f t="shared" si="24"/>
        <v>1.9193857965451055E-3</v>
      </c>
      <c r="F319" t="e">
        <v>#N/A</v>
      </c>
      <c r="G319">
        <v>0</v>
      </c>
      <c r="H319">
        <f t="shared" si="25"/>
        <v>0.1</v>
      </c>
      <c r="J319">
        <f t="shared" si="26"/>
        <v>1.9193857965451057E-4</v>
      </c>
      <c r="K319">
        <f t="shared" si="27"/>
        <v>0.36391554702494633</v>
      </c>
      <c r="L319" s="11">
        <f t="shared" si="28"/>
        <v>5.2742616033756105E-4</v>
      </c>
      <c r="M319">
        <f t="shared" si="29"/>
        <v>5.7430080426679369E-3</v>
      </c>
    </row>
    <row r="320" spans="1:13" ht="15">
      <c r="A320" t="s">
        <v>535</v>
      </c>
      <c r="B320" s="1" t="s">
        <v>340</v>
      </c>
      <c r="C320" t="e">
        <v>#N/A</v>
      </c>
      <c r="D320">
        <f t="shared" si="24"/>
        <v>1.9193857965451055E-3</v>
      </c>
      <c r="F320" t="e">
        <v>#N/A</v>
      </c>
      <c r="G320">
        <v>0</v>
      </c>
      <c r="H320">
        <f t="shared" si="25"/>
        <v>0.1</v>
      </c>
      <c r="J320">
        <f t="shared" si="26"/>
        <v>1.9193857965451057E-4</v>
      </c>
      <c r="K320">
        <f t="shared" si="27"/>
        <v>0.36391554702494633</v>
      </c>
      <c r="L320" s="11">
        <f t="shared" si="28"/>
        <v>5.2742616033756105E-4</v>
      </c>
      <c r="M320">
        <f t="shared" si="29"/>
        <v>5.7430080426679369E-3</v>
      </c>
    </row>
    <row r="321" spans="1:13" ht="15">
      <c r="A321" t="s">
        <v>535</v>
      </c>
      <c r="B321" s="1" t="s">
        <v>341</v>
      </c>
      <c r="C321" t="e">
        <v>#N/A</v>
      </c>
      <c r="D321">
        <f t="shared" si="24"/>
        <v>1.9193857965451055E-3</v>
      </c>
      <c r="F321" t="e">
        <v>#N/A</v>
      </c>
      <c r="G321">
        <v>0</v>
      </c>
      <c r="H321">
        <f t="shared" si="25"/>
        <v>0.1</v>
      </c>
      <c r="J321">
        <f t="shared" si="26"/>
        <v>1.9193857965451057E-4</v>
      </c>
      <c r="K321">
        <f t="shared" si="27"/>
        <v>0.36391554702494633</v>
      </c>
      <c r="L321" s="11">
        <f t="shared" si="28"/>
        <v>5.2742616033756105E-4</v>
      </c>
      <c r="M321">
        <f t="shared" si="29"/>
        <v>5.7430080426679369E-3</v>
      </c>
    </row>
    <row r="322" spans="1:13" ht="15">
      <c r="A322" t="s">
        <v>535</v>
      </c>
      <c r="B322" s="1" t="s">
        <v>342</v>
      </c>
      <c r="C322" t="e">
        <v>#N/A</v>
      </c>
      <c r="D322">
        <f t="shared" ref="D322:D385" si="30">1/521</f>
        <v>1.9193857965451055E-3</v>
      </c>
      <c r="F322" t="e">
        <v>#N/A</v>
      </c>
      <c r="G322">
        <v>0</v>
      </c>
      <c r="H322">
        <f t="shared" ref="H322:H385" si="31">IF(G322&gt;1,0.95,IF(G322&lt;0.6, 0.1, 0.7))</f>
        <v>0.1</v>
      </c>
      <c r="J322">
        <f t="shared" si="26"/>
        <v>1.9193857965451057E-4</v>
      </c>
      <c r="K322">
        <f t="shared" si="27"/>
        <v>0.36391554702494633</v>
      </c>
      <c r="L322" s="11">
        <f t="shared" si="28"/>
        <v>5.2742616033756105E-4</v>
      </c>
      <c r="M322">
        <f t="shared" si="29"/>
        <v>5.7430080426679369E-3</v>
      </c>
    </row>
    <row r="323" spans="1:13" ht="15">
      <c r="A323" t="s">
        <v>535</v>
      </c>
      <c r="B323" s="1" t="s">
        <v>346</v>
      </c>
      <c r="C323" t="e">
        <v>#N/A</v>
      </c>
      <c r="D323">
        <f t="shared" si="30"/>
        <v>1.9193857965451055E-3</v>
      </c>
      <c r="F323" t="e">
        <v>#N/A</v>
      </c>
      <c r="G323">
        <v>0</v>
      </c>
      <c r="H323">
        <f t="shared" si="31"/>
        <v>0.1</v>
      </c>
      <c r="J323">
        <f t="shared" ref="J323:J386" si="32">D323*H323</f>
        <v>1.9193857965451057E-4</v>
      </c>
      <c r="K323">
        <f t="shared" ref="K323:K386" si="33">SUM(J$2:J$523)</f>
        <v>0.36391554702494633</v>
      </c>
      <c r="L323" s="11">
        <f t="shared" ref="L323:L386" si="34">J323/K323</f>
        <v>5.2742616033756105E-4</v>
      </c>
      <c r="M323">
        <f t="shared" ref="M323:M386" si="35">L323*-LOG(L323,2)</f>
        <v>5.7430080426679369E-3</v>
      </c>
    </row>
    <row r="324" spans="1:13" ht="15">
      <c r="A324" t="s">
        <v>535</v>
      </c>
      <c r="B324" s="1" t="s">
        <v>349</v>
      </c>
      <c r="C324" t="e">
        <v>#N/A</v>
      </c>
      <c r="D324">
        <f t="shared" si="30"/>
        <v>1.9193857965451055E-3</v>
      </c>
      <c r="F324" t="e">
        <v>#N/A</v>
      </c>
      <c r="G324">
        <v>0</v>
      </c>
      <c r="H324">
        <f t="shared" si="31"/>
        <v>0.1</v>
      </c>
      <c r="J324">
        <f t="shared" si="32"/>
        <v>1.9193857965451057E-4</v>
      </c>
      <c r="K324">
        <f t="shared" si="33"/>
        <v>0.36391554702494633</v>
      </c>
      <c r="L324" s="11">
        <f t="shared" si="34"/>
        <v>5.2742616033756105E-4</v>
      </c>
      <c r="M324">
        <f t="shared" si="35"/>
        <v>5.7430080426679369E-3</v>
      </c>
    </row>
    <row r="325" spans="1:13" ht="15">
      <c r="A325" t="s">
        <v>536</v>
      </c>
      <c r="B325" s="1" t="s">
        <v>433</v>
      </c>
      <c r="C325" t="e">
        <v>#N/A</v>
      </c>
      <c r="D325">
        <f t="shared" si="30"/>
        <v>1.9193857965451055E-3</v>
      </c>
      <c r="F325" t="e">
        <v>#N/A</v>
      </c>
      <c r="G325">
        <v>0</v>
      </c>
      <c r="H325">
        <f t="shared" si="31"/>
        <v>0.1</v>
      </c>
      <c r="J325">
        <f t="shared" si="32"/>
        <v>1.9193857965451057E-4</v>
      </c>
      <c r="K325">
        <f t="shared" si="33"/>
        <v>0.36391554702494633</v>
      </c>
      <c r="L325" s="11">
        <f t="shared" si="34"/>
        <v>5.2742616033756105E-4</v>
      </c>
      <c r="M325">
        <f t="shared" si="35"/>
        <v>5.7430080426679369E-3</v>
      </c>
    </row>
    <row r="326" spans="1:13" ht="15">
      <c r="A326" t="s">
        <v>542</v>
      </c>
      <c r="B326" s="1" t="s">
        <v>504</v>
      </c>
      <c r="C326" t="e">
        <v>#N/A</v>
      </c>
      <c r="D326">
        <f t="shared" si="30"/>
        <v>1.9193857965451055E-3</v>
      </c>
      <c r="F326" t="e">
        <v>#N/A</v>
      </c>
      <c r="G326">
        <v>0</v>
      </c>
      <c r="H326">
        <f t="shared" si="31"/>
        <v>0.1</v>
      </c>
      <c r="J326">
        <f t="shared" si="32"/>
        <v>1.9193857965451057E-4</v>
      </c>
      <c r="K326">
        <f t="shared" si="33"/>
        <v>0.36391554702494633</v>
      </c>
      <c r="L326" s="11">
        <f t="shared" si="34"/>
        <v>5.2742616033756105E-4</v>
      </c>
      <c r="M326">
        <f t="shared" si="35"/>
        <v>5.7430080426679369E-3</v>
      </c>
    </row>
    <row r="327" spans="1:13" ht="15">
      <c r="A327" t="s">
        <v>535</v>
      </c>
      <c r="B327" s="1" t="s">
        <v>350</v>
      </c>
      <c r="C327" t="e">
        <v>#N/A</v>
      </c>
      <c r="D327">
        <f t="shared" si="30"/>
        <v>1.9193857965451055E-3</v>
      </c>
      <c r="F327" t="e">
        <v>#N/A</v>
      </c>
      <c r="G327">
        <v>0</v>
      </c>
      <c r="H327">
        <f t="shared" si="31"/>
        <v>0.1</v>
      </c>
      <c r="J327">
        <f t="shared" si="32"/>
        <v>1.9193857965451057E-4</v>
      </c>
      <c r="K327">
        <f t="shared" si="33"/>
        <v>0.36391554702494633</v>
      </c>
      <c r="L327" s="11">
        <f t="shared" si="34"/>
        <v>5.2742616033756105E-4</v>
      </c>
      <c r="M327">
        <f t="shared" si="35"/>
        <v>5.7430080426679369E-3</v>
      </c>
    </row>
    <row r="328" spans="1:13" ht="15">
      <c r="A328" t="s">
        <v>535</v>
      </c>
      <c r="B328" s="1" t="s">
        <v>351</v>
      </c>
      <c r="C328" t="e">
        <v>#N/A</v>
      </c>
      <c r="D328">
        <f t="shared" si="30"/>
        <v>1.9193857965451055E-3</v>
      </c>
      <c r="F328" t="e">
        <v>#N/A</v>
      </c>
      <c r="G328">
        <v>0</v>
      </c>
      <c r="H328">
        <f t="shared" si="31"/>
        <v>0.1</v>
      </c>
      <c r="J328">
        <f t="shared" si="32"/>
        <v>1.9193857965451057E-4</v>
      </c>
      <c r="K328">
        <f t="shared" si="33"/>
        <v>0.36391554702494633</v>
      </c>
      <c r="L328" s="11">
        <f t="shared" si="34"/>
        <v>5.2742616033756105E-4</v>
      </c>
      <c r="M328">
        <f t="shared" si="35"/>
        <v>5.7430080426679369E-3</v>
      </c>
    </row>
    <row r="329" spans="1:13" ht="15">
      <c r="A329" t="s">
        <v>535</v>
      </c>
      <c r="B329" s="1" t="s">
        <v>352</v>
      </c>
      <c r="C329" t="e">
        <v>#N/A</v>
      </c>
      <c r="D329">
        <f t="shared" si="30"/>
        <v>1.9193857965451055E-3</v>
      </c>
      <c r="F329" t="e">
        <v>#N/A</v>
      </c>
      <c r="G329">
        <v>0</v>
      </c>
      <c r="H329">
        <f t="shared" si="31"/>
        <v>0.1</v>
      </c>
      <c r="J329">
        <f t="shared" si="32"/>
        <v>1.9193857965451057E-4</v>
      </c>
      <c r="K329">
        <f t="shared" si="33"/>
        <v>0.36391554702494633</v>
      </c>
      <c r="L329" s="11">
        <f t="shared" si="34"/>
        <v>5.2742616033756105E-4</v>
      </c>
      <c r="M329">
        <f t="shared" si="35"/>
        <v>5.7430080426679369E-3</v>
      </c>
    </row>
    <row r="330" spans="1:13" ht="15">
      <c r="A330" t="s">
        <v>535</v>
      </c>
      <c r="B330" s="1" t="s">
        <v>355</v>
      </c>
      <c r="C330" t="e">
        <v>#N/A</v>
      </c>
      <c r="D330">
        <f t="shared" si="30"/>
        <v>1.9193857965451055E-3</v>
      </c>
      <c r="F330" t="e">
        <v>#N/A</v>
      </c>
      <c r="G330">
        <v>0</v>
      </c>
      <c r="H330">
        <f t="shared" si="31"/>
        <v>0.1</v>
      </c>
      <c r="J330">
        <f t="shared" si="32"/>
        <v>1.9193857965451057E-4</v>
      </c>
      <c r="K330">
        <f t="shared" si="33"/>
        <v>0.36391554702494633</v>
      </c>
      <c r="L330" s="11">
        <f t="shared" si="34"/>
        <v>5.2742616033756105E-4</v>
      </c>
      <c r="M330">
        <f t="shared" si="35"/>
        <v>5.7430080426679369E-3</v>
      </c>
    </row>
    <row r="331" spans="1:13" ht="15">
      <c r="A331" t="s">
        <v>535</v>
      </c>
      <c r="B331" s="1" t="s">
        <v>356</v>
      </c>
      <c r="C331" t="e">
        <v>#N/A</v>
      </c>
      <c r="D331">
        <f t="shared" si="30"/>
        <v>1.9193857965451055E-3</v>
      </c>
      <c r="F331" t="e">
        <v>#N/A</v>
      </c>
      <c r="G331">
        <v>0</v>
      </c>
      <c r="H331">
        <f t="shared" si="31"/>
        <v>0.1</v>
      </c>
      <c r="J331">
        <f t="shared" si="32"/>
        <v>1.9193857965451057E-4</v>
      </c>
      <c r="K331">
        <f t="shared" si="33"/>
        <v>0.36391554702494633</v>
      </c>
      <c r="L331" s="11">
        <f t="shared" si="34"/>
        <v>5.2742616033756105E-4</v>
      </c>
      <c r="M331">
        <f t="shared" si="35"/>
        <v>5.7430080426679369E-3</v>
      </c>
    </row>
    <row r="332" spans="1:13" ht="15">
      <c r="A332" t="s">
        <v>535</v>
      </c>
      <c r="B332" s="1" t="s">
        <v>357</v>
      </c>
      <c r="C332" t="e">
        <v>#N/A</v>
      </c>
      <c r="D332">
        <f t="shared" si="30"/>
        <v>1.9193857965451055E-3</v>
      </c>
      <c r="F332" t="e">
        <v>#N/A</v>
      </c>
      <c r="G332">
        <v>0</v>
      </c>
      <c r="H332">
        <f t="shared" si="31"/>
        <v>0.1</v>
      </c>
      <c r="J332">
        <f t="shared" si="32"/>
        <v>1.9193857965451057E-4</v>
      </c>
      <c r="K332">
        <f t="shared" si="33"/>
        <v>0.36391554702494633</v>
      </c>
      <c r="L332" s="11">
        <f t="shared" si="34"/>
        <v>5.2742616033756105E-4</v>
      </c>
      <c r="M332">
        <f t="shared" si="35"/>
        <v>5.7430080426679369E-3</v>
      </c>
    </row>
    <row r="333" spans="1:13" ht="15">
      <c r="A333" t="s">
        <v>535</v>
      </c>
      <c r="B333" s="1" t="s">
        <v>358</v>
      </c>
      <c r="C333" t="e">
        <v>#N/A</v>
      </c>
      <c r="D333">
        <f t="shared" si="30"/>
        <v>1.9193857965451055E-3</v>
      </c>
      <c r="F333" t="e">
        <v>#N/A</v>
      </c>
      <c r="G333">
        <v>0</v>
      </c>
      <c r="H333">
        <f t="shared" si="31"/>
        <v>0.1</v>
      </c>
      <c r="J333">
        <f t="shared" si="32"/>
        <v>1.9193857965451057E-4</v>
      </c>
      <c r="K333">
        <f t="shared" si="33"/>
        <v>0.36391554702494633</v>
      </c>
      <c r="L333" s="11">
        <f t="shared" si="34"/>
        <v>5.2742616033756105E-4</v>
      </c>
      <c r="M333">
        <f t="shared" si="35"/>
        <v>5.7430080426679369E-3</v>
      </c>
    </row>
    <row r="334" spans="1:13" ht="15">
      <c r="A334" t="s">
        <v>535</v>
      </c>
      <c r="B334" s="1" t="s">
        <v>359</v>
      </c>
      <c r="C334" t="e">
        <v>#N/A</v>
      </c>
      <c r="D334">
        <f t="shared" si="30"/>
        <v>1.9193857965451055E-3</v>
      </c>
      <c r="F334" t="e">
        <v>#N/A</v>
      </c>
      <c r="G334">
        <v>0</v>
      </c>
      <c r="H334">
        <f t="shared" si="31"/>
        <v>0.1</v>
      </c>
      <c r="J334">
        <f t="shared" si="32"/>
        <v>1.9193857965451057E-4</v>
      </c>
      <c r="K334">
        <f t="shared" si="33"/>
        <v>0.36391554702494633</v>
      </c>
      <c r="L334" s="11">
        <f t="shared" si="34"/>
        <v>5.2742616033756105E-4</v>
      </c>
      <c r="M334">
        <f t="shared" si="35"/>
        <v>5.7430080426679369E-3</v>
      </c>
    </row>
    <row r="335" spans="1:13" ht="15">
      <c r="A335" t="s">
        <v>535</v>
      </c>
      <c r="B335" s="1" t="s">
        <v>361</v>
      </c>
      <c r="C335" t="e">
        <v>#N/A</v>
      </c>
      <c r="D335">
        <f t="shared" si="30"/>
        <v>1.9193857965451055E-3</v>
      </c>
      <c r="F335" t="e">
        <v>#N/A</v>
      </c>
      <c r="G335">
        <v>0</v>
      </c>
      <c r="H335">
        <f t="shared" si="31"/>
        <v>0.1</v>
      </c>
      <c r="J335">
        <f t="shared" si="32"/>
        <v>1.9193857965451057E-4</v>
      </c>
      <c r="K335">
        <f t="shared" si="33"/>
        <v>0.36391554702494633</v>
      </c>
      <c r="L335" s="11">
        <f t="shared" si="34"/>
        <v>5.2742616033756105E-4</v>
      </c>
      <c r="M335">
        <f t="shared" si="35"/>
        <v>5.7430080426679369E-3</v>
      </c>
    </row>
    <row r="336" spans="1:13">
      <c r="A336" t="s">
        <v>534</v>
      </c>
      <c r="B336" s="2" t="s">
        <v>77</v>
      </c>
      <c r="C336" t="e">
        <v>#N/A</v>
      </c>
      <c r="D336">
        <f t="shared" si="30"/>
        <v>1.9193857965451055E-3</v>
      </c>
      <c r="F336" t="e">
        <v>#N/A</v>
      </c>
      <c r="G336">
        <v>0</v>
      </c>
      <c r="H336">
        <f t="shared" si="31"/>
        <v>0.1</v>
      </c>
      <c r="J336">
        <f t="shared" si="32"/>
        <v>1.9193857965451057E-4</v>
      </c>
      <c r="K336">
        <f t="shared" si="33"/>
        <v>0.36391554702494633</v>
      </c>
      <c r="L336" s="11">
        <f t="shared" si="34"/>
        <v>5.2742616033756105E-4</v>
      </c>
      <c r="M336">
        <f t="shared" si="35"/>
        <v>5.7430080426679369E-3</v>
      </c>
    </row>
    <row r="337" spans="1:13">
      <c r="A337" t="s">
        <v>534</v>
      </c>
      <c r="B337" s="2" t="s">
        <v>78</v>
      </c>
      <c r="C337" t="e">
        <v>#N/A</v>
      </c>
      <c r="D337">
        <f t="shared" si="30"/>
        <v>1.9193857965451055E-3</v>
      </c>
      <c r="F337" t="e">
        <v>#N/A</v>
      </c>
      <c r="G337">
        <v>0</v>
      </c>
      <c r="H337">
        <f t="shared" si="31"/>
        <v>0.1</v>
      </c>
      <c r="J337">
        <f t="shared" si="32"/>
        <v>1.9193857965451057E-4</v>
      </c>
      <c r="K337">
        <f t="shared" si="33"/>
        <v>0.36391554702494633</v>
      </c>
      <c r="L337" s="11">
        <f t="shared" si="34"/>
        <v>5.2742616033756105E-4</v>
      </c>
      <c r="M337">
        <f t="shared" si="35"/>
        <v>5.7430080426679369E-3</v>
      </c>
    </row>
    <row r="338" spans="1:13">
      <c r="A338" t="s">
        <v>534</v>
      </c>
      <c r="B338" s="2" t="s">
        <v>79</v>
      </c>
      <c r="C338" t="e">
        <v>#N/A</v>
      </c>
      <c r="D338">
        <f t="shared" si="30"/>
        <v>1.9193857965451055E-3</v>
      </c>
      <c r="F338" t="e">
        <v>#N/A</v>
      </c>
      <c r="G338">
        <v>0</v>
      </c>
      <c r="H338">
        <f t="shared" si="31"/>
        <v>0.1</v>
      </c>
      <c r="J338">
        <f t="shared" si="32"/>
        <v>1.9193857965451057E-4</v>
      </c>
      <c r="K338">
        <f t="shared" si="33"/>
        <v>0.36391554702494633</v>
      </c>
      <c r="L338" s="11">
        <f t="shared" si="34"/>
        <v>5.2742616033756105E-4</v>
      </c>
      <c r="M338">
        <f t="shared" si="35"/>
        <v>5.7430080426679369E-3</v>
      </c>
    </row>
    <row r="339" spans="1:13" ht="15">
      <c r="A339" t="s">
        <v>524</v>
      </c>
      <c r="B339" s="1" t="s">
        <v>10</v>
      </c>
      <c r="C339" t="e">
        <v>#N/A</v>
      </c>
      <c r="D339">
        <f t="shared" si="30"/>
        <v>1.9193857965451055E-3</v>
      </c>
      <c r="F339" t="e">
        <v>#N/A</v>
      </c>
      <c r="G339">
        <v>0</v>
      </c>
      <c r="H339">
        <f t="shared" si="31"/>
        <v>0.1</v>
      </c>
      <c r="J339">
        <f t="shared" si="32"/>
        <v>1.9193857965451057E-4</v>
      </c>
      <c r="K339">
        <f t="shared" si="33"/>
        <v>0.36391554702494633</v>
      </c>
      <c r="L339" s="11">
        <f t="shared" si="34"/>
        <v>5.2742616033756105E-4</v>
      </c>
      <c r="M339">
        <f t="shared" si="35"/>
        <v>5.7430080426679369E-3</v>
      </c>
    </row>
    <row r="340" spans="1:13" ht="15">
      <c r="A340" t="s">
        <v>524</v>
      </c>
      <c r="B340" s="1" t="s">
        <v>11</v>
      </c>
      <c r="C340" t="e">
        <v>#N/A</v>
      </c>
      <c r="D340">
        <f t="shared" si="30"/>
        <v>1.9193857965451055E-3</v>
      </c>
      <c r="F340" t="e">
        <v>#N/A</v>
      </c>
      <c r="G340">
        <v>0</v>
      </c>
      <c r="H340">
        <f t="shared" si="31"/>
        <v>0.1</v>
      </c>
      <c r="J340">
        <f t="shared" si="32"/>
        <v>1.9193857965451057E-4</v>
      </c>
      <c r="K340">
        <f t="shared" si="33"/>
        <v>0.36391554702494633</v>
      </c>
      <c r="L340" s="11">
        <f t="shared" si="34"/>
        <v>5.2742616033756105E-4</v>
      </c>
      <c r="M340">
        <f t="shared" si="35"/>
        <v>5.7430080426679369E-3</v>
      </c>
    </row>
    <row r="341" spans="1:13" ht="15">
      <c r="A341" t="s">
        <v>524</v>
      </c>
      <c r="B341" s="1" t="s">
        <v>12</v>
      </c>
      <c r="C341" t="e">
        <v>#N/A</v>
      </c>
      <c r="D341">
        <f t="shared" si="30"/>
        <v>1.9193857965451055E-3</v>
      </c>
      <c r="F341" t="e">
        <v>#N/A</v>
      </c>
      <c r="G341">
        <v>0</v>
      </c>
      <c r="H341">
        <f t="shared" si="31"/>
        <v>0.1</v>
      </c>
      <c r="J341">
        <f t="shared" si="32"/>
        <v>1.9193857965451057E-4</v>
      </c>
      <c r="K341">
        <f t="shared" si="33"/>
        <v>0.36391554702494633</v>
      </c>
      <c r="L341" s="11">
        <f t="shared" si="34"/>
        <v>5.2742616033756105E-4</v>
      </c>
      <c r="M341">
        <f t="shared" si="35"/>
        <v>5.7430080426679369E-3</v>
      </c>
    </row>
    <row r="342" spans="1:13" ht="15">
      <c r="A342" t="s">
        <v>524</v>
      </c>
      <c r="B342" s="1" t="s">
        <v>13</v>
      </c>
      <c r="C342" t="e">
        <v>#N/A</v>
      </c>
      <c r="D342">
        <f t="shared" si="30"/>
        <v>1.9193857965451055E-3</v>
      </c>
      <c r="F342" t="e">
        <v>#N/A</v>
      </c>
      <c r="G342">
        <v>0</v>
      </c>
      <c r="H342">
        <f t="shared" si="31"/>
        <v>0.1</v>
      </c>
      <c r="J342">
        <f t="shared" si="32"/>
        <v>1.9193857965451057E-4</v>
      </c>
      <c r="K342">
        <f t="shared" si="33"/>
        <v>0.36391554702494633</v>
      </c>
      <c r="L342" s="11">
        <f t="shared" si="34"/>
        <v>5.2742616033756105E-4</v>
      </c>
      <c r="M342">
        <f t="shared" si="35"/>
        <v>5.7430080426679369E-3</v>
      </c>
    </row>
    <row r="343" spans="1:13">
      <c r="A343" t="s">
        <v>524</v>
      </c>
      <c r="B343" s="2" t="s">
        <v>14</v>
      </c>
      <c r="C343" t="e">
        <v>#N/A</v>
      </c>
      <c r="D343">
        <f t="shared" si="30"/>
        <v>1.9193857965451055E-3</v>
      </c>
      <c r="F343" t="e">
        <v>#N/A</v>
      </c>
      <c r="G343">
        <v>0</v>
      </c>
      <c r="H343">
        <f t="shared" si="31"/>
        <v>0.1</v>
      </c>
      <c r="J343">
        <f t="shared" si="32"/>
        <v>1.9193857965451057E-4</v>
      </c>
      <c r="K343">
        <f t="shared" si="33"/>
        <v>0.36391554702494633</v>
      </c>
      <c r="L343" s="11">
        <f t="shared" si="34"/>
        <v>5.2742616033756105E-4</v>
      </c>
      <c r="M343">
        <f t="shared" si="35"/>
        <v>5.7430080426679369E-3</v>
      </c>
    </row>
    <row r="344" spans="1:13" ht="15">
      <c r="A344" t="s">
        <v>543</v>
      </c>
      <c r="B344" s="1" t="s">
        <v>223</v>
      </c>
      <c r="C344" t="e">
        <v>#N/A</v>
      </c>
      <c r="D344">
        <f t="shared" si="30"/>
        <v>1.9193857965451055E-3</v>
      </c>
      <c r="F344" t="e">
        <v>#N/A</v>
      </c>
      <c r="G344">
        <v>0</v>
      </c>
      <c r="H344">
        <f t="shared" si="31"/>
        <v>0.1</v>
      </c>
      <c r="J344">
        <f t="shared" si="32"/>
        <v>1.9193857965451057E-4</v>
      </c>
      <c r="K344">
        <f t="shared" si="33"/>
        <v>0.36391554702494633</v>
      </c>
      <c r="L344" s="11">
        <f t="shared" si="34"/>
        <v>5.2742616033756105E-4</v>
      </c>
      <c r="M344">
        <f t="shared" si="35"/>
        <v>5.7430080426679369E-3</v>
      </c>
    </row>
    <row r="345" spans="1:13">
      <c r="A345" t="s">
        <v>543</v>
      </c>
      <c r="B345" s="2" t="s">
        <v>224</v>
      </c>
      <c r="C345" t="e">
        <v>#N/A</v>
      </c>
      <c r="D345">
        <f t="shared" si="30"/>
        <v>1.9193857965451055E-3</v>
      </c>
      <c r="F345" t="e">
        <v>#N/A</v>
      </c>
      <c r="G345">
        <v>0</v>
      </c>
      <c r="H345">
        <f t="shared" si="31"/>
        <v>0.1</v>
      </c>
      <c r="J345">
        <f t="shared" si="32"/>
        <v>1.9193857965451057E-4</v>
      </c>
      <c r="K345">
        <f t="shared" si="33"/>
        <v>0.36391554702494633</v>
      </c>
      <c r="L345" s="11">
        <f t="shared" si="34"/>
        <v>5.2742616033756105E-4</v>
      </c>
      <c r="M345">
        <f t="shared" si="35"/>
        <v>5.7430080426679369E-3</v>
      </c>
    </row>
    <row r="346" spans="1:13">
      <c r="A346" t="s">
        <v>543</v>
      </c>
      <c r="B346" s="2" t="s">
        <v>226</v>
      </c>
      <c r="C346" t="e">
        <v>#N/A</v>
      </c>
      <c r="D346">
        <f t="shared" si="30"/>
        <v>1.9193857965451055E-3</v>
      </c>
      <c r="F346" t="e">
        <v>#N/A</v>
      </c>
      <c r="G346">
        <v>0</v>
      </c>
      <c r="H346">
        <f t="shared" si="31"/>
        <v>0.1</v>
      </c>
      <c r="J346">
        <f t="shared" si="32"/>
        <v>1.9193857965451057E-4</v>
      </c>
      <c r="K346">
        <f t="shared" si="33"/>
        <v>0.36391554702494633</v>
      </c>
      <c r="L346" s="11">
        <f t="shared" si="34"/>
        <v>5.2742616033756105E-4</v>
      </c>
      <c r="M346">
        <f t="shared" si="35"/>
        <v>5.7430080426679369E-3</v>
      </c>
    </row>
    <row r="347" spans="1:13" ht="15">
      <c r="A347" t="s">
        <v>543</v>
      </c>
      <c r="B347" s="1" t="s">
        <v>225</v>
      </c>
      <c r="C347" t="e">
        <v>#N/A</v>
      </c>
      <c r="D347">
        <f t="shared" si="30"/>
        <v>1.9193857965451055E-3</v>
      </c>
      <c r="F347" t="e">
        <v>#N/A</v>
      </c>
      <c r="G347">
        <v>0</v>
      </c>
      <c r="H347">
        <f t="shared" si="31"/>
        <v>0.1</v>
      </c>
      <c r="J347">
        <f t="shared" si="32"/>
        <v>1.9193857965451057E-4</v>
      </c>
      <c r="K347">
        <f t="shared" si="33"/>
        <v>0.36391554702494633</v>
      </c>
      <c r="L347" s="11">
        <f t="shared" si="34"/>
        <v>5.2742616033756105E-4</v>
      </c>
      <c r="M347">
        <f t="shared" si="35"/>
        <v>5.7430080426679369E-3</v>
      </c>
    </row>
    <row r="348" spans="1:13">
      <c r="A348" t="s">
        <v>543</v>
      </c>
      <c r="B348" s="2" t="s">
        <v>227</v>
      </c>
      <c r="C348" t="e">
        <v>#N/A</v>
      </c>
      <c r="D348">
        <f t="shared" si="30"/>
        <v>1.9193857965451055E-3</v>
      </c>
      <c r="F348" t="e">
        <v>#N/A</v>
      </c>
      <c r="G348">
        <v>0</v>
      </c>
      <c r="H348">
        <f t="shared" si="31"/>
        <v>0.1</v>
      </c>
      <c r="J348">
        <f t="shared" si="32"/>
        <v>1.9193857965451057E-4</v>
      </c>
      <c r="K348">
        <f t="shared" si="33"/>
        <v>0.36391554702494633</v>
      </c>
      <c r="L348" s="11">
        <f t="shared" si="34"/>
        <v>5.2742616033756105E-4</v>
      </c>
      <c r="M348">
        <f t="shared" si="35"/>
        <v>5.7430080426679369E-3</v>
      </c>
    </row>
    <row r="349" spans="1:13" ht="15">
      <c r="A349" t="s">
        <v>535</v>
      </c>
      <c r="B349" s="1" t="s">
        <v>362</v>
      </c>
      <c r="C349" t="e">
        <v>#N/A</v>
      </c>
      <c r="D349">
        <f t="shared" si="30"/>
        <v>1.9193857965451055E-3</v>
      </c>
      <c r="F349" t="e">
        <v>#N/A</v>
      </c>
      <c r="G349">
        <v>0</v>
      </c>
      <c r="H349">
        <f t="shared" si="31"/>
        <v>0.1</v>
      </c>
      <c r="J349">
        <f t="shared" si="32"/>
        <v>1.9193857965451057E-4</v>
      </c>
      <c r="K349">
        <f t="shared" si="33"/>
        <v>0.36391554702494633</v>
      </c>
      <c r="L349" s="11">
        <f t="shared" si="34"/>
        <v>5.2742616033756105E-4</v>
      </c>
      <c r="M349">
        <f t="shared" si="35"/>
        <v>5.7430080426679369E-3</v>
      </c>
    </row>
    <row r="350" spans="1:13" ht="15">
      <c r="A350" t="s">
        <v>537</v>
      </c>
      <c r="B350" s="1" t="s">
        <v>190</v>
      </c>
      <c r="C350" t="e">
        <v>#N/A</v>
      </c>
      <c r="D350">
        <f t="shared" si="30"/>
        <v>1.9193857965451055E-3</v>
      </c>
      <c r="F350" t="e">
        <v>#N/A</v>
      </c>
      <c r="G350">
        <v>0</v>
      </c>
      <c r="H350">
        <f t="shared" si="31"/>
        <v>0.1</v>
      </c>
      <c r="J350">
        <f t="shared" si="32"/>
        <v>1.9193857965451057E-4</v>
      </c>
      <c r="K350">
        <f t="shared" si="33"/>
        <v>0.36391554702494633</v>
      </c>
      <c r="L350" s="11">
        <f t="shared" si="34"/>
        <v>5.2742616033756105E-4</v>
      </c>
      <c r="M350">
        <f t="shared" si="35"/>
        <v>5.7430080426679369E-3</v>
      </c>
    </row>
    <row r="351" spans="1:13" ht="15">
      <c r="A351" t="s">
        <v>534</v>
      </c>
      <c r="B351" s="1" t="s">
        <v>80</v>
      </c>
      <c r="C351" t="e">
        <v>#N/A</v>
      </c>
      <c r="D351">
        <f t="shared" si="30"/>
        <v>1.9193857965451055E-3</v>
      </c>
      <c r="F351" t="e">
        <v>#N/A</v>
      </c>
      <c r="G351">
        <v>0</v>
      </c>
      <c r="H351">
        <f t="shared" si="31"/>
        <v>0.1</v>
      </c>
      <c r="J351">
        <f t="shared" si="32"/>
        <v>1.9193857965451057E-4</v>
      </c>
      <c r="K351">
        <f t="shared" si="33"/>
        <v>0.36391554702494633</v>
      </c>
      <c r="L351" s="11">
        <f t="shared" si="34"/>
        <v>5.2742616033756105E-4</v>
      </c>
      <c r="M351">
        <f t="shared" si="35"/>
        <v>5.7430080426679369E-3</v>
      </c>
    </row>
    <row r="352" spans="1:13" ht="15">
      <c r="A352" t="s">
        <v>537</v>
      </c>
      <c r="B352" s="1" t="s">
        <v>191</v>
      </c>
      <c r="C352" t="e">
        <v>#N/A</v>
      </c>
      <c r="D352">
        <f t="shared" si="30"/>
        <v>1.9193857965451055E-3</v>
      </c>
      <c r="F352" t="e">
        <v>#N/A</v>
      </c>
      <c r="G352">
        <v>0</v>
      </c>
      <c r="H352">
        <f t="shared" si="31"/>
        <v>0.1</v>
      </c>
      <c r="J352">
        <f t="shared" si="32"/>
        <v>1.9193857965451057E-4</v>
      </c>
      <c r="K352">
        <f t="shared" si="33"/>
        <v>0.36391554702494633</v>
      </c>
      <c r="L352" s="11">
        <f t="shared" si="34"/>
        <v>5.2742616033756105E-4</v>
      </c>
      <c r="M352">
        <f t="shared" si="35"/>
        <v>5.7430080426679369E-3</v>
      </c>
    </row>
    <row r="353" spans="1:13" ht="15">
      <c r="A353" t="s">
        <v>536</v>
      </c>
      <c r="B353" s="1" t="s">
        <v>437</v>
      </c>
      <c r="C353" t="e">
        <v>#N/A</v>
      </c>
      <c r="D353">
        <f t="shared" si="30"/>
        <v>1.9193857965451055E-3</v>
      </c>
      <c r="F353" t="e">
        <v>#N/A</v>
      </c>
      <c r="G353">
        <v>0</v>
      </c>
      <c r="H353">
        <f t="shared" si="31"/>
        <v>0.1</v>
      </c>
      <c r="J353">
        <f t="shared" si="32"/>
        <v>1.9193857965451057E-4</v>
      </c>
      <c r="K353">
        <f t="shared" si="33"/>
        <v>0.36391554702494633</v>
      </c>
      <c r="L353" s="11">
        <f t="shared" si="34"/>
        <v>5.2742616033756105E-4</v>
      </c>
      <c r="M353">
        <f t="shared" si="35"/>
        <v>5.7430080426679369E-3</v>
      </c>
    </row>
    <row r="354" spans="1:13" ht="15">
      <c r="A354" t="s">
        <v>535</v>
      </c>
      <c r="B354" s="1" t="s">
        <v>364</v>
      </c>
      <c r="C354" t="e">
        <v>#N/A</v>
      </c>
      <c r="D354">
        <f t="shared" si="30"/>
        <v>1.9193857965451055E-3</v>
      </c>
      <c r="F354" t="e">
        <v>#N/A</v>
      </c>
      <c r="G354">
        <v>0</v>
      </c>
      <c r="H354">
        <f t="shared" si="31"/>
        <v>0.1</v>
      </c>
      <c r="J354">
        <f t="shared" si="32"/>
        <v>1.9193857965451057E-4</v>
      </c>
      <c r="K354">
        <f t="shared" si="33"/>
        <v>0.36391554702494633</v>
      </c>
      <c r="L354" s="11">
        <f t="shared" si="34"/>
        <v>5.2742616033756105E-4</v>
      </c>
      <c r="M354">
        <f t="shared" si="35"/>
        <v>5.7430080426679369E-3</v>
      </c>
    </row>
    <row r="355" spans="1:13" ht="15">
      <c r="A355" t="s">
        <v>535</v>
      </c>
      <c r="B355" s="1" t="s">
        <v>365</v>
      </c>
      <c r="C355" t="e">
        <v>#N/A</v>
      </c>
      <c r="D355">
        <f t="shared" si="30"/>
        <v>1.9193857965451055E-3</v>
      </c>
      <c r="F355" t="e">
        <v>#N/A</v>
      </c>
      <c r="G355">
        <v>0</v>
      </c>
      <c r="H355">
        <f t="shared" si="31"/>
        <v>0.1</v>
      </c>
      <c r="J355">
        <f t="shared" si="32"/>
        <v>1.9193857965451057E-4</v>
      </c>
      <c r="K355">
        <f t="shared" si="33"/>
        <v>0.36391554702494633</v>
      </c>
      <c r="L355" s="11">
        <f t="shared" si="34"/>
        <v>5.2742616033756105E-4</v>
      </c>
      <c r="M355">
        <f t="shared" si="35"/>
        <v>5.7430080426679369E-3</v>
      </c>
    </row>
    <row r="356" spans="1:13" ht="15">
      <c r="A356" t="s">
        <v>539</v>
      </c>
      <c r="B356" s="1" t="s">
        <v>302</v>
      </c>
      <c r="C356" t="e">
        <v>#N/A</v>
      </c>
      <c r="D356">
        <f t="shared" si="30"/>
        <v>1.9193857965451055E-3</v>
      </c>
      <c r="F356" t="e">
        <v>#N/A</v>
      </c>
      <c r="G356">
        <v>0</v>
      </c>
      <c r="H356">
        <f t="shared" si="31"/>
        <v>0.1</v>
      </c>
      <c r="J356">
        <f t="shared" si="32"/>
        <v>1.9193857965451057E-4</v>
      </c>
      <c r="K356">
        <f t="shared" si="33"/>
        <v>0.36391554702494633</v>
      </c>
      <c r="L356" s="11">
        <f t="shared" si="34"/>
        <v>5.2742616033756105E-4</v>
      </c>
      <c r="M356">
        <f t="shared" si="35"/>
        <v>5.7430080426679369E-3</v>
      </c>
    </row>
    <row r="357" spans="1:13" ht="15">
      <c r="A357" t="s">
        <v>539</v>
      </c>
      <c r="B357" s="1" t="s">
        <v>303</v>
      </c>
      <c r="C357" t="e">
        <v>#N/A</v>
      </c>
      <c r="D357">
        <f t="shared" si="30"/>
        <v>1.9193857965451055E-3</v>
      </c>
      <c r="F357" t="e">
        <v>#N/A</v>
      </c>
      <c r="G357">
        <v>0</v>
      </c>
      <c r="H357">
        <f t="shared" si="31"/>
        <v>0.1</v>
      </c>
      <c r="J357">
        <f t="shared" si="32"/>
        <v>1.9193857965451057E-4</v>
      </c>
      <c r="K357">
        <f t="shared" si="33"/>
        <v>0.36391554702494633</v>
      </c>
      <c r="L357" s="11">
        <f t="shared" si="34"/>
        <v>5.2742616033756105E-4</v>
      </c>
      <c r="M357">
        <f t="shared" si="35"/>
        <v>5.7430080426679369E-3</v>
      </c>
    </row>
    <row r="358" spans="1:13" ht="15">
      <c r="A358" t="s">
        <v>535</v>
      </c>
      <c r="B358" s="1" t="s">
        <v>366</v>
      </c>
      <c r="C358" t="e">
        <v>#N/A</v>
      </c>
      <c r="D358">
        <f t="shared" si="30"/>
        <v>1.9193857965451055E-3</v>
      </c>
      <c r="F358" t="e">
        <v>#N/A</v>
      </c>
      <c r="G358">
        <v>0</v>
      </c>
      <c r="H358">
        <f t="shared" si="31"/>
        <v>0.1</v>
      </c>
      <c r="J358">
        <f t="shared" si="32"/>
        <v>1.9193857965451057E-4</v>
      </c>
      <c r="K358">
        <f t="shared" si="33"/>
        <v>0.36391554702494633</v>
      </c>
      <c r="L358" s="11">
        <f t="shared" si="34"/>
        <v>5.2742616033756105E-4</v>
      </c>
      <c r="M358">
        <f t="shared" si="35"/>
        <v>5.7430080426679369E-3</v>
      </c>
    </row>
    <row r="359" spans="1:13" ht="15">
      <c r="A359" t="s">
        <v>534</v>
      </c>
      <c r="B359" s="1" t="s">
        <v>81</v>
      </c>
      <c r="C359" t="e">
        <v>#N/A</v>
      </c>
      <c r="D359">
        <f t="shared" si="30"/>
        <v>1.9193857965451055E-3</v>
      </c>
      <c r="F359" t="e">
        <v>#N/A</v>
      </c>
      <c r="G359">
        <v>0</v>
      </c>
      <c r="H359">
        <f t="shared" si="31"/>
        <v>0.1</v>
      </c>
      <c r="J359">
        <f t="shared" si="32"/>
        <v>1.9193857965451057E-4</v>
      </c>
      <c r="K359">
        <f t="shared" si="33"/>
        <v>0.36391554702494633</v>
      </c>
      <c r="L359" s="11">
        <f t="shared" si="34"/>
        <v>5.2742616033756105E-4</v>
      </c>
      <c r="M359">
        <f t="shared" si="35"/>
        <v>5.7430080426679369E-3</v>
      </c>
    </row>
    <row r="360" spans="1:13" ht="15">
      <c r="A360" t="s">
        <v>535</v>
      </c>
      <c r="B360" s="1" t="s">
        <v>370</v>
      </c>
      <c r="C360" t="e">
        <v>#N/A</v>
      </c>
      <c r="D360">
        <f t="shared" si="30"/>
        <v>1.9193857965451055E-3</v>
      </c>
      <c r="F360" t="e">
        <v>#N/A</v>
      </c>
      <c r="G360">
        <v>0</v>
      </c>
      <c r="H360">
        <f t="shared" si="31"/>
        <v>0.1</v>
      </c>
      <c r="J360">
        <f t="shared" si="32"/>
        <v>1.9193857965451057E-4</v>
      </c>
      <c r="K360">
        <f t="shared" si="33"/>
        <v>0.36391554702494633</v>
      </c>
      <c r="L360" s="11">
        <f t="shared" si="34"/>
        <v>5.2742616033756105E-4</v>
      </c>
      <c r="M360">
        <f t="shared" si="35"/>
        <v>5.7430080426679369E-3</v>
      </c>
    </row>
    <row r="361" spans="1:13" ht="15">
      <c r="A361" t="s">
        <v>535</v>
      </c>
      <c r="B361" s="1" t="s">
        <v>371</v>
      </c>
      <c r="C361" t="e">
        <v>#N/A</v>
      </c>
      <c r="D361">
        <f t="shared" si="30"/>
        <v>1.9193857965451055E-3</v>
      </c>
      <c r="F361" t="e">
        <v>#N/A</v>
      </c>
      <c r="G361">
        <v>0</v>
      </c>
      <c r="H361">
        <f t="shared" si="31"/>
        <v>0.1</v>
      </c>
      <c r="J361">
        <f t="shared" si="32"/>
        <v>1.9193857965451057E-4</v>
      </c>
      <c r="K361">
        <f t="shared" si="33"/>
        <v>0.36391554702494633</v>
      </c>
      <c r="L361" s="11">
        <f t="shared" si="34"/>
        <v>5.2742616033756105E-4</v>
      </c>
      <c r="M361">
        <f t="shared" si="35"/>
        <v>5.7430080426679369E-3</v>
      </c>
    </row>
    <row r="362" spans="1:13" ht="15">
      <c r="A362" t="s">
        <v>539</v>
      </c>
      <c r="B362" s="1" t="s">
        <v>304</v>
      </c>
      <c r="C362" t="e">
        <v>#N/A</v>
      </c>
      <c r="D362">
        <f t="shared" si="30"/>
        <v>1.9193857965451055E-3</v>
      </c>
      <c r="F362" t="e">
        <v>#N/A</v>
      </c>
      <c r="G362">
        <v>0</v>
      </c>
      <c r="H362">
        <f t="shared" si="31"/>
        <v>0.1</v>
      </c>
      <c r="J362">
        <f t="shared" si="32"/>
        <v>1.9193857965451057E-4</v>
      </c>
      <c r="K362">
        <f t="shared" si="33"/>
        <v>0.36391554702494633</v>
      </c>
      <c r="L362" s="11">
        <f t="shared" si="34"/>
        <v>5.2742616033756105E-4</v>
      </c>
      <c r="M362">
        <f t="shared" si="35"/>
        <v>5.7430080426679369E-3</v>
      </c>
    </row>
    <row r="363" spans="1:13" ht="15">
      <c r="A363" t="s">
        <v>539</v>
      </c>
      <c r="B363" s="1" t="s">
        <v>305</v>
      </c>
      <c r="C363" t="e">
        <v>#N/A</v>
      </c>
      <c r="D363">
        <f t="shared" si="30"/>
        <v>1.9193857965451055E-3</v>
      </c>
      <c r="F363" t="e">
        <v>#N/A</v>
      </c>
      <c r="G363">
        <v>0</v>
      </c>
      <c r="H363">
        <f t="shared" si="31"/>
        <v>0.1</v>
      </c>
      <c r="J363">
        <f t="shared" si="32"/>
        <v>1.9193857965451057E-4</v>
      </c>
      <c r="K363">
        <f t="shared" si="33"/>
        <v>0.36391554702494633</v>
      </c>
      <c r="L363" s="11">
        <f t="shared" si="34"/>
        <v>5.2742616033756105E-4</v>
      </c>
      <c r="M363">
        <f t="shared" si="35"/>
        <v>5.7430080426679369E-3</v>
      </c>
    </row>
    <row r="364" spans="1:13" ht="15">
      <c r="A364" t="s">
        <v>524</v>
      </c>
      <c r="B364" s="1" t="s">
        <v>15</v>
      </c>
      <c r="C364" t="e">
        <v>#N/A</v>
      </c>
      <c r="D364">
        <f t="shared" si="30"/>
        <v>1.9193857965451055E-3</v>
      </c>
      <c r="F364" t="e">
        <v>#N/A</v>
      </c>
      <c r="G364">
        <v>0</v>
      </c>
      <c r="H364">
        <f t="shared" si="31"/>
        <v>0.1</v>
      </c>
      <c r="J364">
        <f t="shared" si="32"/>
        <v>1.9193857965451057E-4</v>
      </c>
      <c r="K364">
        <f t="shared" si="33"/>
        <v>0.36391554702494633</v>
      </c>
      <c r="L364" s="11">
        <f t="shared" si="34"/>
        <v>5.2742616033756105E-4</v>
      </c>
      <c r="M364">
        <f t="shared" si="35"/>
        <v>5.7430080426679369E-3</v>
      </c>
    </row>
    <row r="365" spans="1:13" ht="15">
      <c r="A365" t="s">
        <v>535</v>
      </c>
      <c r="B365" s="1" t="s">
        <v>372</v>
      </c>
      <c r="C365" t="e">
        <v>#N/A</v>
      </c>
      <c r="D365">
        <f t="shared" si="30"/>
        <v>1.9193857965451055E-3</v>
      </c>
      <c r="F365" t="e">
        <v>#N/A</v>
      </c>
      <c r="G365">
        <v>0</v>
      </c>
      <c r="H365">
        <f t="shared" si="31"/>
        <v>0.1</v>
      </c>
      <c r="J365">
        <f t="shared" si="32"/>
        <v>1.9193857965451057E-4</v>
      </c>
      <c r="K365">
        <f t="shared" si="33"/>
        <v>0.36391554702494633</v>
      </c>
      <c r="L365" s="11">
        <f t="shared" si="34"/>
        <v>5.2742616033756105E-4</v>
      </c>
      <c r="M365">
        <f t="shared" si="35"/>
        <v>5.7430080426679369E-3</v>
      </c>
    </row>
    <row r="366" spans="1:13" ht="15">
      <c r="A366" t="s">
        <v>539</v>
      </c>
      <c r="B366" s="1" t="s">
        <v>306</v>
      </c>
      <c r="C366" t="e">
        <v>#N/A</v>
      </c>
      <c r="D366">
        <f t="shared" si="30"/>
        <v>1.9193857965451055E-3</v>
      </c>
      <c r="F366" t="e">
        <v>#N/A</v>
      </c>
      <c r="G366">
        <v>0</v>
      </c>
      <c r="H366">
        <f t="shared" si="31"/>
        <v>0.1</v>
      </c>
      <c r="J366">
        <f t="shared" si="32"/>
        <v>1.9193857965451057E-4</v>
      </c>
      <c r="K366">
        <f t="shared" si="33"/>
        <v>0.36391554702494633</v>
      </c>
      <c r="L366" s="11">
        <f t="shared" si="34"/>
        <v>5.2742616033756105E-4</v>
      </c>
      <c r="M366">
        <f t="shared" si="35"/>
        <v>5.7430080426679369E-3</v>
      </c>
    </row>
    <row r="367" spans="1:13" ht="15">
      <c r="A367" t="s">
        <v>535</v>
      </c>
      <c r="B367" s="1" t="s">
        <v>374</v>
      </c>
      <c r="C367" t="e">
        <v>#N/A</v>
      </c>
      <c r="D367">
        <f t="shared" si="30"/>
        <v>1.9193857965451055E-3</v>
      </c>
      <c r="F367" t="e">
        <v>#N/A</v>
      </c>
      <c r="G367">
        <v>0</v>
      </c>
      <c r="H367">
        <f t="shared" si="31"/>
        <v>0.1</v>
      </c>
      <c r="J367">
        <f t="shared" si="32"/>
        <v>1.9193857965451057E-4</v>
      </c>
      <c r="K367">
        <f t="shared" si="33"/>
        <v>0.36391554702494633</v>
      </c>
      <c r="L367" s="11">
        <f t="shared" si="34"/>
        <v>5.2742616033756105E-4</v>
      </c>
      <c r="M367">
        <f t="shared" si="35"/>
        <v>5.7430080426679369E-3</v>
      </c>
    </row>
    <row r="368" spans="1:13" ht="15">
      <c r="A368" t="s">
        <v>539</v>
      </c>
      <c r="B368" s="1" t="s">
        <v>309</v>
      </c>
      <c r="C368" t="e">
        <v>#N/A</v>
      </c>
      <c r="D368">
        <f t="shared" si="30"/>
        <v>1.9193857965451055E-3</v>
      </c>
      <c r="F368" t="e">
        <v>#N/A</v>
      </c>
      <c r="G368">
        <v>0</v>
      </c>
      <c r="H368">
        <f t="shared" si="31"/>
        <v>0.1</v>
      </c>
      <c r="J368">
        <f t="shared" si="32"/>
        <v>1.9193857965451057E-4</v>
      </c>
      <c r="K368">
        <f t="shared" si="33"/>
        <v>0.36391554702494633</v>
      </c>
      <c r="L368" s="11">
        <f t="shared" si="34"/>
        <v>5.2742616033756105E-4</v>
      </c>
      <c r="M368">
        <f t="shared" si="35"/>
        <v>5.7430080426679369E-3</v>
      </c>
    </row>
    <row r="369" spans="1:13" ht="15">
      <c r="A369" t="s">
        <v>535</v>
      </c>
      <c r="B369" s="1" t="s">
        <v>375</v>
      </c>
      <c r="C369" t="e">
        <v>#N/A</v>
      </c>
      <c r="D369">
        <f t="shared" si="30"/>
        <v>1.9193857965451055E-3</v>
      </c>
      <c r="F369" t="e">
        <v>#N/A</v>
      </c>
      <c r="G369">
        <v>0</v>
      </c>
      <c r="H369">
        <f t="shared" si="31"/>
        <v>0.1</v>
      </c>
      <c r="J369">
        <f t="shared" si="32"/>
        <v>1.9193857965451057E-4</v>
      </c>
      <c r="K369">
        <f t="shared" si="33"/>
        <v>0.36391554702494633</v>
      </c>
      <c r="L369" s="11">
        <f t="shared" si="34"/>
        <v>5.2742616033756105E-4</v>
      </c>
      <c r="M369">
        <f t="shared" si="35"/>
        <v>5.7430080426679369E-3</v>
      </c>
    </row>
    <row r="370" spans="1:13" ht="15">
      <c r="A370" t="s">
        <v>535</v>
      </c>
      <c r="B370" s="1" t="s">
        <v>376</v>
      </c>
      <c r="C370" t="e">
        <v>#N/A</v>
      </c>
      <c r="D370">
        <f t="shared" si="30"/>
        <v>1.9193857965451055E-3</v>
      </c>
      <c r="F370" t="e">
        <v>#N/A</v>
      </c>
      <c r="G370">
        <v>0</v>
      </c>
      <c r="H370">
        <f t="shared" si="31"/>
        <v>0.1</v>
      </c>
      <c r="J370">
        <f t="shared" si="32"/>
        <v>1.9193857965451057E-4</v>
      </c>
      <c r="K370">
        <f t="shared" si="33"/>
        <v>0.36391554702494633</v>
      </c>
      <c r="L370" s="11">
        <f t="shared" si="34"/>
        <v>5.2742616033756105E-4</v>
      </c>
      <c r="M370">
        <f t="shared" si="35"/>
        <v>5.7430080426679369E-3</v>
      </c>
    </row>
    <row r="371" spans="1:13" ht="15">
      <c r="A371" t="s">
        <v>537</v>
      </c>
      <c r="B371" s="1" t="s">
        <v>192</v>
      </c>
      <c r="C371" t="e">
        <v>#N/A</v>
      </c>
      <c r="D371">
        <f t="shared" si="30"/>
        <v>1.9193857965451055E-3</v>
      </c>
      <c r="F371" t="e">
        <v>#N/A</v>
      </c>
      <c r="G371">
        <v>0</v>
      </c>
      <c r="H371">
        <f t="shared" si="31"/>
        <v>0.1</v>
      </c>
      <c r="J371">
        <f t="shared" si="32"/>
        <v>1.9193857965451057E-4</v>
      </c>
      <c r="K371">
        <f t="shared" si="33"/>
        <v>0.36391554702494633</v>
      </c>
      <c r="L371" s="11">
        <f t="shared" si="34"/>
        <v>5.2742616033756105E-4</v>
      </c>
      <c r="M371">
        <f t="shared" si="35"/>
        <v>5.7430080426679369E-3</v>
      </c>
    </row>
    <row r="372" spans="1:13" ht="15">
      <c r="A372" t="s">
        <v>540</v>
      </c>
      <c r="B372" s="1" t="s">
        <v>235</v>
      </c>
      <c r="C372" t="e">
        <v>#N/A</v>
      </c>
      <c r="D372">
        <f t="shared" si="30"/>
        <v>1.9193857965451055E-3</v>
      </c>
      <c r="F372" t="e">
        <v>#N/A</v>
      </c>
      <c r="G372">
        <v>0</v>
      </c>
      <c r="H372">
        <f t="shared" si="31"/>
        <v>0.1</v>
      </c>
      <c r="J372">
        <f t="shared" si="32"/>
        <v>1.9193857965451057E-4</v>
      </c>
      <c r="K372">
        <f t="shared" si="33"/>
        <v>0.36391554702494633</v>
      </c>
      <c r="L372" s="11">
        <f t="shared" si="34"/>
        <v>5.2742616033756105E-4</v>
      </c>
      <c r="M372">
        <f t="shared" si="35"/>
        <v>5.7430080426679369E-3</v>
      </c>
    </row>
    <row r="373" spans="1:13" ht="15">
      <c r="A373" t="s">
        <v>540</v>
      </c>
      <c r="B373" s="1" t="s">
        <v>238</v>
      </c>
      <c r="C373" t="e">
        <v>#N/A</v>
      </c>
      <c r="D373">
        <f t="shared" si="30"/>
        <v>1.9193857965451055E-3</v>
      </c>
      <c r="F373" t="e">
        <v>#N/A</v>
      </c>
      <c r="G373">
        <v>0</v>
      </c>
      <c r="H373">
        <f t="shared" si="31"/>
        <v>0.1</v>
      </c>
      <c r="J373">
        <f t="shared" si="32"/>
        <v>1.9193857965451057E-4</v>
      </c>
      <c r="K373">
        <f t="shared" si="33"/>
        <v>0.36391554702494633</v>
      </c>
      <c r="L373" s="11">
        <f t="shared" si="34"/>
        <v>5.2742616033756105E-4</v>
      </c>
      <c r="M373">
        <f t="shared" si="35"/>
        <v>5.7430080426679369E-3</v>
      </c>
    </row>
    <row r="374" spans="1:13" ht="15">
      <c r="A374" t="s">
        <v>540</v>
      </c>
      <c r="B374" s="1" t="s">
        <v>241</v>
      </c>
      <c r="C374" t="e">
        <v>#N/A</v>
      </c>
      <c r="D374">
        <f t="shared" si="30"/>
        <v>1.9193857965451055E-3</v>
      </c>
      <c r="F374" t="e">
        <v>#N/A</v>
      </c>
      <c r="G374">
        <v>0</v>
      </c>
      <c r="H374">
        <f t="shared" si="31"/>
        <v>0.1</v>
      </c>
      <c r="J374">
        <f t="shared" si="32"/>
        <v>1.9193857965451057E-4</v>
      </c>
      <c r="K374">
        <f t="shared" si="33"/>
        <v>0.36391554702494633</v>
      </c>
      <c r="L374" s="11">
        <f t="shared" si="34"/>
        <v>5.2742616033756105E-4</v>
      </c>
      <c r="M374">
        <f t="shared" si="35"/>
        <v>5.7430080426679369E-3</v>
      </c>
    </row>
    <row r="375" spans="1:13" ht="15">
      <c r="A375" t="s">
        <v>540</v>
      </c>
      <c r="B375" s="1" t="s">
        <v>242</v>
      </c>
      <c r="C375" t="e">
        <v>#N/A</v>
      </c>
      <c r="D375">
        <f t="shared" si="30"/>
        <v>1.9193857965451055E-3</v>
      </c>
      <c r="F375" t="e">
        <v>#N/A</v>
      </c>
      <c r="G375">
        <v>0</v>
      </c>
      <c r="H375">
        <f t="shared" si="31"/>
        <v>0.1</v>
      </c>
      <c r="J375">
        <f t="shared" si="32"/>
        <v>1.9193857965451057E-4</v>
      </c>
      <c r="K375">
        <f t="shared" si="33"/>
        <v>0.36391554702494633</v>
      </c>
      <c r="L375" s="11">
        <f t="shared" si="34"/>
        <v>5.2742616033756105E-4</v>
      </c>
      <c r="M375">
        <f t="shared" si="35"/>
        <v>5.7430080426679369E-3</v>
      </c>
    </row>
    <row r="376" spans="1:13" ht="15">
      <c r="A376" t="s">
        <v>540</v>
      </c>
      <c r="B376" s="1" t="s">
        <v>243</v>
      </c>
      <c r="C376" t="e">
        <v>#N/A</v>
      </c>
      <c r="D376">
        <f t="shared" si="30"/>
        <v>1.9193857965451055E-3</v>
      </c>
      <c r="F376" t="e">
        <v>#N/A</v>
      </c>
      <c r="G376">
        <v>0</v>
      </c>
      <c r="H376">
        <f t="shared" si="31"/>
        <v>0.1</v>
      </c>
      <c r="J376">
        <f t="shared" si="32"/>
        <v>1.9193857965451057E-4</v>
      </c>
      <c r="K376">
        <f t="shared" si="33"/>
        <v>0.36391554702494633</v>
      </c>
      <c r="L376" s="11">
        <f t="shared" si="34"/>
        <v>5.2742616033756105E-4</v>
      </c>
      <c r="M376">
        <f t="shared" si="35"/>
        <v>5.7430080426679369E-3</v>
      </c>
    </row>
    <row r="377" spans="1:13" ht="15">
      <c r="A377" t="s">
        <v>540</v>
      </c>
      <c r="B377" s="1" t="s">
        <v>244</v>
      </c>
      <c r="C377" t="e">
        <v>#N/A</v>
      </c>
      <c r="D377">
        <f t="shared" si="30"/>
        <v>1.9193857965451055E-3</v>
      </c>
      <c r="F377" t="e">
        <v>#N/A</v>
      </c>
      <c r="G377">
        <v>0</v>
      </c>
      <c r="H377">
        <f t="shared" si="31"/>
        <v>0.1</v>
      </c>
      <c r="J377">
        <f t="shared" si="32"/>
        <v>1.9193857965451057E-4</v>
      </c>
      <c r="K377">
        <f t="shared" si="33"/>
        <v>0.36391554702494633</v>
      </c>
      <c r="L377" s="11">
        <f t="shared" si="34"/>
        <v>5.2742616033756105E-4</v>
      </c>
      <c r="M377">
        <f t="shared" si="35"/>
        <v>5.7430080426679369E-3</v>
      </c>
    </row>
    <row r="378" spans="1:13" ht="15">
      <c r="A378" t="s">
        <v>540</v>
      </c>
      <c r="B378" s="1" t="s">
        <v>249</v>
      </c>
      <c r="C378" t="e">
        <v>#N/A</v>
      </c>
      <c r="D378">
        <f t="shared" si="30"/>
        <v>1.9193857965451055E-3</v>
      </c>
      <c r="F378" t="e">
        <v>#N/A</v>
      </c>
      <c r="G378">
        <v>0</v>
      </c>
      <c r="H378">
        <f t="shared" si="31"/>
        <v>0.1</v>
      </c>
      <c r="J378">
        <f t="shared" si="32"/>
        <v>1.9193857965451057E-4</v>
      </c>
      <c r="K378">
        <f t="shared" si="33"/>
        <v>0.36391554702494633</v>
      </c>
      <c r="L378" s="11">
        <f t="shared" si="34"/>
        <v>5.2742616033756105E-4</v>
      </c>
      <c r="M378">
        <f t="shared" si="35"/>
        <v>5.7430080426679369E-3</v>
      </c>
    </row>
    <row r="379" spans="1:13" ht="15">
      <c r="A379" t="s">
        <v>540</v>
      </c>
      <c r="B379" s="1" t="s">
        <v>251</v>
      </c>
      <c r="C379" t="e">
        <v>#N/A</v>
      </c>
      <c r="D379">
        <f t="shared" si="30"/>
        <v>1.9193857965451055E-3</v>
      </c>
      <c r="F379" t="e">
        <v>#N/A</v>
      </c>
      <c r="G379">
        <v>0</v>
      </c>
      <c r="H379">
        <f t="shared" si="31"/>
        <v>0.1</v>
      </c>
      <c r="J379">
        <f t="shared" si="32"/>
        <v>1.9193857965451057E-4</v>
      </c>
      <c r="K379">
        <f t="shared" si="33"/>
        <v>0.36391554702494633</v>
      </c>
      <c r="L379" s="11">
        <f t="shared" si="34"/>
        <v>5.2742616033756105E-4</v>
      </c>
      <c r="M379">
        <f t="shared" si="35"/>
        <v>5.7430080426679369E-3</v>
      </c>
    </row>
    <row r="380" spans="1:13" ht="15">
      <c r="A380" t="s">
        <v>540</v>
      </c>
      <c r="B380" s="1" t="s">
        <v>253</v>
      </c>
      <c r="C380" t="e">
        <v>#N/A</v>
      </c>
      <c r="D380">
        <f t="shared" si="30"/>
        <v>1.9193857965451055E-3</v>
      </c>
      <c r="F380" t="e">
        <v>#N/A</v>
      </c>
      <c r="G380">
        <v>0</v>
      </c>
      <c r="H380">
        <f t="shared" si="31"/>
        <v>0.1</v>
      </c>
      <c r="J380">
        <f t="shared" si="32"/>
        <v>1.9193857965451057E-4</v>
      </c>
      <c r="K380">
        <f t="shared" si="33"/>
        <v>0.36391554702494633</v>
      </c>
      <c r="L380" s="11">
        <f t="shared" si="34"/>
        <v>5.2742616033756105E-4</v>
      </c>
      <c r="M380">
        <f t="shared" si="35"/>
        <v>5.7430080426679369E-3</v>
      </c>
    </row>
    <row r="381" spans="1:13" ht="15">
      <c r="A381" t="s">
        <v>537</v>
      </c>
      <c r="B381" s="1" t="s">
        <v>194</v>
      </c>
      <c r="C381" t="e">
        <v>#N/A</v>
      </c>
      <c r="D381">
        <f t="shared" si="30"/>
        <v>1.9193857965451055E-3</v>
      </c>
      <c r="F381" t="e">
        <v>#N/A</v>
      </c>
      <c r="G381">
        <v>0</v>
      </c>
      <c r="H381">
        <f t="shared" si="31"/>
        <v>0.1</v>
      </c>
      <c r="J381">
        <f t="shared" si="32"/>
        <v>1.9193857965451057E-4</v>
      </c>
      <c r="K381">
        <f t="shared" si="33"/>
        <v>0.36391554702494633</v>
      </c>
      <c r="L381" s="11">
        <f t="shared" si="34"/>
        <v>5.2742616033756105E-4</v>
      </c>
      <c r="M381">
        <f t="shared" si="35"/>
        <v>5.7430080426679369E-3</v>
      </c>
    </row>
    <row r="382" spans="1:13" ht="15">
      <c r="A382" t="s">
        <v>537</v>
      </c>
      <c r="B382" s="1" t="s">
        <v>195</v>
      </c>
      <c r="C382" t="e">
        <v>#N/A</v>
      </c>
      <c r="D382">
        <f t="shared" si="30"/>
        <v>1.9193857965451055E-3</v>
      </c>
      <c r="F382" t="e">
        <v>#N/A</v>
      </c>
      <c r="G382">
        <v>0</v>
      </c>
      <c r="H382">
        <f t="shared" si="31"/>
        <v>0.1</v>
      </c>
      <c r="J382">
        <f t="shared" si="32"/>
        <v>1.9193857965451057E-4</v>
      </c>
      <c r="K382">
        <f t="shared" si="33"/>
        <v>0.36391554702494633</v>
      </c>
      <c r="L382" s="11">
        <f t="shared" si="34"/>
        <v>5.2742616033756105E-4</v>
      </c>
      <c r="M382">
        <f t="shared" si="35"/>
        <v>5.7430080426679369E-3</v>
      </c>
    </row>
    <row r="383" spans="1:13" ht="15">
      <c r="A383" t="s">
        <v>537</v>
      </c>
      <c r="B383" s="1" t="s">
        <v>199</v>
      </c>
      <c r="C383" t="e">
        <v>#N/A</v>
      </c>
      <c r="D383">
        <f t="shared" si="30"/>
        <v>1.9193857965451055E-3</v>
      </c>
      <c r="F383" t="e">
        <v>#N/A</v>
      </c>
      <c r="G383">
        <v>0</v>
      </c>
      <c r="H383">
        <f t="shared" si="31"/>
        <v>0.1</v>
      </c>
      <c r="J383">
        <f t="shared" si="32"/>
        <v>1.9193857965451057E-4</v>
      </c>
      <c r="K383">
        <f t="shared" si="33"/>
        <v>0.36391554702494633</v>
      </c>
      <c r="L383" s="11">
        <f t="shared" si="34"/>
        <v>5.2742616033756105E-4</v>
      </c>
      <c r="M383">
        <f t="shared" si="35"/>
        <v>5.7430080426679369E-3</v>
      </c>
    </row>
    <row r="384" spans="1:13" ht="15">
      <c r="A384" t="s">
        <v>537</v>
      </c>
      <c r="B384" s="1" t="s">
        <v>201</v>
      </c>
      <c r="C384" t="e">
        <v>#N/A</v>
      </c>
      <c r="D384">
        <f t="shared" si="30"/>
        <v>1.9193857965451055E-3</v>
      </c>
      <c r="F384" t="e">
        <v>#N/A</v>
      </c>
      <c r="G384">
        <v>0</v>
      </c>
      <c r="H384">
        <f t="shared" si="31"/>
        <v>0.1</v>
      </c>
      <c r="J384">
        <f t="shared" si="32"/>
        <v>1.9193857965451057E-4</v>
      </c>
      <c r="K384">
        <f t="shared" si="33"/>
        <v>0.36391554702494633</v>
      </c>
      <c r="L384" s="11">
        <f t="shared" si="34"/>
        <v>5.2742616033756105E-4</v>
      </c>
      <c r="M384">
        <f t="shared" si="35"/>
        <v>5.7430080426679369E-3</v>
      </c>
    </row>
    <row r="385" spans="1:13" ht="15">
      <c r="A385" t="s">
        <v>534</v>
      </c>
      <c r="B385" s="1" t="s">
        <v>85</v>
      </c>
      <c r="C385" t="e">
        <v>#N/A</v>
      </c>
      <c r="D385">
        <f t="shared" si="30"/>
        <v>1.9193857965451055E-3</v>
      </c>
      <c r="F385" t="e">
        <v>#N/A</v>
      </c>
      <c r="G385">
        <v>0</v>
      </c>
      <c r="H385">
        <f t="shared" si="31"/>
        <v>0.1</v>
      </c>
      <c r="J385">
        <f t="shared" si="32"/>
        <v>1.9193857965451057E-4</v>
      </c>
      <c r="K385">
        <f t="shared" si="33"/>
        <v>0.36391554702494633</v>
      </c>
      <c r="L385" s="11">
        <f t="shared" si="34"/>
        <v>5.2742616033756105E-4</v>
      </c>
      <c r="M385">
        <f t="shared" si="35"/>
        <v>5.7430080426679369E-3</v>
      </c>
    </row>
    <row r="386" spans="1:13" ht="15">
      <c r="A386" t="s">
        <v>534</v>
      </c>
      <c r="B386" s="1" t="s">
        <v>88</v>
      </c>
      <c r="C386" t="e">
        <v>#N/A</v>
      </c>
      <c r="D386">
        <f t="shared" ref="D386:D449" si="36">1/521</f>
        <v>1.9193857965451055E-3</v>
      </c>
      <c r="F386" t="e">
        <v>#N/A</v>
      </c>
      <c r="G386">
        <v>0</v>
      </c>
      <c r="H386">
        <f t="shared" ref="H386:H449" si="37">IF(G386&gt;1,0.95,IF(G386&lt;0.6, 0.1, 0.7))</f>
        <v>0.1</v>
      </c>
      <c r="J386">
        <f t="shared" si="32"/>
        <v>1.9193857965451057E-4</v>
      </c>
      <c r="K386">
        <f t="shared" si="33"/>
        <v>0.36391554702494633</v>
      </c>
      <c r="L386" s="11">
        <f t="shared" si="34"/>
        <v>5.2742616033756105E-4</v>
      </c>
      <c r="M386">
        <f t="shared" si="35"/>
        <v>5.7430080426679369E-3</v>
      </c>
    </row>
    <row r="387" spans="1:13" ht="15">
      <c r="A387" t="s">
        <v>524</v>
      </c>
      <c r="B387" s="1" t="s">
        <v>17</v>
      </c>
      <c r="C387" t="e">
        <v>#N/A</v>
      </c>
      <c r="D387">
        <f t="shared" si="36"/>
        <v>1.9193857965451055E-3</v>
      </c>
      <c r="F387" t="e">
        <v>#N/A</v>
      </c>
      <c r="G387">
        <v>0</v>
      </c>
      <c r="H387">
        <f t="shared" si="37"/>
        <v>0.1</v>
      </c>
      <c r="J387">
        <f t="shared" ref="J387:J450" si="38">D387*H387</f>
        <v>1.9193857965451057E-4</v>
      </c>
      <c r="K387">
        <f t="shared" ref="K387:K450" si="39">SUM(J$2:J$523)</f>
        <v>0.36391554702494633</v>
      </c>
      <c r="L387" s="11">
        <f t="shared" ref="L387:L450" si="40">J387/K387</f>
        <v>5.2742616033756105E-4</v>
      </c>
      <c r="M387">
        <f t="shared" ref="M387:M450" si="41">L387*-LOG(L387,2)</f>
        <v>5.7430080426679369E-3</v>
      </c>
    </row>
    <row r="388" spans="1:13" ht="15">
      <c r="A388" t="s">
        <v>524</v>
      </c>
      <c r="B388" s="1" t="s">
        <v>20</v>
      </c>
      <c r="C388" t="e">
        <v>#N/A</v>
      </c>
      <c r="D388">
        <f t="shared" si="36"/>
        <v>1.9193857965451055E-3</v>
      </c>
      <c r="F388" t="e">
        <v>#N/A</v>
      </c>
      <c r="G388">
        <v>0</v>
      </c>
      <c r="H388">
        <f t="shared" si="37"/>
        <v>0.1</v>
      </c>
      <c r="J388">
        <f t="shared" si="38"/>
        <v>1.9193857965451057E-4</v>
      </c>
      <c r="K388">
        <f t="shared" si="39"/>
        <v>0.36391554702494633</v>
      </c>
      <c r="L388" s="11">
        <f t="shared" si="40"/>
        <v>5.2742616033756105E-4</v>
      </c>
      <c r="M388">
        <f t="shared" si="41"/>
        <v>5.7430080426679369E-3</v>
      </c>
    </row>
    <row r="389" spans="1:13" ht="15">
      <c r="A389" t="s">
        <v>535</v>
      </c>
      <c r="B389" s="1" t="s">
        <v>377</v>
      </c>
      <c r="C389" t="e">
        <v>#N/A</v>
      </c>
      <c r="D389">
        <f t="shared" si="36"/>
        <v>1.9193857965451055E-3</v>
      </c>
      <c r="F389" t="e">
        <v>#N/A</v>
      </c>
      <c r="G389">
        <v>0</v>
      </c>
      <c r="H389">
        <f t="shared" si="37"/>
        <v>0.1</v>
      </c>
      <c r="J389">
        <f t="shared" si="38"/>
        <v>1.9193857965451057E-4</v>
      </c>
      <c r="K389">
        <f t="shared" si="39"/>
        <v>0.36391554702494633</v>
      </c>
      <c r="L389" s="11">
        <f t="shared" si="40"/>
        <v>5.2742616033756105E-4</v>
      </c>
      <c r="M389">
        <f t="shared" si="41"/>
        <v>5.7430080426679369E-3</v>
      </c>
    </row>
    <row r="390" spans="1:13" ht="15">
      <c r="A390" t="s">
        <v>535</v>
      </c>
      <c r="B390" s="1" t="s">
        <v>378</v>
      </c>
      <c r="C390" t="e">
        <v>#N/A</v>
      </c>
      <c r="D390">
        <f t="shared" si="36"/>
        <v>1.9193857965451055E-3</v>
      </c>
      <c r="F390" t="e">
        <v>#N/A</v>
      </c>
      <c r="G390">
        <v>0</v>
      </c>
      <c r="H390">
        <f t="shared" si="37"/>
        <v>0.1</v>
      </c>
      <c r="J390">
        <f t="shared" si="38"/>
        <v>1.9193857965451057E-4</v>
      </c>
      <c r="K390">
        <f t="shared" si="39"/>
        <v>0.36391554702494633</v>
      </c>
      <c r="L390" s="11">
        <f t="shared" si="40"/>
        <v>5.2742616033756105E-4</v>
      </c>
      <c r="M390">
        <f t="shared" si="41"/>
        <v>5.7430080426679369E-3</v>
      </c>
    </row>
    <row r="391" spans="1:13" ht="15">
      <c r="A391" t="s">
        <v>534</v>
      </c>
      <c r="B391" s="1" t="s">
        <v>90</v>
      </c>
      <c r="C391" t="e">
        <v>#N/A</v>
      </c>
      <c r="D391">
        <f t="shared" si="36"/>
        <v>1.9193857965451055E-3</v>
      </c>
      <c r="F391" t="e">
        <v>#N/A</v>
      </c>
      <c r="G391">
        <v>0</v>
      </c>
      <c r="H391">
        <f t="shared" si="37"/>
        <v>0.1</v>
      </c>
      <c r="J391">
        <f t="shared" si="38"/>
        <v>1.9193857965451057E-4</v>
      </c>
      <c r="K391">
        <f t="shared" si="39"/>
        <v>0.36391554702494633</v>
      </c>
      <c r="L391" s="11">
        <f t="shared" si="40"/>
        <v>5.2742616033756105E-4</v>
      </c>
      <c r="M391">
        <f t="shared" si="41"/>
        <v>5.7430080426679369E-3</v>
      </c>
    </row>
    <row r="392" spans="1:13" ht="15">
      <c r="A392" t="s">
        <v>540</v>
      </c>
      <c r="B392" s="1" t="s">
        <v>259</v>
      </c>
      <c r="C392" t="e">
        <v>#N/A</v>
      </c>
      <c r="D392">
        <f t="shared" si="36"/>
        <v>1.9193857965451055E-3</v>
      </c>
      <c r="F392" t="e">
        <v>#N/A</v>
      </c>
      <c r="G392">
        <v>0</v>
      </c>
      <c r="H392">
        <f t="shared" si="37"/>
        <v>0.1</v>
      </c>
      <c r="J392">
        <f t="shared" si="38"/>
        <v>1.9193857965451057E-4</v>
      </c>
      <c r="K392">
        <f t="shared" si="39"/>
        <v>0.36391554702494633</v>
      </c>
      <c r="L392" s="11">
        <f t="shared" si="40"/>
        <v>5.2742616033756105E-4</v>
      </c>
      <c r="M392">
        <f t="shared" si="41"/>
        <v>5.7430080426679369E-3</v>
      </c>
    </row>
    <row r="393" spans="1:13" ht="15">
      <c r="A393" t="s">
        <v>540</v>
      </c>
      <c r="B393" s="1" t="s">
        <v>260</v>
      </c>
      <c r="C393" t="e">
        <v>#N/A</v>
      </c>
      <c r="D393">
        <f t="shared" si="36"/>
        <v>1.9193857965451055E-3</v>
      </c>
      <c r="F393" t="e">
        <v>#N/A</v>
      </c>
      <c r="G393">
        <v>0</v>
      </c>
      <c r="H393">
        <f t="shared" si="37"/>
        <v>0.1</v>
      </c>
      <c r="J393">
        <f t="shared" si="38"/>
        <v>1.9193857965451057E-4</v>
      </c>
      <c r="K393">
        <f t="shared" si="39"/>
        <v>0.36391554702494633</v>
      </c>
      <c r="L393" s="11">
        <f t="shared" si="40"/>
        <v>5.2742616033756105E-4</v>
      </c>
      <c r="M393">
        <f t="shared" si="41"/>
        <v>5.7430080426679369E-3</v>
      </c>
    </row>
    <row r="394" spans="1:13" ht="15">
      <c r="A394" t="s">
        <v>537</v>
      </c>
      <c r="B394" s="1" t="s">
        <v>206</v>
      </c>
      <c r="C394" t="e">
        <v>#N/A</v>
      </c>
      <c r="D394">
        <f t="shared" si="36"/>
        <v>1.9193857965451055E-3</v>
      </c>
      <c r="F394" t="e">
        <v>#N/A</v>
      </c>
      <c r="G394">
        <v>0</v>
      </c>
      <c r="H394">
        <f t="shared" si="37"/>
        <v>0.1</v>
      </c>
      <c r="J394">
        <f t="shared" si="38"/>
        <v>1.9193857965451057E-4</v>
      </c>
      <c r="K394">
        <f t="shared" si="39"/>
        <v>0.36391554702494633</v>
      </c>
      <c r="L394" s="11">
        <f t="shared" si="40"/>
        <v>5.2742616033756105E-4</v>
      </c>
      <c r="M394">
        <f t="shared" si="41"/>
        <v>5.7430080426679369E-3</v>
      </c>
    </row>
    <row r="395" spans="1:13" ht="15">
      <c r="A395" t="s">
        <v>536</v>
      </c>
      <c r="B395" s="1" t="s">
        <v>439</v>
      </c>
      <c r="C395" t="e">
        <v>#N/A</v>
      </c>
      <c r="D395">
        <f t="shared" si="36"/>
        <v>1.9193857965451055E-3</v>
      </c>
      <c r="F395" t="e">
        <v>#N/A</v>
      </c>
      <c r="G395">
        <v>0</v>
      </c>
      <c r="H395">
        <f t="shared" si="37"/>
        <v>0.1</v>
      </c>
      <c r="J395">
        <f t="shared" si="38"/>
        <v>1.9193857965451057E-4</v>
      </c>
      <c r="K395">
        <f t="shared" si="39"/>
        <v>0.36391554702494633</v>
      </c>
      <c r="L395" s="11">
        <f t="shared" si="40"/>
        <v>5.2742616033756105E-4</v>
      </c>
      <c r="M395">
        <f t="shared" si="41"/>
        <v>5.7430080426679369E-3</v>
      </c>
    </row>
    <row r="396" spans="1:13" ht="15">
      <c r="A396" t="s">
        <v>535</v>
      </c>
      <c r="B396" s="1" t="s">
        <v>380</v>
      </c>
      <c r="C396" t="e">
        <v>#N/A</v>
      </c>
      <c r="D396">
        <f t="shared" si="36"/>
        <v>1.9193857965451055E-3</v>
      </c>
      <c r="F396" t="e">
        <v>#N/A</v>
      </c>
      <c r="G396">
        <v>0</v>
      </c>
      <c r="H396">
        <f t="shared" si="37"/>
        <v>0.1</v>
      </c>
      <c r="J396">
        <f t="shared" si="38"/>
        <v>1.9193857965451057E-4</v>
      </c>
      <c r="K396">
        <f t="shared" si="39"/>
        <v>0.36391554702494633</v>
      </c>
      <c r="L396" s="11">
        <f t="shared" si="40"/>
        <v>5.2742616033756105E-4</v>
      </c>
      <c r="M396">
        <f t="shared" si="41"/>
        <v>5.7430080426679369E-3</v>
      </c>
    </row>
    <row r="397" spans="1:13" ht="15">
      <c r="A397" t="s">
        <v>540</v>
      </c>
      <c r="B397" s="1" t="s">
        <v>261</v>
      </c>
      <c r="C397" t="e">
        <v>#N/A</v>
      </c>
      <c r="D397">
        <f t="shared" si="36"/>
        <v>1.9193857965451055E-3</v>
      </c>
      <c r="F397" t="e">
        <v>#N/A</v>
      </c>
      <c r="G397">
        <v>0</v>
      </c>
      <c r="H397">
        <f t="shared" si="37"/>
        <v>0.1</v>
      </c>
      <c r="J397">
        <f t="shared" si="38"/>
        <v>1.9193857965451057E-4</v>
      </c>
      <c r="K397">
        <f t="shared" si="39"/>
        <v>0.36391554702494633</v>
      </c>
      <c r="L397" s="11">
        <f t="shared" si="40"/>
        <v>5.2742616033756105E-4</v>
      </c>
      <c r="M397">
        <f t="shared" si="41"/>
        <v>5.7430080426679369E-3</v>
      </c>
    </row>
    <row r="398" spans="1:13" ht="15">
      <c r="A398" t="s">
        <v>542</v>
      </c>
      <c r="B398" s="1" t="s">
        <v>512</v>
      </c>
      <c r="C398" t="e">
        <v>#N/A</v>
      </c>
      <c r="D398">
        <f t="shared" si="36"/>
        <v>1.9193857965451055E-3</v>
      </c>
      <c r="F398" t="e">
        <v>#N/A</v>
      </c>
      <c r="G398">
        <v>0</v>
      </c>
      <c r="H398">
        <f t="shared" si="37"/>
        <v>0.1</v>
      </c>
      <c r="J398">
        <f t="shared" si="38"/>
        <v>1.9193857965451057E-4</v>
      </c>
      <c r="K398">
        <f t="shared" si="39"/>
        <v>0.36391554702494633</v>
      </c>
      <c r="L398" s="11">
        <f t="shared" si="40"/>
        <v>5.2742616033756105E-4</v>
      </c>
      <c r="M398">
        <f t="shared" si="41"/>
        <v>5.7430080426679369E-3</v>
      </c>
    </row>
    <row r="399" spans="1:13" ht="15">
      <c r="A399" t="s">
        <v>535</v>
      </c>
      <c r="B399" s="1" t="s">
        <v>381</v>
      </c>
      <c r="C399" t="e">
        <v>#N/A</v>
      </c>
      <c r="D399">
        <f t="shared" si="36"/>
        <v>1.9193857965451055E-3</v>
      </c>
      <c r="F399" t="e">
        <v>#N/A</v>
      </c>
      <c r="G399">
        <v>0</v>
      </c>
      <c r="H399">
        <f t="shared" si="37"/>
        <v>0.1</v>
      </c>
      <c r="J399">
        <f t="shared" si="38"/>
        <v>1.9193857965451057E-4</v>
      </c>
      <c r="K399">
        <f t="shared" si="39"/>
        <v>0.36391554702494633</v>
      </c>
      <c r="L399" s="11">
        <f t="shared" si="40"/>
        <v>5.2742616033756105E-4</v>
      </c>
      <c r="M399">
        <f t="shared" si="41"/>
        <v>5.7430080426679369E-3</v>
      </c>
    </row>
    <row r="400" spans="1:13" ht="15">
      <c r="A400" t="s">
        <v>534</v>
      </c>
      <c r="B400" s="1" t="s">
        <v>93</v>
      </c>
      <c r="C400" t="e">
        <v>#N/A</v>
      </c>
      <c r="D400">
        <f t="shared" si="36"/>
        <v>1.9193857965451055E-3</v>
      </c>
      <c r="F400" t="e">
        <v>#N/A</v>
      </c>
      <c r="G400">
        <v>0</v>
      </c>
      <c r="H400">
        <f t="shared" si="37"/>
        <v>0.1</v>
      </c>
      <c r="J400">
        <f t="shared" si="38"/>
        <v>1.9193857965451057E-4</v>
      </c>
      <c r="K400">
        <f t="shared" si="39"/>
        <v>0.36391554702494633</v>
      </c>
      <c r="L400" s="11">
        <f t="shared" si="40"/>
        <v>5.2742616033756105E-4</v>
      </c>
      <c r="M400">
        <f t="shared" si="41"/>
        <v>5.7430080426679369E-3</v>
      </c>
    </row>
    <row r="401" spans="1:13" ht="15">
      <c r="A401" t="s">
        <v>534</v>
      </c>
      <c r="B401" s="1" t="s">
        <v>94</v>
      </c>
      <c r="C401" t="e">
        <v>#N/A</v>
      </c>
      <c r="D401">
        <f t="shared" si="36"/>
        <v>1.9193857965451055E-3</v>
      </c>
      <c r="F401" t="e">
        <v>#N/A</v>
      </c>
      <c r="G401">
        <v>0</v>
      </c>
      <c r="H401">
        <f t="shared" si="37"/>
        <v>0.1</v>
      </c>
      <c r="J401">
        <f t="shared" si="38"/>
        <v>1.9193857965451057E-4</v>
      </c>
      <c r="K401">
        <f t="shared" si="39"/>
        <v>0.36391554702494633</v>
      </c>
      <c r="L401" s="11">
        <f t="shared" si="40"/>
        <v>5.2742616033756105E-4</v>
      </c>
      <c r="M401">
        <f t="shared" si="41"/>
        <v>5.7430080426679369E-3</v>
      </c>
    </row>
    <row r="402" spans="1:13" ht="15">
      <c r="A402" t="s">
        <v>534</v>
      </c>
      <c r="B402" s="1" t="s">
        <v>95</v>
      </c>
      <c r="C402" t="e">
        <v>#N/A</v>
      </c>
      <c r="D402">
        <f t="shared" si="36"/>
        <v>1.9193857965451055E-3</v>
      </c>
      <c r="F402" t="e">
        <v>#N/A</v>
      </c>
      <c r="G402">
        <v>0</v>
      </c>
      <c r="H402">
        <f t="shared" si="37"/>
        <v>0.1</v>
      </c>
      <c r="J402">
        <f t="shared" si="38"/>
        <v>1.9193857965451057E-4</v>
      </c>
      <c r="K402">
        <f t="shared" si="39"/>
        <v>0.36391554702494633</v>
      </c>
      <c r="L402" s="11">
        <f t="shared" si="40"/>
        <v>5.2742616033756105E-4</v>
      </c>
      <c r="M402">
        <f t="shared" si="41"/>
        <v>5.7430080426679369E-3</v>
      </c>
    </row>
    <row r="403" spans="1:13" ht="15">
      <c r="A403" t="s">
        <v>540</v>
      </c>
      <c r="B403" s="1" t="s">
        <v>262</v>
      </c>
      <c r="C403" t="e">
        <v>#N/A</v>
      </c>
      <c r="D403">
        <f t="shared" si="36"/>
        <v>1.9193857965451055E-3</v>
      </c>
      <c r="F403" t="e">
        <v>#N/A</v>
      </c>
      <c r="G403">
        <v>0</v>
      </c>
      <c r="H403">
        <f t="shared" si="37"/>
        <v>0.1</v>
      </c>
      <c r="J403">
        <f t="shared" si="38"/>
        <v>1.9193857965451057E-4</v>
      </c>
      <c r="K403">
        <f t="shared" si="39"/>
        <v>0.36391554702494633</v>
      </c>
      <c r="L403" s="11">
        <f t="shared" si="40"/>
        <v>5.2742616033756105E-4</v>
      </c>
      <c r="M403">
        <f t="shared" si="41"/>
        <v>5.7430080426679369E-3</v>
      </c>
    </row>
    <row r="404" spans="1:13" ht="15">
      <c r="A404" t="s">
        <v>540</v>
      </c>
      <c r="B404" s="1" t="s">
        <v>263</v>
      </c>
      <c r="C404" t="e">
        <v>#N/A</v>
      </c>
      <c r="D404">
        <f t="shared" si="36"/>
        <v>1.9193857965451055E-3</v>
      </c>
      <c r="F404" t="e">
        <v>#N/A</v>
      </c>
      <c r="G404">
        <v>0</v>
      </c>
      <c r="H404">
        <f t="shared" si="37"/>
        <v>0.1</v>
      </c>
      <c r="J404">
        <f t="shared" si="38"/>
        <v>1.9193857965451057E-4</v>
      </c>
      <c r="K404">
        <f t="shared" si="39"/>
        <v>0.36391554702494633</v>
      </c>
      <c r="L404" s="11">
        <f t="shared" si="40"/>
        <v>5.2742616033756105E-4</v>
      </c>
      <c r="M404">
        <f t="shared" si="41"/>
        <v>5.7430080426679369E-3</v>
      </c>
    </row>
    <row r="405" spans="1:13" ht="15">
      <c r="A405" t="s">
        <v>541</v>
      </c>
      <c r="B405" s="1" t="s">
        <v>213</v>
      </c>
      <c r="C405" t="e">
        <v>#N/A</v>
      </c>
      <c r="D405">
        <f t="shared" si="36"/>
        <v>1.9193857965451055E-3</v>
      </c>
      <c r="F405" t="e">
        <v>#N/A</v>
      </c>
      <c r="G405">
        <v>0</v>
      </c>
      <c r="H405">
        <f t="shared" si="37"/>
        <v>0.1</v>
      </c>
      <c r="J405">
        <f t="shared" si="38"/>
        <v>1.9193857965451057E-4</v>
      </c>
      <c r="K405">
        <f t="shared" si="39"/>
        <v>0.36391554702494633</v>
      </c>
      <c r="L405" s="11">
        <f t="shared" si="40"/>
        <v>5.2742616033756105E-4</v>
      </c>
      <c r="M405">
        <f t="shared" si="41"/>
        <v>5.7430080426679369E-3</v>
      </c>
    </row>
    <row r="406" spans="1:13" ht="15">
      <c r="A406" t="s">
        <v>541</v>
      </c>
      <c r="B406" s="1" t="s">
        <v>214</v>
      </c>
      <c r="C406" t="e">
        <v>#N/A</v>
      </c>
      <c r="D406">
        <f t="shared" si="36"/>
        <v>1.9193857965451055E-3</v>
      </c>
      <c r="F406" t="e">
        <v>#N/A</v>
      </c>
      <c r="G406">
        <v>0</v>
      </c>
      <c r="H406">
        <f t="shared" si="37"/>
        <v>0.1</v>
      </c>
      <c r="J406">
        <f t="shared" si="38"/>
        <v>1.9193857965451057E-4</v>
      </c>
      <c r="K406">
        <f t="shared" si="39"/>
        <v>0.36391554702494633</v>
      </c>
      <c r="L406" s="11">
        <f t="shared" si="40"/>
        <v>5.2742616033756105E-4</v>
      </c>
      <c r="M406">
        <f t="shared" si="41"/>
        <v>5.7430080426679369E-3</v>
      </c>
    </row>
    <row r="407" spans="1:13" ht="15">
      <c r="A407" t="s">
        <v>541</v>
      </c>
      <c r="B407" s="1" t="s">
        <v>218</v>
      </c>
      <c r="C407" t="e">
        <v>#N/A</v>
      </c>
      <c r="D407">
        <f t="shared" si="36"/>
        <v>1.9193857965451055E-3</v>
      </c>
      <c r="F407" t="e">
        <v>#N/A</v>
      </c>
      <c r="G407">
        <v>0</v>
      </c>
      <c r="H407">
        <f t="shared" si="37"/>
        <v>0.1</v>
      </c>
      <c r="J407">
        <f t="shared" si="38"/>
        <v>1.9193857965451057E-4</v>
      </c>
      <c r="K407">
        <f t="shared" si="39"/>
        <v>0.36391554702494633</v>
      </c>
      <c r="L407" s="11">
        <f t="shared" si="40"/>
        <v>5.2742616033756105E-4</v>
      </c>
      <c r="M407">
        <f t="shared" si="41"/>
        <v>5.7430080426679369E-3</v>
      </c>
    </row>
    <row r="408" spans="1:13" ht="15">
      <c r="A408" t="s">
        <v>541</v>
      </c>
      <c r="B408" s="1" t="s">
        <v>219</v>
      </c>
      <c r="C408" t="e">
        <v>#N/A</v>
      </c>
      <c r="D408">
        <f t="shared" si="36"/>
        <v>1.9193857965451055E-3</v>
      </c>
      <c r="F408" t="e">
        <v>#N/A</v>
      </c>
      <c r="G408">
        <v>0</v>
      </c>
      <c r="H408">
        <f t="shared" si="37"/>
        <v>0.1</v>
      </c>
      <c r="J408">
        <f t="shared" si="38"/>
        <v>1.9193857965451057E-4</v>
      </c>
      <c r="K408">
        <f t="shared" si="39"/>
        <v>0.36391554702494633</v>
      </c>
      <c r="L408" s="11">
        <f t="shared" si="40"/>
        <v>5.2742616033756105E-4</v>
      </c>
      <c r="M408">
        <f t="shared" si="41"/>
        <v>5.7430080426679369E-3</v>
      </c>
    </row>
    <row r="409" spans="1:13" ht="15">
      <c r="A409" t="s">
        <v>541</v>
      </c>
      <c r="B409" s="1" t="s">
        <v>221</v>
      </c>
      <c r="C409" t="e">
        <v>#N/A</v>
      </c>
      <c r="D409">
        <f t="shared" si="36"/>
        <v>1.9193857965451055E-3</v>
      </c>
      <c r="F409" t="e">
        <v>#N/A</v>
      </c>
      <c r="G409">
        <v>0</v>
      </c>
      <c r="H409">
        <f t="shared" si="37"/>
        <v>0.1</v>
      </c>
      <c r="J409">
        <f t="shared" si="38"/>
        <v>1.9193857965451057E-4</v>
      </c>
      <c r="K409">
        <f t="shared" si="39"/>
        <v>0.36391554702494633</v>
      </c>
      <c r="L409" s="11">
        <f t="shared" si="40"/>
        <v>5.2742616033756105E-4</v>
      </c>
      <c r="M409">
        <f t="shared" si="41"/>
        <v>5.7430080426679369E-3</v>
      </c>
    </row>
    <row r="410" spans="1:13" ht="15">
      <c r="A410" t="s">
        <v>534</v>
      </c>
      <c r="B410" s="1" t="s">
        <v>96</v>
      </c>
      <c r="C410" t="e">
        <v>#N/A</v>
      </c>
      <c r="D410">
        <f t="shared" si="36"/>
        <v>1.9193857965451055E-3</v>
      </c>
      <c r="F410" t="e">
        <v>#N/A</v>
      </c>
      <c r="G410">
        <v>0</v>
      </c>
      <c r="H410">
        <f t="shared" si="37"/>
        <v>0.1</v>
      </c>
      <c r="J410">
        <f t="shared" si="38"/>
        <v>1.9193857965451057E-4</v>
      </c>
      <c r="K410">
        <f t="shared" si="39"/>
        <v>0.36391554702494633</v>
      </c>
      <c r="L410" s="11">
        <f t="shared" si="40"/>
        <v>5.2742616033756105E-4</v>
      </c>
      <c r="M410">
        <f t="shared" si="41"/>
        <v>5.7430080426679369E-3</v>
      </c>
    </row>
    <row r="411" spans="1:13" ht="15">
      <c r="A411" t="s">
        <v>543</v>
      </c>
      <c r="B411" s="1" t="s">
        <v>228</v>
      </c>
      <c r="C411" t="e">
        <v>#N/A</v>
      </c>
      <c r="D411">
        <f t="shared" si="36"/>
        <v>1.9193857965451055E-3</v>
      </c>
      <c r="F411" t="e">
        <v>#N/A</v>
      </c>
      <c r="G411">
        <v>0</v>
      </c>
      <c r="H411">
        <f t="shared" si="37"/>
        <v>0.1</v>
      </c>
      <c r="J411">
        <f t="shared" si="38"/>
        <v>1.9193857965451057E-4</v>
      </c>
      <c r="K411">
        <f t="shared" si="39"/>
        <v>0.36391554702494633</v>
      </c>
      <c r="L411" s="11">
        <f t="shared" si="40"/>
        <v>5.2742616033756105E-4</v>
      </c>
      <c r="M411">
        <f t="shared" si="41"/>
        <v>5.7430080426679369E-3</v>
      </c>
    </row>
    <row r="412" spans="1:13" ht="15">
      <c r="A412" t="s">
        <v>543</v>
      </c>
      <c r="B412" s="1" t="s">
        <v>229</v>
      </c>
      <c r="C412" t="e">
        <v>#N/A</v>
      </c>
      <c r="D412">
        <f t="shared" si="36"/>
        <v>1.9193857965451055E-3</v>
      </c>
      <c r="F412" t="e">
        <v>#N/A</v>
      </c>
      <c r="G412">
        <v>0</v>
      </c>
      <c r="H412">
        <f t="shared" si="37"/>
        <v>0.1</v>
      </c>
      <c r="J412">
        <f t="shared" si="38"/>
        <v>1.9193857965451057E-4</v>
      </c>
      <c r="K412">
        <f t="shared" si="39"/>
        <v>0.36391554702494633</v>
      </c>
      <c r="L412" s="11">
        <f t="shared" si="40"/>
        <v>5.2742616033756105E-4</v>
      </c>
      <c r="M412">
        <f t="shared" si="41"/>
        <v>5.7430080426679369E-3</v>
      </c>
    </row>
    <row r="413" spans="1:13" ht="15">
      <c r="A413" t="s">
        <v>540</v>
      </c>
      <c r="B413" s="1" t="s">
        <v>264</v>
      </c>
      <c r="C413" t="e">
        <v>#N/A</v>
      </c>
      <c r="D413">
        <f t="shared" si="36"/>
        <v>1.9193857965451055E-3</v>
      </c>
      <c r="F413" t="e">
        <v>#N/A</v>
      </c>
      <c r="G413">
        <v>0</v>
      </c>
      <c r="H413">
        <f t="shared" si="37"/>
        <v>0.1</v>
      </c>
      <c r="J413">
        <f t="shared" si="38"/>
        <v>1.9193857965451057E-4</v>
      </c>
      <c r="K413">
        <f t="shared" si="39"/>
        <v>0.36391554702494633</v>
      </c>
      <c r="L413" s="11">
        <f t="shared" si="40"/>
        <v>5.2742616033756105E-4</v>
      </c>
      <c r="M413">
        <f t="shared" si="41"/>
        <v>5.7430080426679369E-3</v>
      </c>
    </row>
    <row r="414" spans="1:13" ht="15">
      <c r="A414" t="s">
        <v>535</v>
      </c>
      <c r="B414" s="1" t="s">
        <v>382</v>
      </c>
      <c r="C414" t="e">
        <v>#N/A</v>
      </c>
      <c r="D414">
        <f t="shared" si="36"/>
        <v>1.9193857965451055E-3</v>
      </c>
      <c r="F414" t="e">
        <v>#N/A</v>
      </c>
      <c r="G414">
        <v>0</v>
      </c>
      <c r="H414">
        <f t="shared" si="37"/>
        <v>0.1</v>
      </c>
      <c r="J414">
        <f t="shared" si="38"/>
        <v>1.9193857965451057E-4</v>
      </c>
      <c r="K414">
        <f t="shared" si="39"/>
        <v>0.36391554702494633</v>
      </c>
      <c r="L414" s="11">
        <f t="shared" si="40"/>
        <v>5.2742616033756105E-4</v>
      </c>
      <c r="M414">
        <f t="shared" si="41"/>
        <v>5.7430080426679369E-3</v>
      </c>
    </row>
    <row r="415" spans="1:13" ht="15">
      <c r="A415" t="s">
        <v>535</v>
      </c>
      <c r="B415" s="1" t="s">
        <v>383</v>
      </c>
      <c r="C415" t="e">
        <v>#N/A</v>
      </c>
      <c r="D415">
        <f t="shared" si="36"/>
        <v>1.9193857965451055E-3</v>
      </c>
      <c r="F415" t="e">
        <v>#N/A</v>
      </c>
      <c r="G415">
        <v>0</v>
      </c>
      <c r="H415">
        <f t="shared" si="37"/>
        <v>0.1</v>
      </c>
      <c r="J415">
        <f t="shared" si="38"/>
        <v>1.9193857965451057E-4</v>
      </c>
      <c r="K415">
        <f t="shared" si="39"/>
        <v>0.36391554702494633</v>
      </c>
      <c r="L415" s="11">
        <f t="shared" si="40"/>
        <v>5.2742616033756105E-4</v>
      </c>
      <c r="M415">
        <f t="shared" si="41"/>
        <v>5.7430080426679369E-3</v>
      </c>
    </row>
    <row r="416" spans="1:13" ht="15">
      <c r="A416" t="s">
        <v>535</v>
      </c>
      <c r="B416" s="1" t="s">
        <v>384</v>
      </c>
      <c r="C416" t="e">
        <v>#N/A</v>
      </c>
      <c r="D416">
        <f t="shared" si="36"/>
        <v>1.9193857965451055E-3</v>
      </c>
      <c r="F416" t="e">
        <v>#N/A</v>
      </c>
      <c r="G416">
        <v>0</v>
      </c>
      <c r="H416">
        <f t="shared" si="37"/>
        <v>0.1</v>
      </c>
      <c r="J416">
        <f t="shared" si="38"/>
        <v>1.9193857965451057E-4</v>
      </c>
      <c r="K416">
        <f t="shared" si="39"/>
        <v>0.36391554702494633</v>
      </c>
      <c r="L416" s="11">
        <f t="shared" si="40"/>
        <v>5.2742616033756105E-4</v>
      </c>
      <c r="M416">
        <f t="shared" si="41"/>
        <v>5.7430080426679369E-3</v>
      </c>
    </row>
    <row r="417" spans="1:13" ht="15">
      <c r="A417" t="s">
        <v>534</v>
      </c>
      <c r="B417" s="1" t="s">
        <v>99</v>
      </c>
      <c r="C417" t="e">
        <v>#N/A</v>
      </c>
      <c r="D417">
        <f t="shared" si="36"/>
        <v>1.9193857965451055E-3</v>
      </c>
      <c r="F417" t="e">
        <v>#N/A</v>
      </c>
      <c r="G417">
        <v>0</v>
      </c>
      <c r="H417">
        <f t="shared" si="37"/>
        <v>0.1</v>
      </c>
      <c r="J417">
        <f t="shared" si="38"/>
        <v>1.9193857965451057E-4</v>
      </c>
      <c r="K417">
        <f t="shared" si="39"/>
        <v>0.36391554702494633</v>
      </c>
      <c r="L417" s="11">
        <f t="shared" si="40"/>
        <v>5.2742616033756105E-4</v>
      </c>
      <c r="M417">
        <f t="shared" si="41"/>
        <v>5.7430080426679369E-3</v>
      </c>
    </row>
    <row r="418" spans="1:13" ht="15">
      <c r="A418" t="s">
        <v>540</v>
      </c>
      <c r="B418" s="1" t="s">
        <v>268</v>
      </c>
      <c r="C418" t="e">
        <v>#N/A</v>
      </c>
      <c r="D418">
        <f t="shared" si="36"/>
        <v>1.9193857965451055E-3</v>
      </c>
      <c r="F418" t="e">
        <v>#N/A</v>
      </c>
      <c r="G418">
        <v>0</v>
      </c>
      <c r="H418">
        <f t="shared" si="37"/>
        <v>0.1</v>
      </c>
      <c r="J418">
        <f t="shared" si="38"/>
        <v>1.9193857965451057E-4</v>
      </c>
      <c r="K418">
        <f t="shared" si="39"/>
        <v>0.36391554702494633</v>
      </c>
      <c r="L418" s="11">
        <f t="shared" si="40"/>
        <v>5.2742616033756105E-4</v>
      </c>
      <c r="M418">
        <f t="shared" si="41"/>
        <v>5.7430080426679369E-3</v>
      </c>
    </row>
    <row r="419" spans="1:13" ht="15">
      <c r="A419" t="s">
        <v>540</v>
      </c>
      <c r="B419" s="1" t="s">
        <v>271</v>
      </c>
      <c r="C419" t="e">
        <v>#N/A</v>
      </c>
      <c r="D419">
        <f t="shared" si="36"/>
        <v>1.9193857965451055E-3</v>
      </c>
      <c r="F419" t="e">
        <v>#N/A</v>
      </c>
      <c r="G419">
        <v>0</v>
      </c>
      <c r="H419">
        <f t="shared" si="37"/>
        <v>0.1</v>
      </c>
      <c r="J419">
        <f t="shared" si="38"/>
        <v>1.9193857965451057E-4</v>
      </c>
      <c r="K419">
        <f t="shared" si="39"/>
        <v>0.36391554702494633</v>
      </c>
      <c r="L419" s="11">
        <f t="shared" si="40"/>
        <v>5.2742616033756105E-4</v>
      </c>
      <c r="M419">
        <f t="shared" si="41"/>
        <v>5.7430080426679369E-3</v>
      </c>
    </row>
    <row r="420" spans="1:13" ht="15">
      <c r="A420" t="s">
        <v>535</v>
      </c>
      <c r="B420" s="1" t="s">
        <v>385</v>
      </c>
      <c r="C420" t="e">
        <v>#N/A</v>
      </c>
      <c r="D420">
        <f t="shared" si="36"/>
        <v>1.9193857965451055E-3</v>
      </c>
      <c r="F420" t="e">
        <v>#N/A</v>
      </c>
      <c r="G420">
        <v>0</v>
      </c>
      <c r="H420">
        <f t="shared" si="37"/>
        <v>0.1</v>
      </c>
      <c r="J420">
        <f t="shared" si="38"/>
        <v>1.9193857965451057E-4</v>
      </c>
      <c r="K420">
        <f t="shared" si="39"/>
        <v>0.36391554702494633</v>
      </c>
      <c r="L420" s="11">
        <f t="shared" si="40"/>
        <v>5.2742616033756105E-4</v>
      </c>
      <c r="M420">
        <f t="shared" si="41"/>
        <v>5.7430080426679369E-3</v>
      </c>
    </row>
    <row r="421" spans="1:13" ht="15">
      <c r="A421" t="s">
        <v>535</v>
      </c>
      <c r="B421" s="1" t="s">
        <v>386</v>
      </c>
      <c r="C421" t="e">
        <v>#N/A</v>
      </c>
      <c r="D421">
        <f t="shared" si="36"/>
        <v>1.9193857965451055E-3</v>
      </c>
      <c r="F421" t="e">
        <v>#N/A</v>
      </c>
      <c r="G421">
        <v>0</v>
      </c>
      <c r="H421">
        <f t="shared" si="37"/>
        <v>0.1</v>
      </c>
      <c r="J421">
        <f t="shared" si="38"/>
        <v>1.9193857965451057E-4</v>
      </c>
      <c r="K421">
        <f t="shared" si="39"/>
        <v>0.36391554702494633</v>
      </c>
      <c r="L421" s="11">
        <f t="shared" si="40"/>
        <v>5.2742616033756105E-4</v>
      </c>
      <c r="M421">
        <f t="shared" si="41"/>
        <v>5.7430080426679369E-3</v>
      </c>
    </row>
    <row r="422" spans="1:13" ht="15">
      <c r="A422" t="s">
        <v>542</v>
      </c>
      <c r="B422" s="1" t="s">
        <v>509</v>
      </c>
      <c r="C422" t="e">
        <v>#N/A</v>
      </c>
      <c r="D422">
        <f t="shared" si="36"/>
        <v>1.9193857965451055E-3</v>
      </c>
      <c r="F422" t="e">
        <v>#N/A</v>
      </c>
      <c r="G422">
        <v>0</v>
      </c>
      <c r="H422">
        <f t="shared" si="37"/>
        <v>0.1</v>
      </c>
      <c r="J422">
        <f t="shared" si="38"/>
        <v>1.9193857965451057E-4</v>
      </c>
      <c r="K422">
        <f t="shared" si="39"/>
        <v>0.36391554702494633</v>
      </c>
      <c r="L422" s="11">
        <f t="shared" si="40"/>
        <v>5.2742616033756105E-4</v>
      </c>
      <c r="M422">
        <f t="shared" si="41"/>
        <v>5.7430080426679369E-3</v>
      </c>
    </row>
    <row r="423" spans="1:13" ht="15">
      <c r="A423" t="s">
        <v>524</v>
      </c>
      <c r="B423" s="1" t="s">
        <v>23</v>
      </c>
      <c r="C423" t="e">
        <v>#N/A</v>
      </c>
      <c r="D423">
        <f t="shared" si="36"/>
        <v>1.9193857965451055E-3</v>
      </c>
      <c r="F423" t="e">
        <v>#N/A</v>
      </c>
      <c r="G423">
        <v>0</v>
      </c>
      <c r="H423">
        <f t="shared" si="37"/>
        <v>0.1</v>
      </c>
      <c r="J423">
        <f t="shared" si="38"/>
        <v>1.9193857965451057E-4</v>
      </c>
      <c r="K423">
        <f t="shared" si="39"/>
        <v>0.36391554702494633</v>
      </c>
      <c r="L423" s="11">
        <f t="shared" si="40"/>
        <v>5.2742616033756105E-4</v>
      </c>
      <c r="M423">
        <f t="shared" si="41"/>
        <v>5.7430080426679369E-3</v>
      </c>
    </row>
    <row r="424" spans="1:13" ht="15">
      <c r="A424" t="s">
        <v>536</v>
      </c>
      <c r="B424" s="1" t="s">
        <v>444</v>
      </c>
      <c r="C424" t="e">
        <v>#N/A</v>
      </c>
      <c r="D424">
        <f t="shared" si="36"/>
        <v>1.9193857965451055E-3</v>
      </c>
      <c r="F424" t="e">
        <v>#N/A</v>
      </c>
      <c r="G424">
        <v>0</v>
      </c>
      <c r="H424">
        <f t="shared" si="37"/>
        <v>0.1</v>
      </c>
      <c r="J424">
        <f t="shared" si="38"/>
        <v>1.9193857965451057E-4</v>
      </c>
      <c r="K424">
        <f t="shared" si="39"/>
        <v>0.36391554702494633</v>
      </c>
      <c r="L424" s="11">
        <f t="shared" si="40"/>
        <v>5.2742616033756105E-4</v>
      </c>
      <c r="M424">
        <f t="shared" si="41"/>
        <v>5.7430080426679369E-3</v>
      </c>
    </row>
    <row r="425" spans="1:13" ht="15">
      <c r="A425" t="s">
        <v>534</v>
      </c>
      <c r="B425" s="1" t="s">
        <v>101</v>
      </c>
      <c r="C425" t="e">
        <v>#N/A</v>
      </c>
      <c r="D425">
        <f t="shared" si="36"/>
        <v>1.9193857965451055E-3</v>
      </c>
      <c r="F425" t="e">
        <v>#N/A</v>
      </c>
      <c r="G425">
        <v>0</v>
      </c>
      <c r="H425">
        <f t="shared" si="37"/>
        <v>0.1</v>
      </c>
      <c r="J425">
        <f t="shared" si="38"/>
        <v>1.9193857965451057E-4</v>
      </c>
      <c r="K425">
        <f t="shared" si="39"/>
        <v>0.36391554702494633</v>
      </c>
      <c r="L425" s="11">
        <f t="shared" si="40"/>
        <v>5.2742616033756105E-4</v>
      </c>
      <c r="M425">
        <f t="shared" si="41"/>
        <v>5.7430080426679369E-3</v>
      </c>
    </row>
    <row r="426" spans="1:13" ht="15">
      <c r="A426" t="s">
        <v>542</v>
      </c>
      <c r="B426" s="1" t="s">
        <v>514</v>
      </c>
      <c r="C426" t="e">
        <v>#N/A</v>
      </c>
      <c r="D426">
        <f t="shared" si="36"/>
        <v>1.9193857965451055E-3</v>
      </c>
      <c r="F426" t="e">
        <v>#N/A</v>
      </c>
      <c r="G426">
        <v>0</v>
      </c>
      <c r="H426">
        <f t="shared" si="37"/>
        <v>0.1</v>
      </c>
      <c r="J426">
        <f t="shared" si="38"/>
        <v>1.9193857965451057E-4</v>
      </c>
      <c r="K426">
        <f t="shared" si="39"/>
        <v>0.36391554702494633</v>
      </c>
      <c r="L426" s="11">
        <f t="shared" si="40"/>
        <v>5.2742616033756105E-4</v>
      </c>
      <c r="M426">
        <f t="shared" si="41"/>
        <v>5.7430080426679369E-3</v>
      </c>
    </row>
    <row r="427" spans="1:13" ht="15">
      <c r="A427" t="s">
        <v>534</v>
      </c>
      <c r="B427" s="1" t="s">
        <v>104</v>
      </c>
      <c r="C427" t="e">
        <v>#N/A</v>
      </c>
      <c r="D427">
        <f t="shared" si="36"/>
        <v>1.9193857965451055E-3</v>
      </c>
      <c r="F427" t="e">
        <v>#N/A</v>
      </c>
      <c r="G427">
        <v>0</v>
      </c>
      <c r="H427">
        <f t="shared" si="37"/>
        <v>0.1</v>
      </c>
      <c r="J427">
        <f t="shared" si="38"/>
        <v>1.9193857965451057E-4</v>
      </c>
      <c r="K427">
        <f t="shared" si="39"/>
        <v>0.36391554702494633</v>
      </c>
      <c r="L427" s="11">
        <f t="shared" si="40"/>
        <v>5.2742616033756105E-4</v>
      </c>
      <c r="M427">
        <f t="shared" si="41"/>
        <v>5.7430080426679369E-3</v>
      </c>
    </row>
    <row r="428" spans="1:13" ht="15">
      <c r="A428" t="s">
        <v>536</v>
      </c>
      <c r="B428" s="1" t="s">
        <v>446</v>
      </c>
      <c r="C428" t="e">
        <v>#N/A</v>
      </c>
      <c r="D428">
        <f t="shared" si="36"/>
        <v>1.9193857965451055E-3</v>
      </c>
      <c r="F428" t="e">
        <v>#N/A</v>
      </c>
      <c r="G428">
        <v>0</v>
      </c>
      <c r="H428">
        <f t="shared" si="37"/>
        <v>0.1</v>
      </c>
      <c r="J428">
        <f t="shared" si="38"/>
        <v>1.9193857965451057E-4</v>
      </c>
      <c r="K428">
        <f t="shared" si="39"/>
        <v>0.36391554702494633</v>
      </c>
      <c r="L428" s="11">
        <f t="shared" si="40"/>
        <v>5.2742616033756105E-4</v>
      </c>
      <c r="M428">
        <f t="shared" si="41"/>
        <v>5.7430080426679369E-3</v>
      </c>
    </row>
    <row r="429" spans="1:13" ht="15">
      <c r="A429" t="s">
        <v>536</v>
      </c>
      <c r="B429" s="1" t="s">
        <v>447</v>
      </c>
      <c r="C429" t="e">
        <v>#N/A</v>
      </c>
      <c r="D429">
        <f t="shared" si="36"/>
        <v>1.9193857965451055E-3</v>
      </c>
      <c r="F429" t="e">
        <v>#N/A</v>
      </c>
      <c r="G429">
        <v>0</v>
      </c>
      <c r="H429">
        <f t="shared" si="37"/>
        <v>0.1</v>
      </c>
      <c r="J429">
        <f t="shared" si="38"/>
        <v>1.9193857965451057E-4</v>
      </c>
      <c r="K429">
        <f t="shared" si="39"/>
        <v>0.36391554702494633</v>
      </c>
      <c r="L429" s="11">
        <f t="shared" si="40"/>
        <v>5.2742616033756105E-4</v>
      </c>
      <c r="M429">
        <f t="shared" si="41"/>
        <v>5.7430080426679369E-3</v>
      </c>
    </row>
    <row r="430" spans="1:13" ht="15">
      <c r="A430" t="s">
        <v>524</v>
      </c>
      <c r="B430" s="1" t="s">
        <v>26</v>
      </c>
      <c r="C430" t="e">
        <v>#N/A</v>
      </c>
      <c r="D430">
        <f t="shared" si="36"/>
        <v>1.9193857965451055E-3</v>
      </c>
      <c r="F430" t="e">
        <v>#N/A</v>
      </c>
      <c r="G430">
        <v>0</v>
      </c>
      <c r="H430">
        <f t="shared" si="37"/>
        <v>0.1</v>
      </c>
      <c r="J430">
        <f t="shared" si="38"/>
        <v>1.9193857965451057E-4</v>
      </c>
      <c r="K430">
        <f t="shared" si="39"/>
        <v>0.36391554702494633</v>
      </c>
      <c r="L430" s="11">
        <f t="shared" si="40"/>
        <v>5.2742616033756105E-4</v>
      </c>
      <c r="M430">
        <f t="shared" si="41"/>
        <v>5.7430080426679369E-3</v>
      </c>
    </row>
    <row r="431" spans="1:13" ht="15">
      <c r="A431" t="s">
        <v>536</v>
      </c>
      <c r="B431" s="1" t="s">
        <v>451</v>
      </c>
      <c r="C431" t="e">
        <v>#N/A</v>
      </c>
      <c r="D431">
        <f t="shared" si="36"/>
        <v>1.9193857965451055E-3</v>
      </c>
      <c r="F431" t="e">
        <v>#N/A</v>
      </c>
      <c r="G431">
        <v>0</v>
      </c>
      <c r="H431">
        <f t="shared" si="37"/>
        <v>0.1</v>
      </c>
      <c r="J431">
        <f t="shared" si="38"/>
        <v>1.9193857965451057E-4</v>
      </c>
      <c r="K431">
        <f t="shared" si="39"/>
        <v>0.36391554702494633</v>
      </c>
      <c r="L431" s="11">
        <f t="shared" si="40"/>
        <v>5.2742616033756105E-4</v>
      </c>
      <c r="M431">
        <f t="shared" si="41"/>
        <v>5.7430080426679369E-3</v>
      </c>
    </row>
    <row r="432" spans="1:13" ht="15">
      <c r="A432" t="s">
        <v>536</v>
      </c>
      <c r="B432" s="1" t="s">
        <v>453</v>
      </c>
      <c r="C432" t="e">
        <v>#N/A</v>
      </c>
      <c r="D432">
        <f t="shared" si="36"/>
        <v>1.9193857965451055E-3</v>
      </c>
      <c r="F432" t="e">
        <v>#N/A</v>
      </c>
      <c r="G432">
        <v>0</v>
      </c>
      <c r="H432">
        <f t="shared" si="37"/>
        <v>0.1</v>
      </c>
      <c r="J432">
        <f t="shared" si="38"/>
        <v>1.9193857965451057E-4</v>
      </c>
      <c r="K432">
        <f t="shared" si="39"/>
        <v>0.36391554702494633</v>
      </c>
      <c r="L432" s="11">
        <f t="shared" si="40"/>
        <v>5.2742616033756105E-4</v>
      </c>
      <c r="M432">
        <f t="shared" si="41"/>
        <v>5.7430080426679369E-3</v>
      </c>
    </row>
    <row r="433" spans="1:13" ht="15">
      <c r="A433" t="s">
        <v>534</v>
      </c>
      <c r="B433" s="1" t="s">
        <v>106</v>
      </c>
      <c r="C433" t="e">
        <v>#N/A</v>
      </c>
      <c r="D433">
        <f t="shared" si="36"/>
        <v>1.9193857965451055E-3</v>
      </c>
      <c r="F433" t="e">
        <v>#N/A</v>
      </c>
      <c r="G433">
        <v>0</v>
      </c>
      <c r="H433">
        <f t="shared" si="37"/>
        <v>0.1</v>
      </c>
      <c r="J433">
        <f t="shared" si="38"/>
        <v>1.9193857965451057E-4</v>
      </c>
      <c r="K433">
        <f t="shared" si="39"/>
        <v>0.36391554702494633</v>
      </c>
      <c r="L433" s="11">
        <f t="shared" si="40"/>
        <v>5.2742616033756105E-4</v>
      </c>
      <c r="M433">
        <f t="shared" si="41"/>
        <v>5.7430080426679369E-3</v>
      </c>
    </row>
    <row r="434" spans="1:13" ht="15">
      <c r="A434" t="s">
        <v>536</v>
      </c>
      <c r="B434" s="1" t="s">
        <v>454</v>
      </c>
      <c r="C434" t="e">
        <v>#N/A</v>
      </c>
      <c r="D434">
        <f t="shared" si="36"/>
        <v>1.9193857965451055E-3</v>
      </c>
      <c r="F434" t="e">
        <v>#N/A</v>
      </c>
      <c r="G434">
        <v>0</v>
      </c>
      <c r="H434">
        <f t="shared" si="37"/>
        <v>0.1</v>
      </c>
      <c r="J434">
        <f t="shared" si="38"/>
        <v>1.9193857965451057E-4</v>
      </c>
      <c r="K434">
        <f t="shared" si="39"/>
        <v>0.36391554702494633</v>
      </c>
      <c r="L434" s="11">
        <f t="shared" si="40"/>
        <v>5.2742616033756105E-4</v>
      </c>
      <c r="M434">
        <f t="shared" si="41"/>
        <v>5.7430080426679369E-3</v>
      </c>
    </row>
    <row r="435" spans="1:13" ht="15">
      <c r="A435" t="s">
        <v>534</v>
      </c>
      <c r="B435" s="1" t="s">
        <v>108</v>
      </c>
      <c r="C435" t="e">
        <v>#N/A</v>
      </c>
      <c r="D435">
        <f t="shared" si="36"/>
        <v>1.9193857965451055E-3</v>
      </c>
      <c r="F435" t="e">
        <v>#N/A</v>
      </c>
      <c r="G435">
        <v>0</v>
      </c>
      <c r="H435">
        <f t="shared" si="37"/>
        <v>0.1</v>
      </c>
      <c r="J435">
        <f t="shared" si="38"/>
        <v>1.9193857965451057E-4</v>
      </c>
      <c r="K435">
        <f t="shared" si="39"/>
        <v>0.36391554702494633</v>
      </c>
      <c r="L435" s="11">
        <f t="shared" si="40"/>
        <v>5.2742616033756105E-4</v>
      </c>
      <c r="M435">
        <f t="shared" si="41"/>
        <v>5.7430080426679369E-3</v>
      </c>
    </row>
    <row r="436" spans="1:13">
      <c r="A436" t="s">
        <v>524</v>
      </c>
      <c r="B436" s="3" t="s">
        <v>29</v>
      </c>
      <c r="C436" t="e">
        <v>#N/A</v>
      </c>
      <c r="D436">
        <f t="shared" si="36"/>
        <v>1.9193857965451055E-3</v>
      </c>
      <c r="F436" t="e">
        <v>#N/A</v>
      </c>
      <c r="G436">
        <v>0</v>
      </c>
      <c r="H436">
        <f t="shared" si="37"/>
        <v>0.1</v>
      </c>
      <c r="J436">
        <f t="shared" si="38"/>
        <v>1.9193857965451057E-4</v>
      </c>
      <c r="K436">
        <f t="shared" si="39"/>
        <v>0.36391554702494633</v>
      </c>
      <c r="L436" s="11">
        <f t="shared" si="40"/>
        <v>5.2742616033756105E-4</v>
      </c>
      <c r="M436">
        <f t="shared" si="41"/>
        <v>5.7430080426679369E-3</v>
      </c>
    </row>
    <row r="437" spans="1:13" ht="15">
      <c r="A437" t="s">
        <v>524</v>
      </c>
      <c r="B437" s="1" t="s">
        <v>31</v>
      </c>
      <c r="C437" t="e">
        <v>#N/A</v>
      </c>
      <c r="D437">
        <f t="shared" si="36"/>
        <v>1.9193857965451055E-3</v>
      </c>
      <c r="F437" t="e">
        <v>#N/A</v>
      </c>
      <c r="G437">
        <v>0</v>
      </c>
      <c r="H437">
        <f t="shared" si="37"/>
        <v>0.1</v>
      </c>
      <c r="J437">
        <f t="shared" si="38"/>
        <v>1.9193857965451057E-4</v>
      </c>
      <c r="K437">
        <f t="shared" si="39"/>
        <v>0.36391554702494633</v>
      </c>
      <c r="L437" s="11">
        <f t="shared" si="40"/>
        <v>5.2742616033756105E-4</v>
      </c>
      <c r="M437">
        <f t="shared" si="41"/>
        <v>5.7430080426679369E-3</v>
      </c>
    </row>
    <row r="438" spans="1:13" ht="15">
      <c r="A438" t="s">
        <v>524</v>
      </c>
      <c r="B438" s="1" t="s">
        <v>33</v>
      </c>
      <c r="C438" t="e">
        <v>#N/A</v>
      </c>
      <c r="D438">
        <f t="shared" si="36"/>
        <v>1.9193857965451055E-3</v>
      </c>
      <c r="F438" t="e">
        <v>#N/A</v>
      </c>
      <c r="G438">
        <v>0</v>
      </c>
      <c r="H438">
        <f t="shared" si="37"/>
        <v>0.1</v>
      </c>
      <c r="J438">
        <f t="shared" si="38"/>
        <v>1.9193857965451057E-4</v>
      </c>
      <c r="K438">
        <f t="shared" si="39"/>
        <v>0.36391554702494633</v>
      </c>
      <c r="L438" s="11">
        <f t="shared" si="40"/>
        <v>5.2742616033756105E-4</v>
      </c>
      <c r="M438">
        <f t="shared" si="41"/>
        <v>5.7430080426679369E-3</v>
      </c>
    </row>
    <row r="439" spans="1:13" ht="15">
      <c r="A439" t="s">
        <v>524</v>
      </c>
      <c r="B439" s="1" t="s">
        <v>34</v>
      </c>
      <c r="C439" t="e">
        <v>#N/A</v>
      </c>
      <c r="D439">
        <f t="shared" si="36"/>
        <v>1.9193857965451055E-3</v>
      </c>
      <c r="F439" t="e">
        <v>#N/A</v>
      </c>
      <c r="G439">
        <v>0</v>
      </c>
      <c r="H439">
        <f t="shared" si="37"/>
        <v>0.1</v>
      </c>
      <c r="J439">
        <f t="shared" si="38"/>
        <v>1.9193857965451057E-4</v>
      </c>
      <c r="K439">
        <f t="shared" si="39"/>
        <v>0.36391554702494633</v>
      </c>
      <c r="L439" s="11">
        <f t="shared" si="40"/>
        <v>5.2742616033756105E-4</v>
      </c>
      <c r="M439">
        <f t="shared" si="41"/>
        <v>5.7430080426679369E-3</v>
      </c>
    </row>
    <row r="440" spans="1:13" ht="15">
      <c r="A440" t="s">
        <v>524</v>
      </c>
      <c r="B440" s="1" t="s">
        <v>37</v>
      </c>
      <c r="C440" t="e">
        <v>#N/A</v>
      </c>
      <c r="D440">
        <f t="shared" si="36"/>
        <v>1.9193857965451055E-3</v>
      </c>
      <c r="F440" t="e">
        <v>#N/A</v>
      </c>
      <c r="G440">
        <v>0</v>
      </c>
      <c r="H440">
        <f t="shared" si="37"/>
        <v>0.1</v>
      </c>
      <c r="J440">
        <f t="shared" si="38"/>
        <v>1.9193857965451057E-4</v>
      </c>
      <c r="K440">
        <f t="shared" si="39"/>
        <v>0.36391554702494633</v>
      </c>
      <c r="L440" s="11">
        <f t="shared" si="40"/>
        <v>5.2742616033756105E-4</v>
      </c>
      <c r="M440">
        <f t="shared" si="41"/>
        <v>5.7430080426679369E-3</v>
      </c>
    </row>
    <row r="441" spans="1:13" ht="15">
      <c r="A441" t="s">
        <v>534</v>
      </c>
      <c r="B441" s="1" t="s">
        <v>109</v>
      </c>
      <c r="C441" t="e">
        <v>#N/A</v>
      </c>
      <c r="D441">
        <f t="shared" si="36"/>
        <v>1.9193857965451055E-3</v>
      </c>
      <c r="F441" t="e">
        <v>#N/A</v>
      </c>
      <c r="G441">
        <v>0</v>
      </c>
      <c r="H441">
        <f t="shared" si="37"/>
        <v>0.1</v>
      </c>
      <c r="J441">
        <f t="shared" si="38"/>
        <v>1.9193857965451057E-4</v>
      </c>
      <c r="K441">
        <f t="shared" si="39"/>
        <v>0.36391554702494633</v>
      </c>
      <c r="L441" s="11">
        <f t="shared" si="40"/>
        <v>5.2742616033756105E-4</v>
      </c>
      <c r="M441">
        <f t="shared" si="41"/>
        <v>5.7430080426679369E-3</v>
      </c>
    </row>
    <row r="442" spans="1:13" ht="15">
      <c r="A442" t="s">
        <v>534</v>
      </c>
      <c r="B442" s="1" t="s">
        <v>110</v>
      </c>
      <c r="C442" t="e">
        <v>#N/A</v>
      </c>
      <c r="D442">
        <f t="shared" si="36"/>
        <v>1.9193857965451055E-3</v>
      </c>
      <c r="F442" t="e">
        <v>#N/A</v>
      </c>
      <c r="G442">
        <v>0</v>
      </c>
      <c r="H442">
        <f t="shared" si="37"/>
        <v>0.1</v>
      </c>
      <c r="J442">
        <f t="shared" si="38"/>
        <v>1.9193857965451057E-4</v>
      </c>
      <c r="K442">
        <f t="shared" si="39"/>
        <v>0.36391554702494633</v>
      </c>
      <c r="L442" s="11">
        <f t="shared" si="40"/>
        <v>5.2742616033756105E-4</v>
      </c>
      <c r="M442">
        <f t="shared" si="41"/>
        <v>5.7430080426679369E-3</v>
      </c>
    </row>
    <row r="443" spans="1:13" ht="15">
      <c r="A443" t="s">
        <v>534</v>
      </c>
      <c r="B443" s="1" t="s">
        <v>111</v>
      </c>
      <c r="C443" t="e">
        <v>#N/A</v>
      </c>
      <c r="D443">
        <f t="shared" si="36"/>
        <v>1.9193857965451055E-3</v>
      </c>
      <c r="F443" t="e">
        <v>#N/A</v>
      </c>
      <c r="G443">
        <v>0</v>
      </c>
      <c r="H443">
        <f t="shared" si="37"/>
        <v>0.1</v>
      </c>
      <c r="J443">
        <f t="shared" si="38"/>
        <v>1.9193857965451057E-4</v>
      </c>
      <c r="K443">
        <f t="shared" si="39"/>
        <v>0.36391554702494633</v>
      </c>
      <c r="L443" s="11">
        <f t="shared" si="40"/>
        <v>5.2742616033756105E-4</v>
      </c>
      <c r="M443">
        <f t="shared" si="41"/>
        <v>5.7430080426679369E-3</v>
      </c>
    </row>
    <row r="444" spans="1:13" ht="15">
      <c r="A444" t="s">
        <v>524</v>
      </c>
      <c r="B444" s="1" t="s">
        <v>39</v>
      </c>
      <c r="C444" t="e">
        <v>#N/A</v>
      </c>
      <c r="D444">
        <f t="shared" si="36"/>
        <v>1.9193857965451055E-3</v>
      </c>
      <c r="F444" t="e">
        <v>#N/A</v>
      </c>
      <c r="G444">
        <v>0</v>
      </c>
      <c r="H444">
        <f t="shared" si="37"/>
        <v>0.1</v>
      </c>
      <c r="J444">
        <f t="shared" si="38"/>
        <v>1.9193857965451057E-4</v>
      </c>
      <c r="K444">
        <f t="shared" si="39"/>
        <v>0.36391554702494633</v>
      </c>
      <c r="L444" s="11">
        <f t="shared" si="40"/>
        <v>5.2742616033756105E-4</v>
      </c>
      <c r="M444">
        <f t="shared" si="41"/>
        <v>5.7430080426679369E-3</v>
      </c>
    </row>
    <row r="445" spans="1:13" ht="15">
      <c r="A445" t="s">
        <v>524</v>
      </c>
      <c r="B445" s="1" t="s">
        <v>42</v>
      </c>
      <c r="C445" t="e">
        <v>#N/A</v>
      </c>
      <c r="D445">
        <f t="shared" si="36"/>
        <v>1.9193857965451055E-3</v>
      </c>
      <c r="F445" t="e">
        <v>#N/A</v>
      </c>
      <c r="G445">
        <v>0</v>
      </c>
      <c r="H445">
        <f t="shared" si="37"/>
        <v>0.1</v>
      </c>
      <c r="J445">
        <f t="shared" si="38"/>
        <v>1.9193857965451057E-4</v>
      </c>
      <c r="K445">
        <f t="shared" si="39"/>
        <v>0.36391554702494633</v>
      </c>
      <c r="L445" s="11">
        <f t="shared" si="40"/>
        <v>5.2742616033756105E-4</v>
      </c>
      <c r="M445">
        <f t="shared" si="41"/>
        <v>5.7430080426679369E-3</v>
      </c>
    </row>
    <row r="446" spans="1:13">
      <c r="A446" t="s">
        <v>534</v>
      </c>
      <c r="B446" s="2" t="s">
        <v>113</v>
      </c>
      <c r="C446" t="e">
        <v>#N/A</v>
      </c>
      <c r="D446">
        <f t="shared" si="36"/>
        <v>1.9193857965451055E-3</v>
      </c>
      <c r="F446" t="e">
        <v>#N/A</v>
      </c>
      <c r="G446">
        <v>0</v>
      </c>
      <c r="H446">
        <f t="shared" si="37"/>
        <v>0.1</v>
      </c>
      <c r="J446">
        <f t="shared" si="38"/>
        <v>1.9193857965451057E-4</v>
      </c>
      <c r="K446">
        <f t="shared" si="39"/>
        <v>0.36391554702494633</v>
      </c>
      <c r="L446" s="11">
        <f t="shared" si="40"/>
        <v>5.2742616033756105E-4</v>
      </c>
      <c r="M446">
        <f t="shared" si="41"/>
        <v>5.7430080426679369E-3</v>
      </c>
    </row>
    <row r="447" spans="1:13" ht="15">
      <c r="A447" t="s">
        <v>535</v>
      </c>
      <c r="B447" s="1" t="s">
        <v>388</v>
      </c>
      <c r="C447" t="e">
        <v>#N/A</v>
      </c>
      <c r="D447">
        <f t="shared" si="36"/>
        <v>1.9193857965451055E-3</v>
      </c>
      <c r="F447" t="e">
        <v>#N/A</v>
      </c>
      <c r="G447">
        <v>0</v>
      </c>
      <c r="H447">
        <f t="shared" si="37"/>
        <v>0.1</v>
      </c>
      <c r="J447">
        <f t="shared" si="38"/>
        <v>1.9193857965451057E-4</v>
      </c>
      <c r="K447">
        <f t="shared" si="39"/>
        <v>0.36391554702494633</v>
      </c>
      <c r="L447" s="11">
        <f t="shared" si="40"/>
        <v>5.2742616033756105E-4</v>
      </c>
      <c r="M447">
        <f t="shared" si="41"/>
        <v>5.7430080426679369E-3</v>
      </c>
    </row>
    <row r="448" spans="1:13" ht="15">
      <c r="A448" t="s">
        <v>535</v>
      </c>
      <c r="B448" s="1" t="s">
        <v>389</v>
      </c>
      <c r="C448" t="e">
        <v>#N/A</v>
      </c>
      <c r="D448">
        <f t="shared" si="36"/>
        <v>1.9193857965451055E-3</v>
      </c>
      <c r="F448" t="e">
        <v>#N/A</v>
      </c>
      <c r="G448">
        <v>0</v>
      </c>
      <c r="H448">
        <f t="shared" si="37"/>
        <v>0.1</v>
      </c>
      <c r="J448">
        <f t="shared" si="38"/>
        <v>1.9193857965451057E-4</v>
      </c>
      <c r="K448">
        <f t="shared" si="39"/>
        <v>0.36391554702494633</v>
      </c>
      <c r="L448" s="11">
        <f t="shared" si="40"/>
        <v>5.2742616033756105E-4</v>
      </c>
      <c r="M448">
        <f t="shared" si="41"/>
        <v>5.7430080426679369E-3</v>
      </c>
    </row>
    <row r="449" spans="1:13" ht="15">
      <c r="A449" t="s">
        <v>535</v>
      </c>
      <c r="B449" s="1" t="s">
        <v>391</v>
      </c>
      <c r="C449" t="e">
        <v>#N/A</v>
      </c>
      <c r="D449">
        <f t="shared" si="36"/>
        <v>1.9193857965451055E-3</v>
      </c>
      <c r="F449" t="e">
        <v>#N/A</v>
      </c>
      <c r="G449">
        <v>0</v>
      </c>
      <c r="H449">
        <f t="shared" si="37"/>
        <v>0.1</v>
      </c>
      <c r="J449">
        <f t="shared" si="38"/>
        <v>1.9193857965451057E-4</v>
      </c>
      <c r="K449">
        <f t="shared" si="39"/>
        <v>0.36391554702494633</v>
      </c>
      <c r="L449" s="11">
        <f t="shared" si="40"/>
        <v>5.2742616033756105E-4</v>
      </c>
      <c r="M449">
        <f t="shared" si="41"/>
        <v>5.7430080426679369E-3</v>
      </c>
    </row>
    <row r="450" spans="1:13" ht="15">
      <c r="A450" t="s">
        <v>539</v>
      </c>
      <c r="B450" s="1" t="s">
        <v>312</v>
      </c>
      <c r="C450" t="e">
        <v>#N/A</v>
      </c>
      <c r="D450">
        <f t="shared" ref="D450:D513" si="42">1/521</f>
        <v>1.9193857965451055E-3</v>
      </c>
      <c r="F450" t="e">
        <v>#N/A</v>
      </c>
      <c r="G450">
        <v>0</v>
      </c>
      <c r="H450">
        <f t="shared" ref="H450:H513" si="43">IF(G450&gt;1,0.95,IF(G450&lt;0.6, 0.1, 0.7))</f>
        <v>0.1</v>
      </c>
      <c r="J450">
        <f t="shared" si="38"/>
        <v>1.9193857965451057E-4</v>
      </c>
      <c r="K450">
        <f t="shared" si="39"/>
        <v>0.36391554702494633</v>
      </c>
      <c r="L450" s="11">
        <f t="shared" si="40"/>
        <v>5.2742616033756105E-4</v>
      </c>
      <c r="M450">
        <f t="shared" si="41"/>
        <v>5.7430080426679369E-3</v>
      </c>
    </row>
    <row r="451" spans="1:13" ht="15">
      <c r="A451" t="s">
        <v>539</v>
      </c>
      <c r="B451" s="1" t="s">
        <v>313</v>
      </c>
      <c r="C451" t="e">
        <v>#N/A</v>
      </c>
      <c r="D451">
        <f t="shared" si="42"/>
        <v>1.9193857965451055E-3</v>
      </c>
      <c r="F451" t="e">
        <v>#N/A</v>
      </c>
      <c r="G451">
        <v>0</v>
      </c>
      <c r="H451">
        <f t="shared" si="43"/>
        <v>0.1</v>
      </c>
      <c r="J451">
        <f t="shared" ref="J451:J514" si="44">D451*H451</f>
        <v>1.9193857965451057E-4</v>
      </c>
      <c r="K451">
        <f t="shared" ref="K451:K514" si="45">SUM(J$2:J$523)</f>
        <v>0.36391554702494633</v>
      </c>
      <c r="L451" s="11">
        <f t="shared" ref="L451:L514" si="46">J451/K451</f>
        <v>5.2742616033756105E-4</v>
      </c>
      <c r="M451">
        <f t="shared" ref="M451:M514" si="47">L451*-LOG(L451,2)</f>
        <v>5.7430080426679369E-3</v>
      </c>
    </row>
    <row r="452" spans="1:13" ht="15">
      <c r="A452" t="s">
        <v>536</v>
      </c>
      <c r="B452" s="1" t="s">
        <v>456</v>
      </c>
      <c r="C452" t="e">
        <v>#N/A</v>
      </c>
      <c r="D452">
        <f t="shared" si="42"/>
        <v>1.9193857965451055E-3</v>
      </c>
      <c r="F452" t="e">
        <v>#N/A</v>
      </c>
      <c r="G452">
        <v>0</v>
      </c>
      <c r="H452">
        <f t="shared" si="43"/>
        <v>0.1</v>
      </c>
      <c r="J452">
        <f t="shared" si="44"/>
        <v>1.9193857965451057E-4</v>
      </c>
      <c r="K452">
        <f t="shared" si="45"/>
        <v>0.36391554702494633</v>
      </c>
      <c r="L452" s="11">
        <f t="shared" si="46"/>
        <v>5.2742616033756105E-4</v>
      </c>
      <c r="M452">
        <f t="shared" si="47"/>
        <v>5.7430080426679369E-3</v>
      </c>
    </row>
    <row r="453" spans="1:13" ht="15">
      <c r="A453" t="s">
        <v>535</v>
      </c>
      <c r="B453" s="1" t="s">
        <v>392</v>
      </c>
      <c r="C453" t="e">
        <v>#N/A</v>
      </c>
      <c r="D453">
        <f t="shared" si="42"/>
        <v>1.9193857965451055E-3</v>
      </c>
      <c r="F453" t="e">
        <v>#N/A</v>
      </c>
      <c r="G453">
        <v>0</v>
      </c>
      <c r="H453">
        <f t="shared" si="43"/>
        <v>0.1</v>
      </c>
      <c r="J453">
        <f t="shared" si="44"/>
        <v>1.9193857965451057E-4</v>
      </c>
      <c r="K453">
        <f t="shared" si="45"/>
        <v>0.36391554702494633</v>
      </c>
      <c r="L453" s="11">
        <f t="shared" si="46"/>
        <v>5.2742616033756105E-4</v>
      </c>
      <c r="M453">
        <f t="shared" si="47"/>
        <v>5.7430080426679369E-3</v>
      </c>
    </row>
    <row r="454" spans="1:13" ht="15">
      <c r="A454" t="s">
        <v>535</v>
      </c>
      <c r="B454" s="1" t="s">
        <v>393</v>
      </c>
      <c r="C454" t="e">
        <v>#N/A</v>
      </c>
      <c r="D454">
        <f t="shared" si="42"/>
        <v>1.9193857965451055E-3</v>
      </c>
      <c r="F454" t="e">
        <v>#N/A</v>
      </c>
      <c r="G454">
        <v>0</v>
      </c>
      <c r="H454">
        <f t="shared" si="43"/>
        <v>0.1</v>
      </c>
      <c r="J454">
        <f t="shared" si="44"/>
        <v>1.9193857965451057E-4</v>
      </c>
      <c r="K454">
        <f t="shared" si="45"/>
        <v>0.36391554702494633</v>
      </c>
      <c r="L454" s="11">
        <f t="shared" si="46"/>
        <v>5.2742616033756105E-4</v>
      </c>
      <c r="M454">
        <f t="shared" si="47"/>
        <v>5.7430080426679369E-3</v>
      </c>
    </row>
    <row r="455" spans="1:13" ht="15">
      <c r="A455" t="s">
        <v>535</v>
      </c>
      <c r="B455" s="1" t="s">
        <v>394</v>
      </c>
      <c r="C455" t="e">
        <v>#N/A</v>
      </c>
      <c r="D455">
        <f t="shared" si="42"/>
        <v>1.9193857965451055E-3</v>
      </c>
      <c r="F455" t="e">
        <v>#N/A</v>
      </c>
      <c r="G455">
        <v>0</v>
      </c>
      <c r="H455">
        <f t="shared" si="43"/>
        <v>0.1</v>
      </c>
      <c r="J455">
        <f t="shared" si="44"/>
        <v>1.9193857965451057E-4</v>
      </c>
      <c r="K455">
        <f t="shared" si="45"/>
        <v>0.36391554702494633</v>
      </c>
      <c r="L455" s="11">
        <f t="shared" si="46"/>
        <v>5.2742616033756105E-4</v>
      </c>
      <c r="M455">
        <f t="shared" si="47"/>
        <v>5.7430080426679369E-3</v>
      </c>
    </row>
    <row r="456" spans="1:13" ht="15">
      <c r="A456" t="s">
        <v>524</v>
      </c>
      <c r="B456" s="1" t="s">
        <v>46</v>
      </c>
      <c r="C456" t="e">
        <v>#N/A</v>
      </c>
      <c r="D456">
        <f t="shared" si="42"/>
        <v>1.9193857965451055E-3</v>
      </c>
      <c r="F456" t="e">
        <v>#N/A</v>
      </c>
      <c r="G456">
        <v>0</v>
      </c>
      <c r="H456">
        <f t="shared" si="43"/>
        <v>0.1</v>
      </c>
      <c r="J456">
        <f t="shared" si="44"/>
        <v>1.9193857965451057E-4</v>
      </c>
      <c r="K456">
        <f t="shared" si="45"/>
        <v>0.36391554702494633</v>
      </c>
      <c r="L456" s="11">
        <f t="shared" si="46"/>
        <v>5.2742616033756105E-4</v>
      </c>
      <c r="M456">
        <f t="shared" si="47"/>
        <v>5.7430080426679369E-3</v>
      </c>
    </row>
    <row r="457" spans="1:13" ht="15">
      <c r="A457" t="s">
        <v>524</v>
      </c>
      <c r="B457" s="1" t="s">
        <v>49</v>
      </c>
      <c r="C457" t="e">
        <v>#N/A</v>
      </c>
      <c r="D457">
        <f t="shared" si="42"/>
        <v>1.9193857965451055E-3</v>
      </c>
      <c r="F457" t="e">
        <v>#N/A</v>
      </c>
      <c r="G457">
        <v>0</v>
      </c>
      <c r="H457">
        <f t="shared" si="43"/>
        <v>0.1</v>
      </c>
      <c r="J457">
        <f t="shared" si="44"/>
        <v>1.9193857965451057E-4</v>
      </c>
      <c r="K457">
        <f t="shared" si="45"/>
        <v>0.36391554702494633</v>
      </c>
      <c r="L457" s="11">
        <f t="shared" si="46"/>
        <v>5.2742616033756105E-4</v>
      </c>
      <c r="M457">
        <f t="shared" si="47"/>
        <v>5.7430080426679369E-3</v>
      </c>
    </row>
    <row r="458" spans="1:13" ht="15">
      <c r="A458" t="s">
        <v>524</v>
      </c>
      <c r="B458" s="1" t="s">
        <v>50</v>
      </c>
      <c r="C458" t="e">
        <v>#N/A</v>
      </c>
      <c r="D458">
        <f t="shared" si="42"/>
        <v>1.9193857965451055E-3</v>
      </c>
      <c r="F458" t="e">
        <v>#N/A</v>
      </c>
      <c r="G458">
        <v>0</v>
      </c>
      <c r="H458">
        <f t="shared" si="43"/>
        <v>0.1</v>
      </c>
      <c r="J458">
        <f t="shared" si="44"/>
        <v>1.9193857965451057E-4</v>
      </c>
      <c r="K458">
        <f t="shared" si="45"/>
        <v>0.36391554702494633</v>
      </c>
      <c r="L458" s="11">
        <f t="shared" si="46"/>
        <v>5.2742616033756105E-4</v>
      </c>
      <c r="M458">
        <f t="shared" si="47"/>
        <v>5.7430080426679369E-3</v>
      </c>
    </row>
    <row r="459" spans="1:13" ht="15">
      <c r="A459" t="s">
        <v>536</v>
      </c>
      <c r="B459" s="1" t="s">
        <v>457</v>
      </c>
      <c r="C459" t="e">
        <v>#N/A</v>
      </c>
      <c r="D459">
        <f t="shared" si="42"/>
        <v>1.9193857965451055E-3</v>
      </c>
      <c r="F459" t="e">
        <v>#N/A</v>
      </c>
      <c r="G459">
        <v>0</v>
      </c>
      <c r="H459">
        <f t="shared" si="43"/>
        <v>0.1</v>
      </c>
      <c r="J459">
        <f t="shared" si="44"/>
        <v>1.9193857965451057E-4</v>
      </c>
      <c r="K459">
        <f t="shared" si="45"/>
        <v>0.36391554702494633</v>
      </c>
      <c r="L459" s="11">
        <f t="shared" si="46"/>
        <v>5.2742616033756105E-4</v>
      </c>
      <c r="M459">
        <f t="shared" si="47"/>
        <v>5.7430080426679369E-3</v>
      </c>
    </row>
    <row r="460" spans="1:13" ht="15">
      <c r="A460" t="s">
        <v>536</v>
      </c>
      <c r="B460" s="1" t="s">
        <v>458</v>
      </c>
      <c r="C460" t="e">
        <v>#N/A</v>
      </c>
      <c r="D460">
        <f t="shared" si="42"/>
        <v>1.9193857965451055E-3</v>
      </c>
      <c r="F460" t="e">
        <v>#N/A</v>
      </c>
      <c r="G460">
        <v>0</v>
      </c>
      <c r="H460">
        <f t="shared" si="43"/>
        <v>0.1</v>
      </c>
      <c r="J460">
        <f t="shared" si="44"/>
        <v>1.9193857965451057E-4</v>
      </c>
      <c r="K460">
        <f t="shared" si="45"/>
        <v>0.36391554702494633</v>
      </c>
      <c r="L460" s="11">
        <f t="shared" si="46"/>
        <v>5.2742616033756105E-4</v>
      </c>
      <c r="M460">
        <f t="shared" si="47"/>
        <v>5.7430080426679369E-3</v>
      </c>
    </row>
    <row r="461" spans="1:13" ht="15">
      <c r="A461" t="s">
        <v>536</v>
      </c>
      <c r="B461" s="1" t="s">
        <v>460</v>
      </c>
      <c r="C461" t="e">
        <v>#N/A</v>
      </c>
      <c r="D461">
        <f t="shared" si="42"/>
        <v>1.9193857965451055E-3</v>
      </c>
      <c r="F461" t="e">
        <v>#N/A</v>
      </c>
      <c r="G461">
        <v>0</v>
      </c>
      <c r="H461">
        <f t="shared" si="43"/>
        <v>0.1</v>
      </c>
      <c r="J461">
        <f t="shared" si="44"/>
        <v>1.9193857965451057E-4</v>
      </c>
      <c r="K461">
        <f t="shared" si="45"/>
        <v>0.36391554702494633</v>
      </c>
      <c r="L461" s="11">
        <f t="shared" si="46"/>
        <v>5.2742616033756105E-4</v>
      </c>
      <c r="M461">
        <f t="shared" si="47"/>
        <v>5.7430080426679369E-3</v>
      </c>
    </row>
    <row r="462" spans="1:13" ht="15">
      <c r="A462" t="s">
        <v>536</v>
      </c>
      <c r="B462" s="1" t="s">
        <v>464</v>
      </c>
      <c r="C462" t="e">
        <v>#N/A</v>
      </c>
      <c r="D462">
        <f t="shared" si="42"/>
        <v>1.9193857965451055E-3</v>
      </c>
      <c r="F462" t="e">
        <v>#N/A</v>
      </c>
      <c r="G462">
        <v>0</v>
      </c>
      <c r="H462">
        <f t="shared" si="43"/>
        <v>0.1</v>
      </c>
      <c r="J462">
        <f t="shared" si="44"/>
        <v>1.9193857965451057E-4</v>
      </c>
      <c r="K462">
        <f t="shared" si="45"/>
        <v>0.36391554702494633</v>
      </c>
      <c r="L462" s="11">
        <f t="shared" si="46"/>
        <v>5.2742616033756105E-4</v>
      </c>
      <c r="M462">
        <f t="shared" si="47"/>
        <v>5.7430080426679369E-3</v>
      </c>
    </row>
    <row r="463" spans="1:13" ht="15">
      <c r="A463" t="s">
        <v>524</v>
      </c>
      <c r="B463" s="1" t="s">
        <v>530</v>
      </c>
      <c r="C463" t="e">
        <v>#N/A</v>
      </c>
      <c r="D463">
        <f t="shared" si="42"/>
        <v>1.9193857965451055E-3</v>
      </c>
      <c r="E463">
        <f>-LOG(D463,2)</f>
        <v>9.0251395622785093</v>
      </c>
      <c r="F463" t="e">
        <v>#N/A</v>
      </c>
      <c r="G463">
        <v>0</v>
      </c>
      <c r="H463">
        <f t="shared" si="43"/>
        <v>0.1</v>
      </c>
      <c r="J463">
        <f t="shared" si="44"/>
        <v>1.9193857965451057E-4</v>
      </c>
      <c r="K463">
        <f t="shared" si="45"/>
        <v>0.36391554702494633</v>
      </c>
      <c r="L463" s="11">
        <f t="shared" si="46"/>
        <v>5.2742616033756105E-4</v>
      </c>
      <c r="M463">
        <f t="shared" si="47"/>
        <v>5.7430080426679369E-3</v>
      </c>
    </row>
    <row r="464" spans="1:13" ht="15">
      <c r="A464" t="s">
        <v>536</v>
      </c>
      <c r="B464" s="1" t="s">
        <v>465</v>
      </c>
      <c r="C464" t="e">
        <v>#N/A</v>
      </c>
      <c r="D464">
        <f t="shared" si="42"/>
        <v>1.9193857965451055E-3</v>
      </c>
      <c r="F464" t="e">
        <v>#N/A</v>
      </c>
      <c r="G464">
        <v>0</v>
      </c>
      <c r="H464">
        <f t="shared" si="43"/>
        <v>0.1</v>
      </c>
      <c r="J464">
        <f t="shared" si="44"/>
        <v>1.9193857965451057E-4</v>
      </c>
      <c r="K464">
        <f t="shared" si="45"/>
        <v>0.36391554702494633</v>
      </c>
      <c r="L464" s="11">
        <f t="shared" si="46"/>
        <v>5.2742616033756105E-4</v>
      </c>
      <c r="M464">
        <f t="shared" si="47"/>
        <v>5.7430080426679369E-3</v>
      </c>
    </row>
    <row r="465" spans="1:13" ht="15">
      <c r="A465" t="s">
        <v>524</v>
      </c>
      <c r="B465" s="1" t="s">
        <v>53</v>
      </c>
      <c r="C465" t="e">
        <v>#N/A</v>
      </c>
      <c r="D465">
        <f t="shared" si="42"/>
        <v>1.9193857965451055E-3</v>
      </c>
      <c r="F465" t="e">
        <v>#N/A</v>
      </c>
      <c r="G465">
        <v>0</v>
      </c>
      <c r="H465">
        <f t="shared" si="43"/>
        <v>0.1</v>
      </c>
      <c r="J465">
        <f t="shared" si="44"/>
        <v>1.9193857965451057E-4</v>
      </c>
      <c r="K465">
        <f t="shared" si="45"/>
        <v>0.36391554702494633</v>
      </c>
      <c r="L465" s="11">
        <f t="shared" si="46"/>
        <v>5.2742616033756105E-4</v>
      </c>
      <c r="M465">
        <f t="shared" si="47"/>
        <v>5.7430080426679369E-3</v>
      </c>
    </row>
    <row r="466" spans="1:13" ht="15">
      <c r="A466" t="s">
        <v>536</v>
      </c>
      <c r="B466" s="1" t="s">
        <v>466</v>
      </c>
      <c r="C466" t="e">
        <v>#N/A</v>
      </c>
      <c r="D466">
        <f t="shared" si="42"/>
        <v>1.9193857965451055E-3</v>
      </c>
      <c r="F466" t="e">
        <v>#N/A</v>
      </c>
      <c r="G466">
        <v>0</v>
      </c>
      <c r="H466">
        <f t="shared" si="43"/>
        <v>0.1</v>
      </c>
      <c r="J466">
        <f t="shared" si="44"/>
        <v>1.9193857965451057E-4</v>
      </c>
      <c r="K466">
        <f t="shared" si="45"/>
        <v>0.36391554702494633</v>
      </c>
      <c r="L466" s="11">
        <f t="shared" si="46"/>
        <v>5.2742616033756105E-4</v>
      </c>
      <c r="M466">
        <f t="shared" si="47"/>
        <v>5.7430080426679369E-3</v>
      </c>
    </row>
    <row r="467" spans="1:13" ht="15">
      <c r="A467" t="s">
        <v>536</v>
      </c>
      <c r="B467" s="1" t="s">
        <v>467</v>
      </c>
      <c r="C467" t="e">
        <v>#N/A</v>
      </c>
      <c r="D467">
        <f t="shared" si="42"/>
        <v>1.9193857965451055E-3</v>
      </c>
      <c r="F467" t="e">
        <v>#N/A</v>
      </c>
      <c r="G467">
        <v>0</v>
      </c>
      <c r="H467">
        <f t="shared" si="43"/>
        <v>0.1</v>
      </c>
      <c r="J467">
        <f t="shared" si="44"/>
        <v>1.9193857965451057E-4</v>
      </c>
      <c r="K467">
        <f t="shared" si="45"/>
        <v>0.36391554702494633</v>
      </c>
      <c r="L467" s="11">
        <f t="shared" si="46"/>
        <v>5.2742616033756105E-4</v>
      </c>
      <c r="M467">
        <f t="shared" si="47"/>
        <v>5.7430080426679369E-3</v>
      </c>
    </row>
    <row r="468" spans="1:13" ht="15">
      <c r="A468" t="s">
        <v>534</v>
      </c>
      <c r="B468" s="1" t="s">
        <v>114</v>
      </c>
      <c r="C468" t="e">
        <v>#N/A</v>
      </c>
      <c r="D468">
        <f t="shared" si="42"/>
        <v>1.9193857965451055E-3</v>
      </c>
      <c r="F468" t="e">
        <v>#N/A</v>
      </c>
      <c r="G468">
        <v>0</v>
      </c>
      <c r="H468">
        <f t="shared" si="43"/>
        <v>0.1</v>
      </c>
      <c r="J468">
        <f t="shared" si="44"/>
        <v>1.9193857965451057E-4</v>
      </c>
      <c r="K468">
        <f t="shared" si="45"/>
        <v>0.36391554702494633</v>
      </c>
      <c r="L468" s="11">
        <f t="shared" si="46"/>
        <v>5.2742616033756105E-4</v>
      </c>
      <c r="M468">
        <f t="shared" si="47"/>
        <v>5.7430080426679369E-3</v>
      </c>
    </row>
    <row r="469" spans="1:13" ht="15">
      <c r="A469" t="s">
        <v>534</v>
      </c>
      <c r="B469" s="1" t="s">
        <v>115</v>
      </c>
      <c r="C469" t="e">
        <v>#N/A</v>
      </c>
      <c r="D469">
        <f t="shared" si="42"/>
        <v>1.9193857965451055E-3</v>
      </c>
      <c r="F469" t="e">
        <v>#N/A</v>
      </c>
      <c r="G469">
        <v>0</v>
      </c>
      <c r="H469">
        <f t="shared" si="43"/>
        <v>0.1</v>
      </c>
      <c r="J469">
        <f t="shared" si="44"/>
        <v>1.9193857965451057E-4</v>
      </c>
      <c r="K469">
        <f t="shared" si="45"/>
        <v>0.36391554702494633</v>
      </c>
      <c r="L469" s="11">
        <f t="shared" si="46"/>
        <v>5.2742616033756105E-4</v>
      </c>
      <c r="M469">
        <f t="shared" si="47"/>
        <v>5.7430080426679369E-3</v>
      </c>
    </row>
    <row r="470" spans="1:13" ht="15">
      <c r="A470" t="s">
        <v>534</v>
      </c>
      <c r="B470" s="1" t="s">
        <v>116</v>
      </c>
      <c r="C470" t="e">
        <v>#N/A</v>
      </c>
      <c r="D470">
        <f t="shared" si="42"/>
        <v>1.9193857965451055E-3</v>
      </c>
      <c r="F470" t="e">
        <v>#N/A</v>
      </c>
      <c r="G470">
        <v>0</v>
      </c>
      <c r="H470">
        <f t="shared" si="43"/>
        <v>0.1</v>
      </c>
      <c r="J470">
        <f t="shared" si="44"/>
        <v>1.9193857965451057E-4</v>
      </c>
      <c r="K470">
        <f t="shared" si="45"/>
        <v>0.36391554702494633</v>
      </c>
      <c r="L470" s="11">
        <f t="shared" si="46"/>
        <v>5.2742616033756105E-4</v>
      </c>
      <c r="M470">
        <f t="shared" si="47"/>
        <v>5.7430080426679369E-3</v>
      </c>
    </row>
    <row r="471" spans="1:13" ht="15">
      <c r="A471" t="s">
        <v>542</v>
      </c>
      <c r="B471" s="1" t="s">
        <v>516</v>
      </c>
      <c r="C471" t="e">
        <v>#N/A</v>
      </c>
      <c r="D471">
        <f t="shared" si="42"/>
        <v>1.9193857965451055E-3</v>
      </c>
      <c r="F471" t="e">
        <v>#N/A</v>
      </c>
      <c r="G471">
        <v>0</v>
      </c>
      <c r="H471">
        <f t="shared" si="43"/>
        <v>0.1</v>
      </c>
      <c r="J471">
        <f t="shared" si="44"/>
        <v>1.9193857965451057E-4</v>
      </c>
      <c r="K471">
        <f t="shared" si="45"/>
        <v>0.36391554702494633</v>
      </c>
      <c r="L471" s="11">
        <f t="shared" si="46"/>
        <v>5.2742616033756105E-4</v>
      </c>
      <c r="M471">
        <f t="shared" si="47"/>
        <v>5.7430080426679369E-3</v>
      </c>
    </row>
    <row r="472" spans="1:13">
      <c r="A472" t="s">
        <v>535</v>
      </c>
      <c r="B472" s="2" t="s">
        <v>400</v>
      </c>
      <c r="C472" t="e">
        <v>#N/A</v>
      </c>
      <c r="D472">
        <f t="shared" si="42"/>
        <v>1.9193857965451055E-3</v>
      </c>
      <c r="F472" t="e">
        <v>#N/A</v>
      </c>
      <c r="G472">
        <v>0</v>
      </c>
      <c r="H472">
        <f t="shared" si="43"/>
        <v>0.1</v>
      </c>
      <c r="J472">
        <f t="shared" si="44"/>
        <v>1.9193857965451057E-4</v>
      </c>
      <c r="K472">
        <f t="shared" si="45"/>
        <v>0.36391554702494633</v>
      </c>
      <c r="L472" s="11">
        <f t="shared" si="46"/>
        <v>5.2742616033756105E-4</v>
      </c>
      <c r="M472">
        <f t="shared" si="47"/>
        <v>5.7430080426679369E-3</v>
      </c>
    </row>
    <row r="473" spans="1:13">
      <c r="A473" t="s">
        <v>534</v>
      </c>
      <c r="B473" s="2" t="s">
        <v>124</v>
      </c>
      <c r="C473" t="e">
        <v>#N/A</v>
      </c>
      <c r="D473">
        <f t="shared" si="42"/>
        <v>1.9193857965451055E-3</v>
      </c>
      <c r="F473" t="e">
        <v>#N/A</v>
      </c>
      <c r="G473">
        <v>0</v>
      </c>
      <c r="H473">
        <f t="shared" si="43"/>
        <v>0.1</v>
      </c>
      <c r="J473">
        <f t="shared" si="44"/>
        <v>1.9193857965451057E-4</v>
      </c>
      <c r="K473">
        <f t="shared" si="45"/>
        <v>0.36391554702494633</v>
      </c>
      <c r="L473" s="11">
        <f t="shared" si="46"/>
        <v>5.2742616033756105E-4</v>
      </c>
      <c r="M473">
        <f t="shared" si="47"/>
        <v>5.7430080426679369E-3</v>
      </c>
    </row>
    <row r="474" spans="1:13">
      <c r="A474" t="s">
        <v>534</v>
      </c>
      <c r="B474" s="2" t="s">
        <v>125</v>
      </c>
      <c r="C474" t="e">
        <v>#N/A</v>
      </c>
      <c r="D474">
        <f t="shared" si="42"/>
        <v>1.9193857965451055E-3</v>
      </c>
      <c r="F474" t="e">
        <v>#N/A</v>
      </c>
      <c r="G474">
        <v>0</v>
      </c>
      <c r="H474">
        <f t="shared" si="43"/>
        <v>0.1</v>
      </c>
      <c r="J474">
        <f t="shared" si="44"/>
        <v>1.9193857965451057E-4</v>
      </c>
      <c r="K474">
        <f t="shared" si="45"/>
        <v>0.36391554702494633</v>
      </c>
      <c r="L474" s="11">
        <f t="shared" si="46"/>
        <v>5.2742616033756105E-4</v>
      </c>
      <c r="M474">
        <f t="shared" si="47"/>
        <v>5.7430080426679369E-3</v>
      </c>
    </row>
    <row r="475" spans="1:13">
      <c r="A475" t="s">
        <v>534</v>
      </c>
      <c r="B475" s="2" t="s">
        <v>126</v>
      </c>
      <c r="C475" t="e">
        <v>#N/A</v>
      </c>
      <c r="D475">
        <f t="shared" si="42"/>
        <v>1.9193857965451055E-3</v>
      </c>
      <c r="F475" t="e">
        <v>#N/A</v>
      </c>
      <c r="G475">
        <v>0</v>
      </c>
      <c r="H475">
        <f t="shared" si="43"/>
        <v>0.1</v>
      </c>
      <c r="J475">
        <f t="shared" si="44"/>
        <v>1.9193857965451057E-4</v>
      </c>
      <c r="K475">
        <f t="shared" si="45"/>
        <v>0.36391554702494633</v>
      </c>
      <c r="L475" s="11">
        <f t="shared" si="46"/>
        <v>5.2742616033756105E-4</v>
      </c>
      <c r="M475">
        <f t="shared" si="47"/>
        <v>5.7430080426679369E-3</v>
      </c>
    </row>
    <row r="476" spans="1:13">
      <c r="A476" t="s">
        <v>535</v>
      </c>
      <c r="B476" s="2" t="s">
        <v>401</v>
      </c>
      <c r="C476" t="e">
        <v>#N/A</v>
      </c>
      <c r="D476">
        <f t="shared" si="42"/>
        <v>1.9193857965451055E-3</v>
      </c>
      <c r="F476" t="e">
        <v>#N/A</v>
      </c>
      <c r="G476">
        <v>0</v>
      </c>
      <c r="H476">
        <f t="shared" si="43"/>
        <v>0.1</v>
      </c>
      <c r="J476">
        <f t="shared" si="44"/>
        <v>1.9193857965451057E-4</v>
      </c>
      <c r="K476">
        <f t="shared" si="45"/>
        <v>0.36391554702494633</v>
      </c>
      <c r="L476" s="11">
        <f t="shared" si="46"/>
        <v>5.2742616033756105E-4</v>
      </c>
      <c r="M476">
        <f t="shared" si="47"/>
        <v>5.7430080426679369E-3</v>
      </c>
    </row>
    <row r="477" spans="1:13">
      <c r="A477" t="s">
        <v>535</v>
      </c>
      <c r="B477" s="2" t="s">
        <v>402</v>
      </c>
      <c r="C477" t="e">
        <v>#N/A</v>
      </c>
      <c r="D477">
        <f t="shared" si="42"/>
        <v>1.9193857965451055E-3</v>
      </c>
      <c r="F477" t="e">
        <v>#N/A</v>
      </c>
      <c r="G477">
        <v>0</v>
      </c>
      <c r="H477">
        <f t="shared" si="43"/>
        <v>0.1</v>
      </c>
      <c r="J477">
        <f t="shared" si="44"/>
        <v>1.9193857965451057E-4</v>
      </c>
      <c r="K477">
        <f t="shared" si="45"/>
        <v>0.36391554702494633</v>
      </c>
      <c r="L477" s="11">
        <f t="shared" si="46"/>
        <v>5.2742616033756105E-4</v>
      </c>
      <c r="M477">
        <f t="shared" si="47"/>
        <v>5.7430080426679369E-3</v>
      </c>
    </row>
    <row r="478" spans="1:13" ht="15">
      <c r="A478" t="s">
        <v>534</v>
      </c>
      <c r="B478" s="1" t="s">
        <v>118</v>
      </c>
      <c r="C478" t="e">
        <v>#N/A</v>
      </c>
      <c r="D478">
        <f t="shared" si="42"/>
        <v>1.9193857965451055E-3</v>
      </c>
      <c r="F478" t="e">
        <v>#N/A</v>
      </c>
      <c r="G478">
        <v>0</v>
      </c>
      <c r="H478">
        <f t="shared" si="43"/>
        <v>0.1</v>
      </c>
      <c r="J478">
        <f t="shared" si="44"/>
        <v>1.9193857965451057E-4</v>
      </c>
      <c r="K478">
        <f t="shared" si="45"/>
        <v>0.36391554702494633</v>
      </c>
      <c r="L478" s="11">
        <f t="shared" si="46"/>
        <v>5.2742616033756105E-4</v>
      </c>
      <c r="M478">
        <f t="shared" si="47"/>
        <v>5.7430080426679369E-3</v>
      </c>
    </row>
    <row r="479" spans="1:13" ht="15">
      <c r="A479" t="s">
        <v>535</v>
      </c>
      <c r="B479" s="1" t="s">
        <v>397</v>
      </c>
      <c r="C479" t="e">
        <v>#N/A</v>
      </c>
      <c r="D479">
        <f t="shared" si="42"/>
        <v>1.9193857965451055E-3</v>
      </c>
      <c r="F479" t="e">
        <v>#N/A</v>
      </c>
      <c r="G479">
        <v>0</v>
      </c>
      <c r="H479">
        <f t="shared" si="43"/>
        <v>0.1</v>
      </c>
      <c r="J479">
        <f t="shared" si="44"/>
        <v>1.9193857965451057E-4</v>
      </c>
      <c r="K479">
        <f t="shared" si="45"/>
        <v>0.36391554702494633</v>
      </c>
      <c r="L479" s="11">
        <f t="shared" si="46"/>
        <v>5.2742616033756105E-4</v>
      </c>
      <c r="M479">
        <f t="shared" si="47"/>
        <v>5.7430080426679369E-3</v>
      </c>
    </row>
    <row r="480" spans="1:13" ht="15">
      <c r="A480" t="s">
        <v>537</v>
      </c>
      <c r="B480" s="1" t="s">
        <v>211</v>
      </c>
      <c r="C480" t="e">
        <v>#N/A</v>
      </c>
      <c r="D480">
        <f t="shared" si="42"/>
        <v>1.9193857965451055E-3</v>
      </c>
      <c r="F480" t="e">
        <v>#N/A</v>
      </c>
      <c r="G480">
        <v>0</v>
      </c>
      <c r="H480">
        <f t="shared" si="43"/>
        <v>0.1</v>
      </c>
      <c r="J480">
        <f t="shared" si="44"/>
        <v>1.9193857965451057E-4</v>
      </c>
      <c r="K480">
        <f t="shared" si="45"/>
        <v>0.36391554702494633</v>
      </c>
      <c r="L480" s="11">
        <f t="shared" si="46"/>
        <v>5.2742616033756105E-4</v>
      </c>
      <c r="M480">
        <f t="shared" si="47"/>
        <v>5.7430080426679369E-3</v>
      </c>
    </row>
    <row r="481" spans="1:13">
      <c r="A481" t="s">
        <v>534</v>
      </c>
      <c r="B481" s="2" t="s">
        <v>120</v>
      </c>
      <c r="C481" t="e">
        <v>#N/A</v>
      </c>
      <c r="D481">
        <f t="shared" si="42"/>
        <v>1.9193857965451055E-3</v>
      </c>
      <c r="F481" t="e">
        <v>#N/A</v>
      </c>
      <c r="G481">
        <v>0</v>
      </c>
      <c r="H481">
        <f t="shared" si="43"/>
        <v>0.1</v>
      </c>
      <c r="J481">
        <f t="shared" si="44"/>
        <v>1.9193857965451057E-4</v>
      </c>
      <c r="K481">
        <f t="shared" si="45"/>
        <v>0.36391554702494633</v>
      </c>
      <c r="L481" s="11">
        <f t="shared" si="46"/>
        <v>5.2742616033756105E-4</v>
      </c>
      <c r="M481">
        <f t="shared" si="47"/>
        <v>5.7430080426679369E-3</v>
      </c>
    </row>
    <row r="482" spans="1:13" ht="15">
      <c r="A482" t="s">
        <v>536</v>
      </c>
      <c r="B482" s="1" t="s">
        <v>469</v>
      </c>
      <c r="C482" t="e">
        <v>#N/A</v>
      </c>
      <c r="D482">
        <f t="shared" si="42"/>
        <v>1.9193857965451055E-3</v>
      </c>
      <c r="F482" t="e">
        <v>#N/A</v>
      </c>
      <c r="G482">
        <v>0</v>
      </c>
      <c r="H482">
        <f t="shared" si="43"/>
        <v>0.1</v>
      </c>
      <c r="J482">
        <f t="shared" si="44"/>
        <v>1.9193857965451057E-4</v>
      </c>
      <c r="K482">
        <f t="shared" si="45"/>
        <v>0.36391554702494633</v>
      </c>
      <c r="L482" s="11">
        <f t="shared" si="46"/>
        <v>5.2742616033756105E-4</v>
      </c>
      <c r="M482">
        <f t="shared" si="47"/>
        <v>5.7430080426679369E-3</v>
      </c>
    </row>
    <row r="483" spans="1:13" ht="15">
      <c r="A483" t="s">
        <v>536</v>
      </c>
      <c r="B483" s="1" t="s">
        <v>470</v>
      </c>
      <c r="C483" t="e">
        <v>#N/A</v>
      </c>
      <c r="D483">
        <f t="shared" si="42"/>
        <v>1.9193857965451055E-3</v>
      </c>
      <c r="F483" t="e">
        <v>#N/A</v>
      </c>
      <c r="G483">
        <v>0</v>
      </c>
      <c r="H483">
        <f t="shared" si="43"/>
        <v>0.1</v>
      </c>
      <c r="J483">
        <f t="shared" si="44"/>
        <v>1.9193857965451057E-4</v>
      </c>
      <c r="K483">
        <f t="shared" si="45"/>
        <v>0.36391554702494633</v>
      </c>
      <c r="L483" s="11">
        <f t="shared" si="46"/>
        <v>5.2742616033756105E-4</v>
      </c>
      <c r="M483">
        <f t="shared" si="47"/>
        <v>5.7430080426679369E-3</v>
      </c>
    </row>
    <row r="484" spans="1:13" ht="15">
      <c r="A484" t="s">
        <v>536</v>
      </c>
      <c r="B484" s="1" t="s">
        <v>471</v>
      </c>
      <c r="C484" t="e">
        <v>#N/A</v>
      </c>
      <c r="D484">
        <f t="shared" si="42"/>
        <v>1.9193857965451055E-3</v>
      </c>
      <c r="F484" t="e">
        <v>#N/A</v>
      </c>
      <c r="G484">
        <v>0</v>
      </c>
      <c r="H484">
        <f t="shared" si="43"/>
        <v>0.1</v>
      </c>
      <c r="J484">
        <f t="shared" si="44"/>
        <v>1.9193857965451057E-4</v>
      </c>
      <c r="K484">
        <f t="shared" si="45"/>
        <v>0.36391554702494633</v>
      </c>
      <c r="L484" s="11">
        <f t="shared" si="46"/>
        <v>5.2742616033756105E-4</v>
      </c>
      <c r="M484">
        <f t="shared" si="47"/>
        <v>5.7430080426679369E-3</v>
      </c>
    </row>
    <row r="485" spans="1:13" ht="15">
      <c r="A485" t="s">
        <v>536</v>
      </c>
      <c r="B485" s="1" t="s">
        <v>472</v>
      </c>
      <c r="C485" t="e">
        <v>#N/A</v>
      </c>
      <c r="D485">
        <f t="shared" si="42"/>
        <v>1.9193857965451055E-3</v>
      </c>
      <c r="F485" t="e">
        <v>#N/A</v>
      </c>
      <c r="G485">
        <v>0</v>
      </c>
      <c r="H485">
        <f t="shared" si="43"/>
        <v>0.1</v>
      </c>
      <c r="J485">
        <f t="shared" si="44"/>
        <v>1.9193857965451057E-4</v>
      </c>
      <c r="K485">
        <f t="shared" si="45"/>
        <v>0.36391554702494633</v>
      </c>
      <c r="L485" s="11">
        <f t="shared" si="46"/>
        <v>5.2742616033756105E-4</v>
      </c>
      <c r="M485">
        <f t="shared" si="47"/>
        <v>5.7430080426679369E-3</v>
      </c>
    </row>
    <row r="486" spans="1:13" ht="15">
      <c r="A486" t="s">
        <v>534</v>
      </c>
      <c r="B486" s="1" t="s">
        <v>122</v>
      </c>
      <c r="C486" t="e">
        <v>#N/A</v>
      </c>
      <c r="D486">
        <f t="shared" si="42"/>
        <v>1.9193857965451055E-3</v>
      </c>
      <c r="F486" t="e">
        <v>#N/A</v>
      </c>
      <c r="G486">
        <v>0</v>
      </c>
      <c r="H486">
        <f t="shared" si="43"/>
        <v>0.1</v>
      </c>
      <c r="J486">
        <f t="shared" si="44"/>
        <v>1.9193857965451057E-4</v>
      </c>
      <c r="K486">
        <f t="shared" si="45"/>
        <v>0.36391554702494633</v>
      </c>
      <c r="L486" s="11">
        <f t="shared" si="46"/>
        <v>5.2742616033756105E-4</v>
      </c>
      <c r="M486">
        <f t="shared" si="47"/>
        <v>5.7430080426679369E-3</v>
      </c>
    </row>
    <row r="487" spans="1:13" ht="15">
      <c r="A487" t="s">
        <v>536</v>
      </c>
      <c r="B487" s="1" t="s">
        <v>474</v>
      </c>
      <c r="C487" t="e">
        <v>#N/A</v>
      </c>
      <c r="D487">
        <f t="shared" si="42"/>
        <v>1.9193857965451055E-3</v>
      </c>
      <c r="F487" t="e">
        <v>#N/A</v>
      </c>
      <c r="G487">
        <v>0</v>
      </c>
      <c r="H487">
        <f t="shared" si="43"/>
        <v>0.1</v>
      </c>
      <c r="J487">
        <f t="shared" si="44"/>
        <v>1.9193857965451057E-4</v>
      </c>
      <c r="K487">
        <f t="shared" si="45"/>
        <v>0.36391554702494633</v>
      </c>
      <c r="L487" s="11">
        <f t="shared" si="46"/>
        <v>5.2742616033756105E-4</v>
      </c>
      <c r="M487">
        <f t="shared" si="47"/>
        <v>5.7430080426679369E-3</v>
      </c>
    </row>
    <row r="488" spans="1:13" ht="15">
      <c r="A488" t="s">
        <v>540</v>
      </c>
      <c r="B488" s="1" t="s">
        <v>278</v>
      </c>
      <c r="C488" t="e">
        <v>#N/A</v>
      </c>
      <c r="D488">
        <f t="shared" si="42"/>
        <v>1.9193857965451055E-3</v>
      </c>
      <c r="F488" t="e">
        <v>#N/A</v>
      </c>
      <c r="G488">
        <v>0</v>
      </c>
      <c r="H488">
        <f t="shared" si="43"/>
        <v>0.1</v>
      </c>
      <c r="J488">
        <f t="shared" si="44"/>
        <v>1.9193857965451057E-4</v>
      </c>
      <c r="K488">
        <f t="shared" si="45"/>
        <v>0.36391554702494633</v>
      </c>
      <c r="L488" s="11">
        <f t="shared" si="46"/>
        <v>5.2742616033756105E-4</v>
      </c>
      <c r="M488">
        <f t="shared" si="47"/>
        <v>5.7430080426679369E-3</v>
      </c>
    </row>
    <row r="489" spans="1:13" ht="15">
      <c r="A489" t="s">
        <v>534</v>
      </c>
      <c r="B489" s="1" t="s">
        <v>123</v>
      </c>
      <c r="C489" t="e">
        <v>#N/A</v>
      </c>
      <c r="D489">
        <f t="shared" si="42"/>
        <v>1.9193857965451055E-3</v>
      </c>
      <c r="F489" t="e">
        <v>#N/A</v>
      </c>
      <c r="G489">
        <v>0</v>
      </c>
      <c r="H489">
        <f t="shared" si="43"/>
        <v>0.1</v>
      </c>
      <c r="J489">
        <f t="shared" si="44"/>
        <v>1.9193857965451057E-4</v>
      </c>
      <c r="K489">
        <f t="shared" si="45"/>
        <v>0.36391554702494633</v>
      </c>
      <c r="L489" s="11">
        <f t="shared" si="46"/>
        <v>5.2742616033756105E-4</v>
      </c>
      <c r="M489">
        <f t="shared" si="47"/>
        <v>5.7430080426679369E-3</v>
      </c>
    </row>
    <row r="490" spans="1:13" ht="15">
      <c r="A490" t="s">
        <v>540</v>
      </c>
      <c r="B490" s="1" t="s">
        <v>280</v>
      </c>
      <c r="C490" t="e">
        <v>#N/A</v>
      </c>
      <c r="D490">
        <f t="shared" si="42"/>
        <v>1.9193857965451055E-3</v>
      </c>
      <c r="F490" t="e">
        <v>#N/A</v>
      </c>
      <c r="G490">
        <v>0</v>
      </c>
      <c r="H490">
        <f t="shared" si="43"/>
        <v>0.1</v>
      </c>
      <c r="J490">
        <f t="shared" si="44"/>
        <v>1.9193857965451057E-4</v>
      </c>
      <c r="K490">
        <f t="shared" si="45"/>
        <v>0.36391554702494633</v>
      </c>
      <c r="L490" s="11">
        <f t="shared" si="46"/>
        <v>5.2742616033756105E-4</v>
      </c>
      <c r="M490">
        <f t="shared" si="47"/>
        <v>5.7430080426679369E-3</v>
      </c>
    </row>
    <row r="491" spans="1:13" ht="15">
      <c r="A491" t="s">
        <v>540</v>
      </c>
      <c r="B491" s="1" t="s">
        <v>281</v>
      </c>
      <c r="C491" t="e">
        <v>#N/A</v>
      </c>
      <c r="D491">
        <f t="shared" si="42"/>
        <v>1.9193857965451055E-3</v>
      </c>
      <c r="F491" t="e">
        <v>#N/A</v>
      </c>
      <c r="G491">
        <v>0</v>
      </c>
      <c r="H491">
        <f t="shared" si="43"/>
        <v>0.1</v>
      </c>
      <c r="J491">
        <f t="shared" si="44"/>
        <v>1.9193857965451057E-4</v>
      </c>
      <c r="K491">
        <f t="shared" si="45"/>
        <v>0.36391554702494633</v>
      </c>
      <c r="L491" s="11">
        <f t="shared" si="46"/>
        <v>5.2742616033756105E-4</v>
      </c>
      <c r="M491">
        <f t="shared" si="47"/>
        <v>5.7430080426679369E-3</v>
      </c>
    </row>
    <row r="492" spans="1:13" ht="15">
      <c r="A492" t="s">
        <v>535</v>
      </c>
      <c r="B492" s="1" t="s">
        <v>399</v>
      </c>
      <c r="C492" t="e">
        <v>#N/A</v>
      </c>
      <c r="D492">
        <f t="shared" si="42"/>
        <v>1.9193857965451055E-3</v>
      </c>
      <c r="F492" t="e">
        <v>#N/A</v>
      </c>
      <c r="G492">
        <v>0</v>
      </c>
      <c r="H492">
        <f t="shared" si="43"/>
        <v>0.1</v>
      </c>
      <c r="J492">
        <f t="shared" si="44"/>
        <v>1.9193857965451057E-4</v>
      </c>
      <c r="K492">
        <f t="shared" si="45"/>
        <v>0.36391554702494633</v>
      </c>
      <c r="L492" s="11">
        <f t="shared" si="46"/>
        <v>5.2742616033756105E-4</v>
      </c>
      <c r="M492">
        <f t="shared" si="47"/>
        <v>5.7430080426679369E-3</v>
      </c>
    </row>
    <row r="493" spans="1:13" ht="15">
      <c r="A493" t="s">
        <v>540</v>
      </c>
      <c r="B493" s="1" t="s">
        <v>283</v>
      </c>
      <c r="C493" t="e">
        <v>#N/A</v>
      </c>
      <c r="D493">
        <f t="shared" si="42"/>
        <v>1.9193857965451055E-3</v>
      </c>
      <c r="F493" t="e">
        <v>#N/A</v>
      </c>
      <c r="G493">
        <v>0</v>
      </c>
      <c r="H493">
        <f t="shared" si="43"/>
        <v>0.1</v>
      </c>
      <c r="J493">
        <f t="shared" si="44"/>
        <v>1.9193857965451057E-4</v>
      </c>
      <c r="K493">
        <f t="shared" si="45"/>
        <v>0.36391554702494633</v>
      </c>
      <c r="L493" s="11">
        <f t="shared" si="46"/>
        <v>5.2742616033756105E-4</v>
      </c>
      <c r="M493">
        <f t="shared" si="47"/>
        <v>5.7430080426679369E-3</v>
      </c>
    </row>
    <row r="494" spans="1:13" ht="15">
      <c r="A494" t="s">
        <v>536</v>
      </c>
      <c r="B494" s="1" t="s">
        <v>475</v>
      </c>
      <c r="C494" t="e">
        <v>#N/A</v>
      </c>
      <c r="D494">
        <f t="shared" si="42"/>
        <v>1.9193857965451055E-3</v>
      </c>
      <c r="F494" t="e">
        <v>#N/A</v>
      </c>
      <c r="G494">
        <v>0</v>
      </c>
      <c r="H494">
        <f t="shared" si="43"/>
        <v>0.1</v>
      </c>
      <c r="J494">
        <f t="shared" si="44"/>
        <v>1.9193857965451057E-4</v>
      </c>
      <c r="K494">
        <f t="shared" si="45"/>
        <v>0.36391554702494633</v>
      </c>
      <c r="L494" s="11">
        <f t="shared" si="46"/>
        <v>5.2742616033756105E-4</v>
      </c>
      <c r="M494">
        <f t="shared" si="47"/>
        <v>5.7430080426679369E-3</v>
      </c>
    </row>
    <row r="495" spans="1:13" ht="15">
      <c r="A495" t="s">
        <v>535</v>
      </c>
      <c r="B495" s="1" t="s">
        <v>404</v>
      </c>
      <c r="C495" t="e">
        <v>#N/A</v>
      </c>
      <c r="D495">
        <f t="shared" si="42"/>
        <v>1.9193857965451055E-3</v>
      </c>
      <c r="F495" t="e">
        <v>#N/A</v>
      </c>
      <c r="G495">
        <v>0</v>
      </c>
      <c r="H495">
        <f t="shared" si="43"/>
        <v>0.1</v>
      </c>
      <c r="J495">
        <f t="shared" si="44"/>
        <v>1.9193857965451057E-4</v>
      </c>
      <c r="K495">
        <f t="shared" si="45"/>
        <v>0.36391554702494633</v>
      </c>
      <c r="L495" s="11">
        <f t="shared" si="46"/>
        <v>5.2742616033756105E-4</v>
      </c>
      <c r="M495">
        <f t="shared" si="47"/>
        <v>5.7430080426679369E-3</v>
      </c>
    </row>
    <row r="496" spans="1:13" ht="15">
      <c r="A496" t="s">
        <v>539</v>
      </c>
      <c r="B496" s="1" t="s">
        <v>315</v>
      </c>
      <c r="C496" t="e">
        <v>#N/A</v>
      </c>
      <c r="D496">
        <f t="shared" si="42"/>
        <v>1.9193857965451055E-3</v>
      </c>
      <c r="F496" t="e">
        <v>#N/A</v>
      </c>
      <c r="G496">
        <v>0</v>
      </c>
      <c r="H496">
        <f t="shared" si="43"/>
        <v>0.1</v>
      </c>
      <c r="J496">
        <f t="shared" si="44"/>
        <v>1.9193857965451057E-4</v>
      </c>
      <c r="K496">
        <f t="shared" si="45"/>
        <v>0.36391554702494633</v>
      </c>
      <c r="L496" s="11">
        <f t="shared" si="46"/>
        <v>5.2742616033756105E-4</v>
      </c>
      <c r="M496">
        <f t="shared" si="47"/>
        <v>5.7430080426679369E-3</v>
      </c>
    </row>
    <row r="497" spans="1:13" ht="15">
      <c r="A497" t="s">
        <v>539</v>
      </c>
      <c r="B497" s="1" t="s">
        <v>316</v>
      </c>
      <c r="C497" t="e">
        <v>#N/A</v>
      </c>
      <c r="D497">
        <f t="shared" si="42"/>
        <v>1.9193857965451055E-3</v>
      </c>
      <c r="F497" t="e">
        <v>#N/A</v>
      </c>
      <c r="G497">
        <v>0</v>
      </c>
      <c r="H497">
        <f t="shared" si="43"/>
        <v>0.1</v>
      </c>
      <c r="J497">
        <f t="shared" si="44"/>
        <v>1.9193857965451057E-4</v>
      </c>
      <c r="K497">
        <f t="shared" si="45"/>
        <v>0.36391554702494633</v>
      </c>
      <c r="L497" s="11">
        <f t="shared" si="46"/>
        <v>5.2742616033756105E-4</v>
      </c>
      <c r="M497">
        <f t="shared" si="47"/>
        <v>5.7430080426679369E-3</v>
      </c>
    </row>
    <row r="498" spans="1:13" ht="15">
      <c r="A498" t="s">
        <v>536</v>
      </c>
      <c r="B498" s="1" t="s">
        <v>477</v>
      </c>
      <c r="C498" t="e">
        <v>#N/A</v>
      </c>
      <c r="D498">
        <f t="shared" si="42"/>
        <v>1.9193857965451055E-3</v>
      </c>
      <c r="F498" t="e">
        <v>#N/A</v>
      </c>
      <c r="G498">
        <v>0</v>
      </c>
      <c r="H498">
        <f t="shared" si="43"/>
        <v>0.1</v>
      </c>
      <c r="J498">
        <f t="shared" si="44"/>
        <v>1.9193857965451057E-4</v>
      </c>
      <c r="K498">
        <f t="shared" si="45"/>
        <v>0.36391554702494633</v>
      </c>
      <c r="L498" s="11">
        <f t="shared" si="46"/>
        <v>5.2742616033756105E-4</v>
      </c>
      <c r="M498">
        <f t="shared" si="47"/>
        <v>5.7430080426679369E-3</v>
      </c>
    </row>
    <row r="499" spans="1:13" ht="15">
      <c r="A499" t="s">
        <v>535</v>
      </c>
      <c r="B499" s="1" t="s">
        <v>405</v>
      </c>
      <c r="C499" t="e">
        <v>#N/A</v>
      </c>
      <c r="D499">
        <f t="shared" si="42"/>
        <v>1.9193857965451055E-3</v>
      </c>
      <c r="F499" t="e">
        <v>#N/A</v>
      </c>
      <c r="G499">
        <v>0</v>
      </c>
      <c r="H499">
        <f t="shared" si="43"/>
        <v>0.1</v>
      </c>
      <c r="J499">
        <f t="shared" si="44"/>
        <v>1.9193857965451057E-4</v>
      </c>
      <c r="K499">
        <f t="shared" si="45"/>
        <v>0.36391554702494633</v>
      </c>
      <c r="L499" s="11">
        <f t="shared" si="46"/>
        <v>5.2742616033756105E-4</v>
      </c>
      <c r="M499">
        <f t="shared" si="47"/>
        <v>5.7430080426679369E-3</v>
      </c>
    </row>
    <row r="500" spans="1:13" ht="15">
      <c r="A500" t="s">
        <v>540</v>
      </c>
      <c r="B500" s="1" t="s">
        <v>285</v>
      </c>
      <c r="C500" t="e">
        <v>#N/A</v>
      </c>
      <c r="D500">
        <f t="shared" si="42"/>
        <v>1.9193857965451055E-3</v>
      </c>
      <c r="F500" t="e">
        <v>#N/A</v>
      </c>
      <c r="G500">
        <v>0</v>
      </c>
      <c r="H500">
        <f t="shared" si="43"/>
        <v>0.1</v>
      </c>
      <c r="J500">
        <f t="shared" si="44"/>
        <v>1.9193857965451057E-4</v>
      </c>
      <c r="K500">
        <f t="shared" si="45"/>
        <v>0.36391554702494633</v>
      </c>
      <c r="L500" s="11">
        <f t="shared" si="46"/>
        <v>5.2742616033756105E-4</v>
      </c>
      <c r="M500">
        <f t="shared" si="47"/>
        <v>5.7430080426679369E-3</v>
      </c>
    </row>
    <row r="501" spans="1:13" ht="15">
      <c r="A501" t="s">
        <v>539</v>
      </c>
      <c r="B501" s="1" t="s">
        <v>319</v>
      </c>
      <c r="C501" t="e">
        <v>#N/A</v>
      </c>
      <c r="D501">
        <f t="shared" si="42"/>
        <v>1.9193857965451055E-3</v>
      </c>
      <c r="F501" t="e">
        <v>#N/A</v>
      </c>
      <c r="G501">
        <v>0</v>
      </c>
      <c r="H501">
        <f t="shared" si="43"/>
        <v>0.1</v>
      </c>
      <c r="J501">
        <f t="shared" si="44"/>
        <v>1.9193857965451057E-4</v>
      </c>
      <c r="K501">
        <f t="shared" si="45"/>
        <v>0.36391554702494633</v>
      </c>
      <c r="L501" s="11">
        <f t="shared" si="46"/>
        <v>5.2742616033756105E-4</v>
      </c>
      <c r="M501">
        <f t="shared" si="47"/>
        <v>5.7430080426679369E-3</v>
      </c>
    </row>
    <row r="502" spans="1:13" ht="15">
      <c r="A502" t="s">
        <v>536</v>
      </c>
      <c r="B502" s="1" t="s">
        <v>480</v>
      </c>
      <c r="C502" t="e">
        <v>#N/A</v>
      </c>
      <c r="D502">
        <f t="shared" si="42"/>
        <v>1.9193857965451055E-3</v>
      </c>
      <c r="F502" t="e">
        <v>#N/A</v>
      </c>
      <c r="G502">
        <v>0</v>
      </c>
      <c r="H502">
        <f t="shared" si="43"/>
        <v>0.1</v>
      </c>
      <c r="J502">
        <f t="shared" si="44"/>
        <v>1.9193857965451057E-4</v>
      </c>
      <c r="K502">
        <f t="shared" si="45"/>
        <v>0.36391554702494633</v>
      </c>
      <c r="L502" s="11">
        <f t="shared" si="46"/>
        <v>5.2742616033756105E-4</v>
      </c>
      <c r="M502">
        <f t="shared" si="47"/>
        <v>5.7430080426679369E-3</v>
      </c>
    </row>
    <row r="503" spans="1:13" ht="15">
      <c r="A503" t="s">
        <v>534</v>
      </c>
      <c r="B503" s="1" t="s">
        <v>128</v>
      </c>
      <c r="C503" t="e">
        <v>#N/A</v>
      </c>
      <c r="D503">
        <f t="shared" si="42"/>
        <v>1.9193857965451055E-3</v>
      </c>
      <c r="F503" t="e">
        <v>#N/A</v>
      </c>
      <c r="G503">
        <v>0</v>
      </c>
      <c r="H503">
        <f t="shared" si="43"/>
        <v>0.1</v>
      </c>
      <c r="J503">
        <f t="shared" si="44"/>
        <v>1.9193857965451057E-4</v>
      </c>
      <c r="K503">
        <f t="shared" si="45"/>
        <v>0.36391554702494633</v>
      </c>
      <c r="L503" s="11">
        <f t="shared" si="46"/>
        <v>5.2742616033756105E-4</v>
      </c>
      <c r="M503">
        <f t="shared" si="47"/>
        <v>5.7430080426679369E-3</v>
      </c>
    </row>
    <row r="504" spans="1:13" ht="15">
      <c r="A504" t="s">
        <v>542</v>
      </c>
      <c r="B504" s="1" t="s">
        <v>502</v>
      </c>
      <c r="C504" t="e">
        <v>#N/A</v>
      </c>
      <c r="D504">
        <f t="shared" si="42"/>
        <v>1.9193857965451055E-3</v>
      </c>
      <c r="F504" t="e">
        <v>#N/A</v>
      </c>
      <c r="G504">
        <v>0</v>
      </c>
      <c r="H504">
        <f t="shared" si="43"/>
        <v>0.1</v>
      </c>
      <c r="J504">
        <f t="shared" si="44"/>
        <v>1.9193857965451057E-4</v>
      </c>
      <c r="K504">
        <f t="shared" si="45"/>
        <v>0.36391554702494633</v>
      </c>
      <c r="L504" s="11">
        <f t="shared" si="46"/>
        <v>5.2742616033756105E-4</v>
      </c>
      <c r="M504">
        <f t="shared" si="47"/>
        <v>5.7430080426679369E-3</v>
      </c>
    </row>
    <row r="505" spans="1:13" ht="15">
      <c r="A505" t="s">
        <v>534</v>
      </c>
      <c r="B505" s="1" t="s">
        <v>131</v>
      </c>
      <c r="C505" t="e">
        <v>#N/A</v>
      </c>
      <c r="D505">
        <f t="shared" si="42"/>
        <v>1.9193857965451055E-3</v>
      </c>
      <c r="F505" t="e">
        <v>#N/A</v>
      </c>
      <c r="G505">
        <v>0</v>
      </c>
      <c r="H505">
        <f t="shared" si="43"/>
        <v>0.1</v>
      </c>
      <c r="J505">
        <f t="shared" si="44"/>
        <v>1.9193857965451057E-4</v>
      </c>
      <c r="K505">
        <f t="shared" si="45"/>
        <v>0.36391554702494633</v>
      </c>
      <c r="L505" s="11">
        <f t="shared" si="46"/>
        <v>5.2742616033756105E-4</v>
      </c>
      <c r="M505">
        <f t="shared" si="47"/>
        <v>5.7430080426679369E-3</v>
      </c>
    </row>
    <row r="506" spans="1:13" ht="15">
      <c r="A506" t="s">
        <v>534</v>
      </c>
      <c r="B506" s="1" t="s">
        <v>132</v>
      </c>
      <c r="C506" t="e">
        <v>#N/A</v>
      </c>
      <c r="D506">
        <f t="shared" si="42"/>
        <v>1.9193857965451055E-3</v>
      </c>
      <c r="F506" t="e">
        <v>#N/A</v>
      </c>
      <c r="G506">
        <v>0</v>
      </c>
      <c r="H506">
        <f t="shared" si="43"/>
        <v>0.1</v>
      </c>
      <c r="J506">
        <f t="shared" si="44"/>
        <v>1.9193857965451057E-4</v>
      </c>
      <c r="K506">
        <f t="shared" si="45"/>
        <v>0.36391554702494633</v>
      </c>
      <c r="L506" s="11">
        <f t="shared" si="46"/>
        <v>5.2742616033756105E-4</v>
      </c>
      <c r="M506">
        <f t="shared" si="47"/>
        <v>5.7430080426679369E-3</v>
      </c>
    </row>
    <row r="507" spans="1:13" ht="15">
      <c r="A507" t="s">
        <v>534</v>
      </c>
      <c r="B507" s="1" t="s">
        <v>133</v>
      </c>
      <c r="C507" t="e">
        <v>#N/A</v>
      </c>
      <c r="D507">
        <f t="shared" si="42"/>
        <v>1.9193857965451055E-3</v>
      </c>
      <c r="F507" t="e">
        <v>#N/A</v>
      </c>
      <c r="G507">
        <v>0</v>
      </c>
      <c r="H507">
        <f t="shared" si="43"/>
        <v>0.1</v>
      </c>
      <c r="J507">
        <f t="shared" si="44"/>
        <v>1.9193857965451057E-4</v>
      </c>
      <c r="K507">
        <f t="shared" si="45"/>
        <v>0.36391554702494633</v>
      </c>
      <c r="L507" s="11">
        <f t="shared" si="46"/>
        <v>5.2742616033756105E-4</v>
      </c>
      <c r="M507">
        <f t="shared" si="47"/>
        <v>5.7430080426679369E-3</v>
      </c>
    </row>
    <row r="508" spans="1:13" ht="15">
      <c r="A508" t="s">
        <v>534</v>
      </c>
      <c r="B508" s="1" t="s">
        <v>134</v>
      </c>
      <c r="C508" t="e">
        <v>#N/A</v>
      </c>
      <c r="D508">
        <f t="shared" si="42"/>
        <v>1.9193857965451055E-3</v>
      </c>
      <c r="F508" t="e">
        <v>#N/A</v>
      </c>
      <c r="G508">
        <v>0</v>
      </c>
      <c r="H508">
        <f t="shared" si="43"/>
        <v>0.1</v>
      </c>
      <c r="J508">
        <f t="shared" si="44"/>
        <v>1.9193857965451057E-4</v>
      </c>
      <c r="K508">
        <f t="shared" si="45"/>
        <v>0.36391554702494633</v>
      </c>
      <c r="L508" s="11">
        <f t="shared" si="46"/>
        <v>5.2742616033756105E-4</v>
      </c>
      <c r="M508">
        <f t="shared" si="47"/>
        <v>5.7430080426679369E-3</v>
      </c>
    </row>
    <row r="509" spans="1:13">
      <c r="A509" t="s">
        <v>534</v>
      </c>
      <c r="B509" s="2" t="s">
        <v>137</v>
      </c>
      <c r="C509" t="e">
        <v>#N/A</v>
      </c>
      <c r="D509">
        <f t="shared" si="42"/>
        <v>1.9193857965451055E-3</v>
      </c>
      <c r="F509" t="e">
        <v>#N/A</v>
      </c>
      <c r="G509">
        <v>0</v>
      </c>
      <c r="H509">
        <f t="shared" si="43"/>
        <v>0.1</v>
      </c>
      <c r="J509">
        <f t="shared" si="44"/>
        <v>1.9193857965451057E-4</v>
      </c>
      <c r="K509">
        <f t="shared" si="45"/>
        <v>0.36391554702494633</v>
      </c>
      <c r="L509" s="11">
        <f t="shared" si="46"/>
        <v>5.2742616033756105E-4</v>
      </c>
      <c r="M509">
        <f t="shared" si="47"/>
        <v>5.7430080426679369E-3</v>
      </c>
    </row>
    <row r="510" spans="1:13" ht="15">
      <c r="A510" t="s">
        <v>534</v>
      </c>
      <c r="B510" s="1" t="s">
        <v>135</v>
      </c>
      <c r="C510" t="e">
        <v>#N/A</v>
      </c>
      <c r="D510">
        <f t="shared" si="42"/>
        <v>1.9193857965451055E-3</v>
      </c>
      <c r="F510" t="e">
        <v>#N/A</v>
      </c>
      <c r="G510">
        <v>0</v>
      </c>
      <c r="H510">
        <f t="shared" si="43"/>
        <v>0.1</v>
      </c>
      <c r="J510">
        <f t="shared" si="44"/>
        <v>1.9193857965451057E-4</v>
      </c>
      <c r="K510">
        <f t="shared" si="45"/>
        <v>0.36391554702494633</v>
      </c>
      <c r="L510" s="11">
        <f t="shared" si="46"/>
        <v>5.2742616033756105E-4</v>
      </c>
      <c r="M510">
        <f t="shared" si="47"/>
        <v>5.7430080426679369E-3</v>
      </c>
    </row>
    <row r="511" spans="1:13" ht="15">
      <c r="A511" t="s">
        <v>538</v>
      </c>
      <c r="B511" s="1" t="s">
        <v>145</v>
      </c>
      <c r="C511" t="e">
        <v>#N/A</v>
      </c>
      <c r="D511">
        <f t="shared" si="42"/>
        <v>1.9193857965451055E-3</v>
      </c>
      <c r="F511" t="e">
        <v>#N/A</v>
      </c>
      <c r="G511">
        <v>0</v>
      </c>
      <c r="H511">
        <f t="shared" si="43"/>
        <v>0.1</v>
      </c>
      <c r="J511">
        <f t="shared" si="44"/>
        <v>1.9193857965451057E-4</v>
      </c>
      <c r="K511">
        <f t="shared" si="45"/>
        <v>0.36391554702494633</v>
      </c>
      <c r="L511" s="11">
        <f t="shared" si="46"/>
        <v>5.2742616033756105E-4</v>
      </c>
      <c r="M511">
        <f t="shared" si="47"/>
        <v>5.7430080426679369E-3</v>
      </c>
    </row>
    <row r="512" spans="1:13" ht="15">
      <c r="A512" t="s">
        <v>538</v>
      </c>
      <c r="B512" s="1" t="s">
        <v>146</v>
      </c>
      <c r="C512" t="e">
        <v>#N/A</v>
      </c>
      <c r="D512">
        <f t="shared" si="42"/>
        <v>1.9193857965451055E-3</v>
      </c>
      <c r="F512" t="e">
        <v>#N/A</v>
      </c>
      <c r="G512">
        <v>0</v>
      </c>
      <c r="H512">
        <f t="shared" si="43"/>
        <v>0.1</v>
      </c>
      <c r="J512">
        <f t="shared" si="44"/>
        <v>1.9193857965451057E-4</v>
      </c>
      <c r="K512">
        <f t="shared" si="45"/>
        <v>0.36391554702494633</v>
      </c>
      <c r="L512" s="11">
        <f t="shared" si="46"/>
        <v>5.2742616033756105E-4</v>
      </c>
      <c r="M512">
        <f t="shared" si="47"/>
        <v>5.7430080426679369E-3</v>
      </c>
    </row>
    <row r="513" spans="1:13" ht="15">
      <c r="A513" t="s">
        <v>534</v>
      </c>
      <c r="B513" s="1" t="s">
        <v>136</v>
      </c>
      <c r="C513" t="e">
        <v>#N/A</v>
      </c>
      <c r="D513">
        <f t="shared" si="42"/>
        <v>1.9193857965451055E-3</v>
      </c>
      <c r="F513" t="e">
        <v>#N/A</v>
      </c>
      <c r="G513">
        <v>0</v>
      </c>
      <c r="H513">
        <f t="shared" si="43"/>
        <v>0.1</v>
      </c>
      <c r="J513">
        <f t="shared" si="44"/>
        <v>1.9193857965451057E-4</v>
      </c>
      <c r="K513">
        <f t="shared" si="45"/>
        <v>0.36391554702494633</v>
      </c>
      <c r="L513" s="11">
        <f t="shared" si="46"/>
        <v>5.2742616033756105E-4</v>
      </c>
      <c r="M513">
        <f t="shared" si="47"/>
        <v>5.7430080426679369E-3</v>
      </c>
    </row>
    <row r="514" spans="1:13" ht="15">
      <c r="A514" t="s">
        <v>535</v>
      </c>
      <c r="B514" s="1" t="s">
        <v>408</v>
      </c>
      <c r="C514" t="e">
        <v>#N/A</v>
      </c>
      <c r="D514">
        <f t="shared" ref="D514:D522" si="48">1/521</f>
        <v>1.9193857965451055E-3</v>
      </c>
      <c r="F514" t="e">
        <v>#N/A</v>
      </c>
      <c r="G514">
        <v>0</v>
      </c>
      <c r="H514">
        <f t="shared" ref="H514:H522" si="49">IF(G514&gt;1,0.95,IF(G514&lt;0.6, 0.1, 0.7))</f>
        <v>0.1</v>
      </c>
      <c r="J514">
        <f t="shared" si="44"/>
        <v>1.9193857965451057E-4</v>
      </c>
      <c r="K514">
        <f t="shared" si="45"/>
        <v>0.36391554702494633</v>
      </c>
      <c r="L514" s="11">
        <f t="shared" si="46"/>
        <v>5.2742616033756105E-4</v>
      </c>
      <c r="M514">
        <f t="shared" si="47"/>
        <v>5.7430080426679369E-3</v>
      </c>
    </row>
    <row r="515" spans="1:13" ht="15">
      <c r="A515" t="s">
        <v>535</v>
      </c>
      <c r="B515" s="1" t="s">
        <v>410</v>
      </c>
      <c r="C515" t="e">
        <v>#N/A</v>
      </c>
      <c r="D515">
        <f t="shared" si="48"/>
        <v>1.9193857965451055E-3</v>
      </c>
      <c r="F515" t="e">
        <v>#N/A</v>
      </c>
      <c r="G515">
        <v>0</v>
      </c>
      <c r="H515">
        <f t="shared" si="49"/>
        <v>0.1</v>
      </c>
      <c r="J515">
        <f t="shared" ref="J515:J522" si="50">D515*H515</f>
        <v>1.9193857965451057E-4</v>
      </c>
      <c r="K515">
        <f t="shared" ref="K515:K522" si="51">SUM(J$2:J$523)</f>
        <v>0.36391554702494633</v>
      </c>
      <c r="L515" s="11">
        <f t="shared" ref="L515:L522" si="52">J515/K515</f>
        <v>5.2742616033756105E-4</v>
      </c>
      <c r="M515">
        <f t="shared" ref="M515:M522" si="53">L515*-LOG(L515,2)</f>
        <v>5.7430080426679369E-3</v>
      </c>
    </row>
    <row r="516" spans="1:13" ht="15">
      <c r="A516" t="s">
        <v>536</v>
      </c>
      <c r="B516" s="1" t="s">
        <v>482</v>
      </c>
      <c r="C516" t="e">
        <v>#N/A</v>
      </c>
      <c r="D516">
        <f t="shared" si="48"/>
        <v>1.9193857965451055E-3</v>
      </c>
      <c r="F516" t="e">
        <v>#N/A</v>
      </c>
      <c r="G516">
        <v>0</v>
      </c>
      <c r="H516">
        <f t="shared" si="49"/>
        <v>0.1</v>
      </c>
      <c r="J516">
        <f t="shared" si="50"/>
        <v>1.9193857965451057E-4</v>
      </c>
      <c r="K516">
        <f t="shared" si="51"/>
        <v>0.36391554702494633</v>
      </c>
      <c r="L516" s="11">
        <f t="shared" si="52"/>
        <v>5.2742616033756105E-4</v>
      </c>
      <c r="M516">
        <f t="shared" si="53"/>
        <v>5.7430080426679369E-3</v>
      </c>
    </row>
    <row r="517" spans="1:13" ht="15">
      <c r="A517" t="s">
        <v>536</v>
      </c>
      <c r="B517" s="1" t="s">
        <v>485</v>
      </c>
      <c r="C517" t="e">
        <v>#N/A</v>
      </c>
      <c r="D517">
        <f t="shared" si="48"/>
        <v>1.9193857965451055E-3</v>
      </c>
      <c r="F517" t="e">
        <v>#N/A</v>
      </c>
      <c r="G517">
        <v>0</v>
      </c>
      <c r="H517">
        <f t="shared" si="49"/>
        <v>0.1</v>
      </c>
      <c r="J517">
        <f t="shared" si="50"/>
        <v>1.9193857965451057E-4</v>
      </c>
      <c r="K517">
        <f t="shared" si="51"/>
        <v>0.36391554702494633</v>
      </c>
      <c r="L517" s="11">
        <f t="shared" si="52"/>
        <v>5.2742616033756105E-4</v>
      </c>
      <c r="M517">
        <f t="shared" si="53"/>
        <v>5.7430080426679369E-3</v>
      </c>
    </row>
    <row r="518" spans="1:13" ht="15">
      <c r="A518" t="s">
        <v>536</v>
      </c>
      <c r="B518" s="1" t="s">
        <v>486</v>
      </c>
      <c r="C518" t="e">
        <v>#N/A</v>
      </c>
      <c r="D518">
        <f t="shared" si="48"/>
        <v>1.9193857965451055E-3</v>
      </c>
      <c r="F518" t="e">
        <v>#N/A</v>
      </c>
      <c r="G518">
        <v>0</v>
      </c>
      <c r="H518">
        <f t="shared" si="49"/>
        <v>0.1</v>
      </c>
      <c r="J518">
        <f t="shared" si="50"/>
        <v>1.9193857965451057E-4</v>
      </c>
      <c r="K518">
        <f t="shared" si="51"/>
        <v>0.36391554702494633</v>
      </c>
      <c r="L518" s="11">
        <f t="shared" si="52"/>
        <v>5.2742616033756105E-4</v>
      </c>
      <c r="M518">
        <f t="shared" si="53"/>
        <v>5.7430080426679369E-3</v>
      </c>
    </row>
    <row r="519" spans="1:13" ht="15">
      <c r="A519" t="s">
        <v>536</v>
      </c>
      <c r="B519" s="1" t="s">
        <v>488</v>
      </c>
      <c r="C519" t="e">
        <v>#N/A</v>
      </c>
      <c r="D519">
        <f t="shared" si="48"/>
        <v>1.9193857965451055E-3</v>
      </c>
      <c r="F519" t="e">
        <v>#N/A</v>
      </c>
      <c r="G519">
        <v>0</v>
      </c>
      <c r="H519">
        <f t="shared" si="49"/>
        <v>0.1</v>
      </c>
      <c r="J519">
        <f t="shared" si="50"/>
        <v>1.9193857965451057E-4</v>
      </c>
      <c r="K519">
        <f t="shared" si="51"/>
        <v>0.36391554702494633</v>
      </c>
      <c r="L519" s="11">
        <f t="shared" si="52"/>
        <v>5.2742616033756105E-4</v>
      </c>
      <c r="M519">
        <f t="shared" si="53"/>
        <v>5.7430080426679369E-3</v>
      </c>
    </row>
    <row r="520" spans="1:13" ht="15">
      <c r="A520" t="s">
        <v>536</v>
      </c>
      <c r="B520" s="1" t="s">
        <v>490</v>
      </c>
      <c r="C520" t="e">
        <v>#N/A</v>
      </c>
      <c r="D520">
        <f t="shared" si="48"/>
        <v>1.9193857965451055E-3</v>
      </c>
      <c r="F520" t="e">
        <v>#N/A</v>
      </c>
      <c r="G520">
        <v>0</v>
      </c>
      <c r="H520">
        <f t="shared" si="49"/>
        <v>0.1</v>
      </c>
      <c r="J520">
        <f t="shared" si="50"/>
        <v>1.9193857965451057E-4</v>
      </c>
      <c r="K520">
        <f t="shared" si="51"/>
        <v>0.36391554702494633</v>
      </c>
      <c r="L520" s="11">
        <f t="shared" si="52"/>
        <v>5.2742616033756105E-4</v>
      </c>
      <c r="M520">
        <f t="shared" si="53"/>
        <v>5.7430080426679369E-3</v>
      </c>
    </row>
    <row r="521" spans="1:13" ht="15">
      <c r="A521" t="s">
        <v>536</v>
      </c>
      <c r="B521" s="1" t="s">
        <v>491</v>
      </c>
      <c r="C521" t="e">
        <v>#N/A</v>
      </c>
      <c r="D521">
        <f t="shared" si="48"/>
        <v>1.9193857965451055E-3</v>
      </c>
      <c r="F521" t="e">
        <v>#N/A</v>
      </c>
      <c r="G521">
        <v>0</v>
      </c>
      <c r="H521">
        <f t="shared" si="49"/>
        <v>0.1</v>
      </c>
      <c r="J521">
        <f t="shared" si="50"/>
        <v>1.9193857965451057E-4</v>
      </c>
      <c r="K521">
        <f t="shared" si="51"/>
        <v>0.36391554702494633</v>
      </c>
      <c r="L521" s="11">
        <f t="shared" si="52"/>
        <v>5.2742616033756105E-4</v>
      </c>
      <c r="M521">
        <f t="shared" si="53"/>
        <v>5.7430080426679369E-3</v>
      </c>
    </row>
    <row r="522" spans="1:13" ht="15">
      <c r="A522" t="s">
        <v>535</v>
      </c>
      <c r="B522" s="1" t="s">
        <v>412</v>
      </c>
      <c r="C522" t="e">
        <v>#N/A</v>
      </c>
      <c r="D522">
        <f t="shared" si="48"/>
        <v>1.9193857965451055E-3</v>
      </c>
      <c r="F522" t="e">
        <v>#N/A</v>
      </c>
      <c r="G522">
        <v>0</v>
      </c>
      <c r="H522">
        <f t="shared" si="49"/>
        <v>0.1</v>
      </c>
      <c r="J522">
        <f t="shared" si="50"/>
        <v>1.9193857965451057E-4</v>
      </c>
      <c r="K522">
        <f t="shared" si="51"/>
        <v>0.36391554702494633</v>
      </c>
      <c r="L522" s="11">
        <f t="shared" si="52"/>
        <v>5.2742616033756105E-4</v>
      </c>
      <c r="M522">
        <f t="shared" si="53"/>
        <v>5.7430080426679369E-3</v>
      </c>
    </row>
    <row r="523" spans="1:13">
      <c r="B523" s="2"/>
      <c r="L523" s="11"/>
    </row>
  </sheetData>
  <sortState ref="A2:H2113">
    <sortCondition descending="1" ref="G1"/>
  </sortState>
  <hyperlinks>
    <hyperlink ref="B343" r:id="rId1" display="http://www.uniprot.org/uniprot/Q8WTQ7"/>
    <hyperlink ref="B336" r:id="rId2" display="http://www.uniprot.org/uniprot/Q8C0V7"/>
    <hyperlink ref="B337" r:id="rId3" display="http://www.uniprot.org/uniprot/Q8C0N0"/>
    <hyperlink ref="B338" r:id="rId4" display="http://www.uniprot.org/uniprot/A0AUV4"/>
    <hyperlink ref="B446" r:id="rId5" display="http://www.uniprot.org/uniprot/Q96QS6"/>
    <hyperlink ref="B481" r:id="rId6" display="http://www.uniprot.org/uniprot/Q9UEE5"/>
    <hyperlink ref="B473" r:id="rId7" display="http://www.uniprot.org/uniprot/Q9QYZ6"/>
    <hyperlink ref="B474" r:id="rId8" display="http://www.uniprot.org/uniprot/Q9QYZ3"/>
    <hyperlink ref="B475" r:id="rId9" display="http://www.uniprot.org/uniprot/Q9QYZ5"/>
    <hyperlink ref="B509" r:id="rId10" display="http://www.uniprot.org/uniprot/Q8C1R0"/>
    <hyperlink ref="B300" r:id="rId11" display="http://www.uniprot.org/uniprot/Q8N752"/>
    <hyperlink ref="B285" r:id="rId12" display="http://www.uniprot.org/uniprot/Q9UQ88"/>
    <hyperlink ref="B345" r:id="rId13" display="http://www.uniprot.org/uniprot/Q02846"/>
    <hyperlink ref="B346" r:id="rId14" display="http://www.uniprot.org/uniprot/P52785"/>
    <hyperlink ref="B348" r:id="rId15" display="http://www.uniprot.org/uniprot/Q6TL19"/>
    <hyperlink ref="B472" r:id="rId16" display="http://www.uniprot.org/uniprot/Q9QYZ4"/>
    <hyperlink ref="B476" r:id="rId17" display="http://www.uniprot.org/uniprot/A0JLX3"/>
    <hyperlink ref="B477" r:id="rId18" display="http://www.uniprot.org/uniprot/A2KF29"/>
    <hyperlink ref="B301" r:id="rId19" display="http://www.uniprot.org/uniprot/Q8NEV1"/>
  </hyperlinks>
  <pageMargins left="0.7" right="0.7" top="0.75" bottom="0.75" header="0.3" footer="0.3"/>
  <pageSetup orientation="portrait" horizontalDpi="0" verticalDpi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23"/>
  <sheetViews>
    <sheetView workbookViewId="0">
      <pane ySplit="1" topLeftCell="A2" activePane="bottomLeft" state="frozen"/>
      <selection pane="bottomLeft" activeCell="F3" sqref="F3"/>
    </sheetView>
  </sheetViews>
  <sheetFormatPr baseColWidth="10" defaultColWidth="8.83203125" defaultRowHeight="14" x14ac:dyDescent="0"/>
  <cols>
    <col min="2" max="2" width="11.83203125" customWidth="1"/>
    <col min="3" max="3" width="10.5" style="8" customWidth="1"/>
    <col min="4" max="4" width="10.1640625" style="10" customWidth="1"/>
    <col min="5" max="5" width="11.33203125" style="10" customWidth="1"/>
    <col min="6" max="6" width="12.1640625" customWidth="1"/>
    <col min="7" max="7" width="11.5" style="10" customWidth="1"/>
    <col min="9" max="9" width="11.1640625" style="10" customWidth="1"/>
    <col min="10" max="10" width="12.33203125" customWidth="1"/>
    <col min="11" max="11" width="11.5" bestFit="1" customWidth="1"/>
    <col min="16" max="16" width="14.6640625" customWidth="1"/>
  </cols>
  <sheetData>
    <row r="1" spans="1:16" s="6" customFormat="1" ht="47">
      <c r="A1" s="5" t="s">
        <v>523</v>
      </c>
      <c r="B1" s="5" t="s">
        <v>520</v>
      </c>
      <c r="C1" s="7" t="s">
        <v>544</v>
      </c>
      <c r="D1" s="9" t="s">
        <v>544</v>
      </c>
      <c r="E1" s="9" t="s">
        <v>610</v>
      </c>
      <c r="F1" s="9" t="s">
        <v>611</v>
      </c>
      <c r="G1" s="9" t="s">
        <v>612</v>
      </c>
      <c r="H1" s="6" t="s">
        <v>526</v>
      </c>
      <c r="I1" s="9" t="s">
        <v>527</v>
      </c>
      <c r="J1" s="9" t="s">
        <v>613</v>
      </c>
      <c r="K1" s="6" t="s">
        <v>614</v>
      </c>
      <c r="P1" s="22" t="s">
        <v>910</v>
      </c>
    </row>
    <row r="2" spans="1:16" ht="15">
      <c r="A2" t="s">
        <v>536</v>
      </c>
      <c r="B2" s="1" t="s">
        <v>413</v>
      </c>
      <c r="C2" s="8" t="s">
        <v>627</v>
      </c>
      <c r="D2" s="10" t="s">
        <v>627</v>
      </c>
      <c r="E2" s="10">
        <v>0.95</v>
      </c>
      <c r="F2" s="11">
        <f>VLOOKUP(B2,Transcriptome!B:L,11,FALSE)</f>
        <v>5.0105485232068295E-3</v>
      </c>
      <c r="G2" s="10">
        <f t="shared" ref="G2:G65" si="0">E2*F2</f>
        <v>4.7600210970464877E-3</v>
      </c>
      <c r="H2">
        <f t="shared" ref="H2:H65" si="1">SUM($G$2:$G$522)</f>
        <v>0.85150316455697839</v>
      </c>
      <c r="I2" s="10">
        <f t="shared" ref="I2:I65" si="2">G2/H2</f>
        <v>5.5901390566446578E-3</v>
      </c>
      <c r="J2">
        <f t="shared" ref="J2:J65" si="3">-I2*LOG(I2,2)</f>
        <v>4.1830452182054029E-2</v>
      </c>
      <c r="K2" s="10">
        <f t="shared" ref="K2:K65" si="4">SUM($J$2:$J$522)</f>
        <v>8.2281845337371173</v>
      </c>
    </row>
    <row r="3" spans="1:16" ht="15">
      <c r="A3" t="s">
        <v>535</v>
      </c>
      <c r="B3" s="1" t="s">
        <v>321</v>
      </c>
      <c r="C3" s="8" t="s">
        <v>693</v>
      </c>
      <c r="D3" s="10" t="s">
        <v>693</v>
      </c>
      <c r="E3" s="10">
        <v>0.95</v>
      </c>
      <c r="F3" s="11">
        <f>VLOOKUP(B3,Transcriptome!B:L,11,FALSE)</f>
        <v>3.6919831223629265E-3</v>
      </c>
      <c r="G3" s="10">
        <f t="shared" si="0"/>
        <v>3.5073839662447801E-3</v>
      </c>
      <c r="H3">
        <f t="shared" si="1"/>
        <v>0.85150316455697839</v>
      </c>
      <c r="I3" s="10">
        <f t="shared" si="2"/>
        <v>4.1190498312118524E-3</v>
      </c>
      <c r="J3">
        <f t="shared" si="3"/>
        <v>3.2637178908119534E-2</v>
      </c>
      <c r="K3" s="10">
        <f t="shared" si="4"/>
        <v>8.2281845337371173</v>
      </c>
    </row>
    <row r="4" spans="1:16" ht="15">
      <c r="A4" t="s">
        <v>535</v>
      </c>
      <c r="B4" s="1" t="s">
        <v>322</v>
      </c>
      <c r="C4" s="8" t="s">
        <v>895</v>
      </c>
      <c r="D4" s="10" t="s">
        <v>895</v>
      </c>
      <c r="E4" s="10">
        <v>0.95</v>
      </c>
      <c r="F4" s="11">
        <f>VLOOKUP(B4,Transcriptome!B:L,11,FALSE)</f>
        <v>3.6919831223629265E-3</v>
      </c>
      <c r="G4" s="10">
        <f t="shared" si="0"/>
        <v>3.5073839662447801E-3</v>
      </c>
      <c r="H4">
        <f t="shared" si="1"/>
        <v>0.85150316455697839</v>
      </c>
      <c r="I4" s="10">
        <f t="shared" si="2"/>
        <v>4.1190498312118524E-3</v>
      </c>
      <c r="J4">
        <f t="shared" si="3"/>
        <v>3.2637178908119534E-2</v>
      </c>
      <c r="K4" s="10">
        <f t="shared" si="4"/>
        <v>8.2281845337371173</v>
      </c>
    </row>
    <row r="5" spans="1:16" ht="15">
      <c r="A5" t="s">
        <v>539</v>
      </c>
      <c r="B5" s="1" t="s">
        <v>289</v>
      </c>
      <c r="C5" s="8" t="s">
        <v>628</v>
      </c>
      <c r="D5" s="10" t="s">
        <v>628</v>
      </c>
      <c r="E5" s="10">
        <v>0.95</v>
      </c>
      <c r="F5" s="11">
        <f>VLOOKUP(B5,Transcriptome!B:L,11,FALSE)</f>
        <v>5.0105485232068295E-3</v>
      </c>
      <c r="G5" s="10">
        <f t="shared" si="0"/>
        <v>4.7600210970464877E-3</v>
      </c>
      <c r="H5">
        <f t="shared" si="1"/>
        <v>0.85150316455697839</v>
      </c>
      <c r="I5" s="10">
        <f t="shared" si="2"/>
        <v>5.5901390566446578E-3</v>
      </c>
      <c r="J5">
        <f t="shared" si="3"/>
        <v>4.1830452182054029E-2</v>
      </c>
      <c r="K5" s="10">
        <f t="shared" si="4"/>
        <v>8.2281845337371173</v>
      </c>
    </row>
    <row r="6" spans="1:16" ht="15">
      <c r="A6" t="s">
        <v>542</v>
      </c>
      <c r="B6" s="1" t="s">
        <v>493</v>
      </c>
      <c r="C6" s="8" t="s">
        <v>730</v>
      </c>
      <c r="D6" s="10" t="s">
        <v>730</v>
      </c>
      <c r="E6" s="10">
        <v>0.95</v>
      </c>
      <c r="F6" s="11">
        <f>VLOOKUP(B6,Transcriptome!B:L,11,FALSE)</f>
        <v>5.2742616033756105E-4</v>
      </c>
      <c r="G6" s="10">
        <f t="shared" si="0"/>
        <v>5.0105485232068302E-4</v>
      </c>
      <c r="H6">
        <f t="shared" si="1"/>
        <v>0.85150316455697839</v>
      </c>
      <c r="I6" s="10">
        <f t="shared" si="2"/>
        <v>5.8843569017312199E-4</v>
      </c>
      <c r="J6">
        <f t="shared" si="3"/>
        <v>6.3144019608532415E-3</v>
      </c>
      <c r="K6" s="10">
        <f t="shared" si="4"/>
        <v>8.2281845337371173</v>
      </c>
    </row>
    <row r="7" spans="1:16" ht="15">
      <c r="A7" t="s">
        <v>542</v>
      </c>
      <c r="B7" s="1" t="s">
        <v>497</v>
      </c>
      <c r="C7" s="8" t="s">
        <v>694</v>
      </c>
      <c r="D7" s="10" t="s">
        <v>694</v>
      </c>
      <c r="E7" s="10">
        <v>0.95</v>
      </c>
      <c r="F7" s="11">
        <f>VLOOKUP(B7,Transcriptome!B:L,11,FALSE)</f>
        <v>3.6919831223629265E-3</v>
      </c>
      <c r="G7" s="10">
        <f t="shared" si="0"/>
        <v>3.5073839662447801E-3</v>
      </c>
      <c r="H7">
        <f t="shared" si="1"/>
        <v>0.85150316455697839</v>
      </c>
      <c r="I7" s="10">
        <f t="shared" si="2"/>
        <v>4.1190498312118524E-3</v>
      </c>
      <c r="J7">
        <f t="shared" si="3"/>
        <v>3.2637178908119534E-2</v>
      </c>
      <c r="K7" s="10">
        <f t="shared" si="4"/>
        <v>8.2281845337371173</v>
      </c>
    </row>
    <row r="8" spans="1:16" ht="15">
      <c r="A8" t="s">
        <v>524</v>
      </c>
      <c r="B8" s="1" t="s">
        <v>0</v>
      </c>
      <c r="C8" s="8" t="s">
        <v>695</v>
      </c>
      <c r="D8" s="10" t="s">
        <v>695</v>
      </c>
      <c r="E8" s="10">
        <v>0.95</v>
      </c>
      <c r="F8" s="11">
        <f>VLOOKUP(B8,Transcriptome!B:L,11,FALSE)</f>
        <v>3.6919831223629265E-3</v>
      </c>
      <c r="G8" s="10">
        <f t="shared" si="0"/>
        <v>3.5073839662447801E-3</v>
      </c>
      <c r="H8">
        <f t="shared" si="1"/>
        <v>0.85150316455697839</v>
      </c>
      <c r="I8" s="10">
        <f t="shared" si="2"/>
        <v>4.1190498312118524E-3</v>
      </c>
      <c r="J8">
        <f t="shared" si="3"/>
        <v>3.2637178908119534E-2</v>
      </c>
      <c r="K8" s="10">
        <f t="shared" si="4"/>
        <v>8.2281845337371173</v>
      </c>
    </row>
    <row r="9" spans="1:16" ht="15">
      <c r="A9" t="s">
        <v>524</v>
      </c>
      <c r="B9" s="1" t="s">
        <v>1</v>
      </c>
      <c r="C9" s="8" t="s">
        <v>731</v>
      </c>
      <c r="D9" s="10" t="s">
        <v>731</v>
      </c>
      <c r="E9" s="10">
        <v>0.95</v>
      </c>
      <c r="F9" s="11">
        <f>VLOOKUP(B9,Transcriptome!B:L,11,FALSE)</f>
        <v>5.2742616033756105E-4</v>
      </c>
      <c r="G9" s="10">
        <f t="shared" si="0"/>
        <v>5.0105485232068302E-4</v>
      </c>
      <c r="H9">
        <f t="shared" si="1"/>
        <v>0.85150316455697839</v>
      </c>
      <c r="I9" s="10">
        <f t="shared" si="2"/>
        <v>5.8843569017312199E-4</v>
      </c>
      <c r="J9">
        <f t="shared" si="3"/>
        <v>6.3144019608532415E-3</v>
      </c>
      <c r="K9" s="10">
        <f t="shared" si="4"/>
        <v>8.2281845337371173</v>
      </c>
    </row>
    <row r="10" spans="1:16" ht="15">
      <c r="A10" t="s">
        <v>524</v>
      </c>
      <c r="B10" s="1" t="s">
        <v>2</v>
      </c>
      <c r="C10" s="8" t="s">
        <v>629</v>
      </c>
      <c r="D10" s="10" t="s">
        <v>629</v>
      </c>
      <c r="E10" s="10">
        <v>0.95</v>
      </c>
      <c r="F10" s="11">
        <f>VLOOKUP(B10,Transcriptome!B:L,11,FALSE)</f>
        <v>5.0105485232068295E-3</v>
      </c>
      <c r="G10" s="10">
        <f t="shared" si="0"/>
        <v>4.7600210970464877E-3</v>
      </c>
      <c r="H10">
        <f t="shared" si="1"/>
        <v>0.85150316455697839</v>
      </c>
      <c r="I10" s="10">
        <f t="shared" si="2"/>
        <v>5.5901390566446578E-3</v>
      </c>
      <c r="J10">
        <f t="shared" si="3"/>
        <v>4.1830452182054029E-2</v>
      </c>
      <c r="K10" s="10">
        <f t="shared" si="4"/>
        <v>8.2281845337371173</v>
      </c>
    </row>
    <row r="11" spans="1:16" ht="15">
      <c r="A11" t="s">
        <v>524</v>
      </c>
      <c r="B11" s="1" t="s">
        <v>3</v>
      </c>
      <c r="C11" s="8" t="s">
        <v>696</v>
      </c>
      <c r="D11" s="10" t="s">
        <v>696</v>
      </c>
      <c r="E11" s="10">
        <v>0.95</v>
      </c>
      <c r="F11" s="11">
        <f>VLOOKUP(B11,Transcriptome!B:L,11,FALSE)</f>
        <v>3.6919831223629265E-3</v>
      </c>
      <c r="G11" s="10">
        <f t="shared" si="0"/>
        <v>3.5073839662447801E-3</v>
      </c>
      <c r="H11">
        <f t="shared" si="1"/>
        <v>0.85150316455697839</v>
      </c>
      <c r="I11" s="10">
        <f t="shared" si="2"/>
        <v>4.1190498312118524E-3</v>
      </c>
      <c r="J11">
        <f t="shared" si="3"/>
        <v>3.2637178908119534E-2</v>
      </c>
      <c r="K11" s="10">
        <f t="shared" si="4"/>
        <v>8.2281845337371173</v>
      </c>
    </row>
    <row r="12" spans="1:16" ht="15">
      <c r="A12" t="s">
        <v>524</v>
      </c>
      <c r="B12" s="1" t="s">
        <v>4</v>
      </c>
      <c r="C12" s="8" t="s">
        <v>697</v>
      </c>
      <c r="D12" s="10" t="s">
        <v>697</v>
      </c>
      <c r="E12" s="10">
        <v>0.95</v>
      </c>
      <c r="F12" s="11">
        <f>VLOOKUP(B12,Transcriptome!B:L,11,FALSE)</f>
        <v>3.6919831223629265E-3</v>
      </c>
      <c r="G12" s="10">
        <f t="shared" si="0"/>
        <v>3.5073839662447801E-3</v>
      </c>
      <c r="H12">
        <f t="shared" si="1"/>
        <v>0.85150316455697839</v>
      </c>
      <c r="I12" s="10">
        <f t="shared" si="2"/>
        <v>4.1190498312118524E-3</v>
      </c>
      <c r="J12">
        <f t="shared" si="3"/>
        <v>3.2637178908119534E-2</v>
      </c>
      <c r="K12" s="10">
        <f t="shared" si="4"/>
        <v>8.2281845337371173</v>
      </c>
    </row>
    <row r="13" spans="1:16" ht="15">
      <c r="A13" t="s">
        <v>535</v>
      </c>
      <c r="B13" s="1" t="s">
        <v>323</v>
      </c>
      <c r="C13" s="8" t="s">
        <v>603</v>
      </c>
      <c r="D13" s="10" t="s">
        <v>603</v>
      </c>
      <c r="E13" s="10">
        <v>0.95</v>
      </c>
      <c r="F13" s="11">
        <f>VLOOKUP(B13,Transcriptome!B:L,11,FALSE)</f>
        <v>5.2742616033756105E-4</v>
      </c>
      <c r="G13" s="10">
        <f t="shared" si="0"/>
        <v>5.0105485232068302E-4</v>
      </c>
      <c r="H13">
        <f t="shared" si="1"/>
        <v>0.85150316455697839</v>
      </c>
      <c r="I13" s="10">
        <f t="shared" si="2"/>
        <v>5.8843569017312199E-4</v>
      </c>
      <c r="J13">
        <f t="shared" si="3"/>
        <v>6.3144019608532415E-3</v>
      </c>
      <c r="K13" s="10">
        <f t="shared" si="4"/>
        <v>8.2281845337371173</v>
      </c>
    </row>
    <row r="14" spans="1:16" ht="15">
      <c r="A14" t="s">
        <v>542</v>
      </c>
      <c r="B14" s="1" t="s">
        <v>499</v>
      </c>
      <c r="C14" s="8" t="s">
        <v>732</v>
      </c>
      <c r="D14" s="10" t="s">
        <v>732</v>
      </c>
      <c r="E14" s="10">
        <v>0.95</v>
      </c>
      <c r="F14" s="11">
        <f>VLOOKUP(B14,Transcriptome!B:L,11,FALSE)</f>
        <v>5.2742616033756105E-4</v>
      </c>
      <c r="G14" s="10">
        <f t="shared" si="0"/>
        <v>5.0105485232068302E-4</v>
      </c>
      <c r="H14">
        <f t="shared" si="1"/>
        <v>0.85150316455697839</v>
      </c>
      <c r="I14" s="10">
        <f t="shared" si="2"/>
        <v>5.8843569017312199E-4</v>
      </c>
      <c r="J14">
        <f t="shared" si="3"/>
        <v>6.3144019608532415E-3</v>
      </c>
      <c r="K14" s="10">
        <f t="shared" si="4"/>
        <v>8.2281845337371173</v>
      </c>
    </row>
    <row r="15" spans="1:16" ht="15">
      <c r="A15" t="s">
        <v>542</v>
      </c>
      <c r="B15" s="1" t="s">
        <v>500</v>
      </c>
      <c r="C15" s="8" t="s">
        <v>608</v>
      </c>
      <c r="D15" s="10" t="s">
        <v>608</v>
      </c>
      <c r="E15" s="10">
        <v>0.95</v>
      </c>
      <c r="F15" s="11">
        <f>VLOOKUP(B15,Transcriptome!B:L,11,FALSE)</f>
        <v>5.2742616033756105E-4</v>
      </c>
      <c r="G15" s="10">
        <f t="shared" si="0"/>
        <v>5.0105485232068302E-4</v>
      </c>
      <c r="H15">
        <f t="shared" si="1"/>
        <v>0.85150316455697839</v>
      </c>
      <c r="I15" s="10">
        <f t="shared" si="2"/>
        <v>5.8843569017312199E-4</v>
      </c>
      <c r="J15">
        <f t="shared" si="3"/>
        <v>6.3144019608532415E-3</v>
      </c>
      <c r="K15" s="10">
        <f t="shared" si="4"/>
        <v>8.2281845337371173</v>
      </c>
    </row>
    <row r="16" spans="1:16" ht="15">
      <c r="A16" t="s">
        <v>539</v>
      </c>
      <c r="B16" s="1" t="s">
        <v>294</v>
      </c>
      <c r="C16" s="8" t="s">
        <v>698</v>
      </c>
      <c r="D16" s="10" t="s">
        <v>698</v>
      </c>
      <c r="E16" s="10">
        <v>0.95</v>
      </c>
      <c r="F16" s="11">
        <f>VLOOKUP(B16,Transcriptome!B:L,11,FALSE)</f>
        <v>3.6919831223629265E-3</v>
      </c>
      <c r="G16" s="10">
        <f t="shared" si="0"/>
        <v>3.5073839662447801E-3</v>
      </c>
      <c r="H16">
        <f t="shared" si="1"/>
        <v>0.85150316455697839</v>
      </c>
      <c r="I16" s="10">
        <f t="shared" si="2"/>
        <v>4.1190498312118524E-3</v>
      </c>
      <c r="J16">
        <f t="shared" si="3"/>
        <v>3.2637178908119534E-2</v>
      </c>
      <c r="K16" s="10">
        <f t="shared" si="4"/>
        <v>8.2281845337371173</v>
      </c>
    </row>
    <row r="17" spans="1:11" ht="15">
      <c r="A17" t="s">
        <v>542</v>
      </c>
      <c r="B17" s="1" t="s">
        <v>510</v>
      </c>
      <c r="C17" s="8" t="s">
        <v>699</v>
      </c>
      <c r="D17" s="10" t="s">
        <v>699</v>
      </c>
      <c r="E17" s="10">
        <v>0.95</v>
      </c>
      <c r="F17" s="11">
        <f>VLOOKUP(B17,Transcriptome!B:L,11,FALSE)</f>
        <v>3.6919831223629265E-3</v>
      </c>
      <c r="G17" s="10">
        <f t="shared" si="0"/>
        <v>3.5073839662447801E-3</v>
      </c>
      <c r="H17">
        <f t="shared" si="1"/>
        <v>0.85150316455697839</v>
      </c>
      <c r="I17" s="10">
        <f t="shared" si="2"/>
        <v>4.1190498312118524E-3</v>
      </c>
      <c r="J17">
        <f t="shared" si="3"/>
        <v>3.2637178908119534E-2</v>
      </c>
      <c r="K17" s="10">
        <f t="shared" si="4"/>
        <v>8.2281845337371173</v>
      </c>
    </row>
    <row r="18" spans="1:11" ht="15">
      <c r="A18" t="s">
        <v>542</v>
      </c>
      <c r="B18" s="1" t="s">
        <v>511</v>
      </c>
      <c r="C18" s="8" t="s">
        <v>586</v>
      </c>
      <c r="D18" s="10" t="s">
        <v>586</v>
      </c>
      <c r="E18" s="10">
        <v>0.95</v>
      </c>
      <c r="F18" s="11">
        <f>VLOOKUP(B18,Transcriptome!B:L,11,FALSE)</f>
        <v>3.6919831223629265E-3</v>
      </c>
      <c r="G18" s="10">
        <f t="shared" si="0"/>
        <v>3.5073839662447801E-3</v>
      </c>
      <c r="H18">
        <f t="shared" si="1"/>
        <v>0.85150316455697839</v>
      </c>
      <c r="I18" s="10">
        <f t="shared" si="2"/>
        <v>4.1190498312118524E-3</v>
      </c>
      <c r="J18">
        <f t="shared" si="3"/>
        <v>3.2637178908119534E-2</v>
      </c>
      <c r="K18" s="10">
        <f t="shared" si="4"/>
        <v>8.2281845337371173</v>
      </c>
    </row>
    <row r="19" spans="1:11" ht="15">
      <c r="A19" t="s">
        <v>536</v>
      </c>
      <c r="B19" s="1" t="s">
        <v>414</v>
      </c>
      <c r="C19" s="8" t="s">
        <v>630</v>
      </c>
      <c r="D19" s="10" t="s">
        <v>630</v>
      </c>
      <c r="E19" s="10">
        <v>0.95</v>
      </c>
      <c r="F19" s="11">
        <f>VLOOKUP(B19,Transcriptome!B:L,11,FALSE)</f>
        <v>5.0105485232068295E-3</v>
      </c>
      <c r="G19" s="10">
        <f t="shared" si="0"/>
        <v>4.7600210970464877E-3</v>
      </c>
      <c r="H19">
        <f t="shared" si="1"/>
        <v>0.85150316455697839</v>
      </c>
      <c r="I19" s="10">
        <f t="shared" si="2"/>
        <v>5.5901390566446578E-3</v>
      </c>
      <c r="J19">
        <f t="shared" si="3"/>
        <v>4.1830452182054029E-2</v>
      </c>
      <c r="K19" s="10">
        <f t="shared" si="4"/>
        <v>8.2281845337371173</v>
      </c>
    </row>
    <row r="20" spans="1:11" ht="15">
      <c r="A20" t="s">
        <v>536</v>
      </c>
      <c r="B20" s="1" t="s">
        <v>415</v>
      </c>
      <c r="C20" s="8" t="s">
        <v>700</v>
      </c>
      <c r="D20" s="10" t="s">
        <v>700</v>
      </c>
      <c r="E20" s="10">
        <v>0.95</v>
      </c>
      <c r="F20" s="11">
        <f>VLOOKUP(B20,Transcriptome!B:L,11,FALSE)</f>
        <v>3.6919831223629265E-3</v>
      </c>
      <c r="G20" s="10">
        <f t="shared" si="0"/>
        <v>3.5073839662447801E-3</v>
      </c>
      <c r="H20">
        <f t="shared" si="1"/>
        <v>0.85150316455697839</v>
      </c>
      <c r="I20" s="10">
        <f t="shared" si="2"/>
        <v>4.1190498312118524E-3</v>
      </c>
      <c r="J20">
        <f t="shared" si="3"/>
        <v>3.2637178908119534E-2</v>
      </c>
      <c r="K20" s="10">
        <f t="shared" si="4"/>
        <v>8.2281845337371173</v>
      </c>
    </row>
    <row r="21" spans="1:11" ht="15">
      <c r="A21" t="s">
        <v>542</v>
      </c>
      <c r="B21" s="1" t="s">
        <v>505</v>
      </c>
      <c r="C21" s="8" t="s">
        <v>701</v>
      </c>
      <c r="D21" s="10" t="s">
        <v>701</v>
      </c>
      <c r="E21" s="10">
        <v>0.95</v>
      </c>
      <c r="F21" s="11">
        <f>VLOOKUP(B21,Transcriptome!B:L,11,FALSE)</f>
        <v>3.6919831223629265E-3</v>
      </c>
      <c r="G21" s="10">
        <f t="shared" si="0"/>
        <v>3.5073839662447801E-3</v>
      </c>
      <c r="H21">
        <f t="shared" si="1"/>
        <v>0.85150316455697839</v>
      </c>
      <c r="I21" s="10">
        <f t="shared" si="2"/>
        <v>4.1190498312118524E-3</v>
      </c>
      <c r="J21">
        <f t="shared" si="3"/>
        <v>3.2637178908119534E-2</v>
      </c>
      <c r="K21" s="10">
        <f t="shared" si="4"/>
        <v>8.2281845337371173</v>
      </c>
    </row>
    <row r="22" spans="1:11" ht="15">
      <c r="A22" t="s">
        <v>535</v>
      </c>
      <c r="B22" s="1" t="s">
        <v>325</v>
      </c>
      <c r="C22" s="8" t="s">
        <v>733</v>
      </c>
      <c r="D22" s="10" t="s">
        <v>733</v>
      </c>
      <c r="E22" s="10">
        <v>0.95</v>
      </c>
      <c r="F22" s="11">
        <f>VLOOKUP(B22,Transcriptome!B:L,11,FALSE)</f>
        <v>5.2742616033756105E-4</v>
      </c>
      <c r="G22" s="10">
        <f t="shared" si="0"/>
        <v>5.0105485232068302E-4</v>
      </c>
      <c r="H22">
        <f t="shared" si="1"/>
        <v>0.85150316455697839</v>
      </c>
      <c r="I22" s="10">
        <f t="shared" si="2"/>
        <v>5.8843569017312199E-4</v>
      </c>
      <c r="J22">
        <f t="shared" si="3"/>
        <v>6.3144019608532415E-3</v>
      </c>
      <c r="K22" s="10">
        <f t="shared" si="4"/>
        <v>8.2281845337371173</v>
      </c>
    </row>
    <row r="23" spans="1:11" ht="15">
      <c r="A23" t="s">
        <v>536</v>
      </c>
      <c r="B23" s="1" t="s">
        <v>417</v>
      </c>
      <c r="C23" s="8" t="s">
        <v>702</v>
      </c>
      <c r="D23" s="10" t="s">
        <v>702</v>
      </c>
      <c r="E23" s="10">
        <v>0.95</v>
      </c>
      <c r="F23" s="11">
        <f>VLOOKUP(B23,Transcriptome!B:L,11,FALSE)</f>
        <v>3.6919831223629265E-3</v>
      </c>
      <c r="G23" s="10">
        <f t="shared" si="0"/>
        <v>3.5073839662447801E-3</v>
      </c>
      <c r="H23">
        <f t="shared" si="1"/>
        <v>0.85150316455697839</v>
      </c>
      <c r="I23" s="10">
        <f t="shared" si="2"/>
        <v>4.1190498312118524E-3</v>
      </c>
      <c r="J23">
        <f t="shared" si="3"/>
        <v>3.2637178908119534E-2</v>
      </c>
      <c r="K23" s="10">
        <f t="shared" si="4"/>
        <v>8.2281845337371173</v>
      </c>
    </row>
    <row r="24" spans="1:11" ht="15">
      <c r="A24" t="s">
        <v>539</v>
      </c>
      <c r="B24" s="1" t="s">
        <v>296</v>
      </c>
      <c r="C24" s="8" t="s">
        <v>734</v>
      </c>
      <c r="D24" s="10" t="s">
        <v>734</v>
      </c>
      <c r="E24" s="10">
        <v>0.95</v>
      </c>
      <c r="F24" s="11">
        <f>VLOOKUP(B24,Transcriptome!B:L,11,FALSE)</f>
        <v>5.2742616033756105E-4</v>
      </c>
      <c r="G24" s="10">
        <f t="shared" si="0"/>
        <v>5.0105485232068302E-4</v>
      </c>
      <c r="H24">
        <f t="shared" si="1"/>
        <v>0.85150316455697839</v>
      </c>
      <c r="I24" s="10">
        <f t="shared" si="2"/>
        <v>5.8843569017312199E-4</v>
      </c>
      <c r="J24">
        <f t="shared" si="3"/>
        <v>6.3144019608532415E-3</v>
      </c>
      <c r="K24" s="10">
        <f t="shared" si="4"/>
        <v>8.2281845337371173</v>
      </c>
    </row>
    <row r="25" spans="1:11" ht="15">
      <c r="A25" t="s">
        <v>535</v>
      </c>
      <c r="B25" s="1" t="s">
        <v>326</v>
      </c>
      <c r="C25" s="8" t="s">
        <v>896</v>
      </c>
      <c r="D25" s="10" t="s">
        <v>896</v>
      </c>
      <c r="E25" s="10">
        <v>0.95</v>
      </c>
      <c r="F25" s="11">
        <f>VLOOKUP(B25,Transcriptome!B:L,11,FALSE)</f>
        <v>5.2742616033756105E-4</v>
      </c>
      <c r="G25" s="10">
        <f t="shared" si="0"/>
        <v>5.0105485232068302E-4</v>
      </c>
      <c r="H25">
        <f t="shared" si="1"/>
        <v>0.85150316455697839</v>
      </c>
      <c r="I25" s="10">
        <f t="shared" si="2"/>
        <v>5.8843569017312199E-4</v>
      </c>
      <c r="J25">
        <f t="shared" si="3"/>
        <v>6.3144019608532415E-3</v>
      </c>
      <c r="K25" s="10">
        <f t="shared" si="4"/>
        <v>8.2281845337371173</v>
      </c>
    </row>
    <row r="26" spans="1:11" ht="15">
      <c r="A26" t="s">
        <v>539</v>
      </c>
      <c r="B26" s="1" t="s">
        <v>298</v>
      </c>
      <c r="C26" s="8" t="s">
        <v>703</v>
      </c>
      <c r="D26" s="10" t="s">
        <v>703</v>
      </c>
      <c r="E26" s="10">
        <v>0.95</v>
      </c>
      <c r="F26" s="11">
        <f>VLOOKUP(B26,Transcriptome!B:L,11,FALSE)</f>
        <v>3.6919831223629265E-3</v>
      </c>
      <c r="G26" s="10">
        <f t="shared" si="0"/>
        <v>3.5073839662447801E-3</v>
      </c>
      <c r="H26">
        <f t="shared" si="1"/>
        <v>0.85150316455697839</v>
      </c>
      <c r="I26" s="10">
        <f t="shared" si="2"/>
        <v>4.1190498312118524E-3</v>
      </c>
      <c r="J26">
        <f t="shared" si="3"/>
        <v>3.2637178908119534E-2</v>
      </c>
      <c r="K26" s="10">
        <f t="shared" si="4"/>
        <v>8.2281845337371173</v>
      </c>
    </row>
    <row r="27" spans="1:11" ht="15">
      <c r="A27" t="s">
        <v>534</v>
      </c>
      <c r="B27" s="1" t="s">
        <v>57</v>
      </c>
      <c r="C27" s="8" t="s">
        <v>897</v>
      </c>
      <c r="D27" s="10" t="s">
        <v>897</v>
      </c>
      <c r="E27" s="10">
        <v>0.95</v>
      </c>
      <c r="F27" s="11">
        <f>VLOOKUP(B27,Transcriptome!B:L,11,FALSE)</f>
        <v>5.2742616033756105E-4</v>
      </c>
      <c r="G27" s="10">
        <f t="shared" si="0"/>
        <v>5.0105485232068302E-4</v>
      </c>
      <c r="H27">
        <f t="shared" si="1"/>
        <v>0.85150316455697839</v>
      </c>
      <c r="I27" s="10">
        <f t="shared" si="2"/>
        <v>5.8843569017312199E-4</v>
      </c>
      <c r="J27">
        <f t="shared" si="3"/>
        <v>6.3144019608532415E-3</v>
      </c>
      <c r="K27" s="10">
        <f t="shared" si="4"/>
        <v>8.2281845337371173</v>
      </c>
    </row>
    <row r="28" spans="1:11" ht="15">
      <c r="A28" t="s">
        <v>536</v>
      </c>
      <c r="B28" s="1" t="s">
        <v>418</v>
      </c>
      <c r="C28" s="8" t="s">
        <v>631</v>
      </c>
      <c r="D28" s="10" t="s">
        <v>631</v>
      </c>
      <c r="E28" s="10">
        <v>0.95</v>
      </c>
      <c r="F28" s="11">
        <f>VLOOKUP(B28,Transcriptome!B:L,11,FALSE)</f>
        <v>5.0105485232068295E-3</v>
      </c>
      <c r="G28" s="10">
        <f t="shared" si="0"/>
        <v>4.7600210970464877E-3</v>
      </c>
      <c r="H28">
        <f t="shared" si="1"/>
        <v>0.85150316455697839</v>
      </c>
      <c r="I28" s="10">
        <f t="shared" si="2"/>
        <v>5.5901390566446578E-3</v>
      </c>
      <c r="J28">
        <f t="shared" si="3"/>
        <v>4.1830452182054029E-2</v>
      </c>
      <c r="K28" s="10">
        <f t="shared" si="4"/>
        <v>8.2281845337371173</v>
      </c>
    </row>
    <row r="29" spans="1:11" ht="15">
      <c r="A29" t="s">
        <v>536</v>
      </c>
      <c r="B29" s="1" t="s">
        <v>419</v>
      </c>
      <c r="C29" s="8" t="s">
        <v>632</v>
      </c>
      <c r="D29" s="10" t="s">
        <v>632</v>
      </c>
      <c r="E29" s="10">
        <v>0.95</v>
      </c>
      <c r="F29" s="11">
        <f>VLOOKUP(B29,Transcriptome!B:L,11,FALSE)</f>
        <v>5.0105485232068295E-3</v>
      </c>
      <c r="G29" s="10">
        <f t="shared" si="0"/>
        <v>4.7600210970464877E-3</v>
      </c>
      <c r="H29">
        <f t="shared" si="1"/>
        <v>0.85150316455697839</v>
      </c>
      <c r="I29" s="10">
        <f t="shared" si="2"/>
        <v>5.5901390566446578E-3</v>
      </c>
      <c r="J29">
        <f t="shared" si="3"/>
        <v>4.1830452182054029E-2</v>
      </c>
      <c r="K29" s="10">
        <f t="shared" si="4"/>
        <v>8.2281845337371173</v>
      </c>
    </row>
    <row r="30" spans="1:11" ht="15">
      <c r="A30" t="s">
        <v>534</v>
      </c>
      <c r="B30" s="1" t="s">
        <v>59</v>
      </c>
      <c r="C30" s="8" t="s">
        <v>735</v>
      </c>
      <c r="D30" s="10" t="s">
        <v>735</v>
      </c>
      <c r="E30" s="10">
        <v>0.95</v>
      </c>
      <c r="F30" s="11">
        <f>VLOOKUP(B30,Transcriptome!B:L,11,FALSE)</f>
        <v>5.2742616033756105E-4</v>
      </c>
      <c r="G30" s="10">
        <f t="shared" si="0"/>
        <v>5.0105485232068302E-4</v>
      </c>
      <c r="H30">
        <f t="shared" si="1"/>
        <v>0.85150316455697839</v>
      </c>
      <c r="I30" s="10">
        <f t="shared" si="2"/>
        <v>5.8843569017312199E-4</v>
      </c>
      <c r="J30">
        <f t="shared" si="3"/>
        <v>6.3144019608532415E-3</v>
      </c>
      <c r="K30" s="10">
        <f t="shared" si="4"/>
        <v>8.2281845337371173</v>
      </c>
    </row>
    <row r="31" spans="1:11" ht="15">
      <c r="A31" t="s">
        <v>534</v>
      </c>
      <c r="B31" s="1" t="s">
        <v>62</v>
      </c>
      <c r="C31" s="8" t="s">
        <v>736</v>
      </c>
      <c r="D31" s="10" t="s">
        <v>736</v>
      </c>
      <c r="E31" s="10">
        <v>0.95</v>
      </c>
      <c r="F31" s="11">
        <f>VLOOKUP(B31,Transcriptome!B:L,11,FALSE)</f>
        <v>5.2742616033756105E-4</v>
      </c>
      <c r="G31" s="10">
        <f t="shared" si="0"/>
        <v>5.0105485232068302E-4</v>
      </c>
      <c r="H31">
        <f t="shared" si="1"/>
        <v>0.85150316455697839</v>
      </c>
      <c r="I31" s="10">
        <f t="shared" si="2"/>
        <v>5.8843569017312199E-4</v>
      </c>
      <c r="J31">
        <f t="shared" si="3"/>
        <v>6.3144019608532415E-3</v>
      </c>
      <c r="K31" s="10">
        <f t="shared" si="4"/>
        <v>8.2281845337371173</v>
      </c>
    </row>
    <row r="32" spans="1:11" ht="15">
      <c r="A32" t="s">
        <v>534</v>
      </c>
      <c r="B32" s="1" t="s">
        <v>63</v>
      </c>
      <c r="C32" s="8" t="s">
        <v>633</v>
      </c>
      <c r="D32" s="10" t="s">
        <v>633</v>
      </c>
      <c r="E32" s="10">
        <v>0.95</v>
      </c>
      <c r="F32" s="11">
        <f>VLOOKUP(B32,Transcriptome!B:L,11,FALSE)</f>
        <v>5.0105485232068295E-3</v>
      </c>
      <c r="G32" s="10">
        <f t="shared" si="0"/>
        <v>4.7600210970464877E-3</v>
      </c>
      <c r="H32">
        <f t="shared" si="1"/>
        <v>0.85150316455697839</v>
      </c>
      <c r="I32" s="10">
        <f t="shared" si="2"/>
        <v>5.5901390566446578E-3</v>
      </c>
      <c r="J32">
        <f t="shared" si="3"/>
        <v>4.1830452182054029E-2</v>
      </c>
      <c r="K32" s="10">
        <f t="shared" si="4"/>
        <v>8.2281845337371173</v>
      </c>
    </row>
    <row r="33" spans="1:11" ht="15">
      <c r="A33" t="s">
        <v>534</v>
      </c>
      <c r="B33" s="1" t="s">
        <v>64</v>
      </c>
      <c r="C33" s="8" t="s">
        <v>587</v>
      </c>
      <c r="D33" s="10" t="s">
        <v>587</v>
      </c>
      <c r="E33" s="10">
        <v>0.95</v>
      </c>
      <c r="F33" s="11">
        <f>VLOOKUP(B33,Transcriptome!B:L,11,FALSE)</f>
        <v>3.6919831223629265E-3</v>
      </c>
      <c r="G33" s="10">
        <f t="shared" si="0"/>
        <v>3.5073839662447801E-3</v>
      </c>
      <c r="H33">
        <f t="shared" si="1"/>
        <v>0.85150316455697839</v>
      </c>
      <c r="I33" s="10">
        <f t="shared" si="2"/>
        <v>4.1190498312118524E-3</v>
      </c>
      <c r="J33">
        <f t="shared" si="3"/>
        <v>3.2637178908119534E-2</v>
      </c>
      <c r="K33" s="10">
        <f t="shared" si="4"/>
        <v>8.2281845337371173</v>
      </c>
    </row>
    <row r="34" spans="1:11" ht="15">
      <c r="A34" t="s">
        <v>534</v>
      </c>
      <c r="B34" s="1" t="s">
        <v>65</v>
      </c>
      <c r="C34" s="8" t="s">
        <v>704</v>
      </c>
      <c r="D34" s="10" t="s">
        <v>704</v>
      </c>
      <c r="E34" s="10">
        <v>0.95</v>
      </c>
      <c r="F34" s="11">
        <f>VLOOKUP(B34,Transcriptome!B:L,11,FALSE)</f>
        <v>3.6919831223629265E-3</v>
      </c>
      <c r="G34" s="10">
        <f t="shared" si="0"/>
        <v>3.5073839662447801E-3</v>
      </c>
      <c r="H34">
        <f t="shared" si="1"/>
        <v>0.85150316455697839</v>
      </c>
      <c r="I34" s="10">
        <f t="shared" si="2"/>
        <v>4.1190498312118524E-3</v>
      </c>
      <c r="J34">
        <f t="shared" si="3"/>
        <v>3.2637178908119534E-2</v>
      </c>
      <c r="K34" s="10">
        <f t="shared" si="4"/>
        <v>8.2281845337371173</v>
      </c>
    </row>
    <row r="35" spans="1:11" ht="15">
      <c r="A35" t="s">
        <v>536</v>
      </c>
      <c r="B35" s="1" t="s">
        <v>421</v>
      </c>
      <c r="C35" s="8" t="s">
        <v>634</v>
      </c>
      <c r="D35" s="10" t="s">
        <v>634</v>
      </c>
      <c r="E35" s="10">
        <v>0.95</v>
      </c>
      <c r="F35" s="11">
        <f>VLOOKUP(B35,Transcriptome!B:L,11,FALSE)</f>
        <v>5.0105485232068295E-3</v>
      </c>
      <c r="G35" s="10">
        <f t="shared" si="0"/>
        <v>4.7600210970464877E-3</v>
      </c>
      <c r="H35">
        <f t="shared" si="1"/>
        <v>0.85150316455697839</v>
      </c>
      <c r="I35" s="10">
        <f t="shared" si="2"/>
        <v>5.5901390566446578E-3</v>
      </c>
      <c r="J35">
        <f t="shared" si="3"/>
        <v>4.1830452182054029E-2</v>
      </c>
      <c r="K35" s="10">
        <f t="shared" si="4"/>
        <v>8.2281845337371173</v>
      </c>
    </row>
    <row r="36" spans="1:11" ht="15">
      <c r="A36" t="s">
        <v>534</v>
      </c>
      <c r="B36" s="1" t="s">
        <v>68</v>
      </c>
      <c r="C36" s="8" t="s">
        <v>705</v>
      </c>
      <c r="D36" s="10" t="s">
        <v>705</v>
      </c>
      <c r="E36" s="10">
        <v>0.95</v>
      </c>
      <c r="F36" s="11">
        <f>VLOOKUP(B36,Transcriptome!B:L,11,FALSE)</f>
        <v>3.6919831223629265E-3</v>
      </c>
      <c r="G36" s="10">
        <f t="shared" si="0"/>
        <v>3.5073839662447801E-3</v>
      </c>
      <c r="H36">
        <f t="shared" si="1"/>
        <v>0.85150316455697839</v>
      </c>
      <c r="I36" s="10">
        <f t="shared" si="2"/>
        <v>4.1190498312118524E-3</v>
      </c>
      <c r="J36">
        <f t="shared" si="3"/>
        <v>3.2637178908119534E-2</v>
      </c>
      <c r="K36" s="10">
        <f t="shared" si="4"/>
        <v>8.2281845337371173</v>
      </c>
    </row>
    <row r="37" spans="1:11" ht="15">
      <c r="A37" t="s">
        <v>524</v>
      </c>
      <c r="B37" s="1" t="s">
        <v>5</v>
      </c>
      <c r="C37" s="8" t="s">
        <v>706</v>
      </c>
      <c r="D37" s="10" t="s">
        <v>706</v>
      </c>
      <c r="E37" s="10">
        <v>0.95</v>
      </c>
      <c r="F37" s="11">
        <f>VLOOKUP(B37,Transcriptome!B:L,11,FALSE)</f>
        <v>3.6919831223629265E-3</v>
      </c>
      <c r="G37" s="10">
        <f t="shared" si="0"/>
        <v>3.5073839662447801E-3</v>
      </c>
      <c r="H37">
        <f t="shared" si="1"/>
        <v>0.85150316455697839</v>
      </c>
      <c r="I37" s="10">
        <f t="shared" si="2"/>
        <v>4.1190498312118524E-3</v>
      </c>
      <c r="J37">
        <f t="shared" si="3"/>
        <v>3.2637178908119534E-2</v>
      </c>
      <c r="K37" s="10">
        <f t="shared" si="4"/>
        <v>8.2281845337371173</v>
      </c>
    </row>
    <row r="38" spans="1:11" ht="15">
      <c r="A38" t="s">
        <v>524</v>
      </c>
      <c r="B38" s="1" t="s">
        <v>6</v>
      </c>
      <c r="C38" s="8" t="s">
        <v>570</v>
      </c>
      <c r="D38" s="10" t="s">
        <v>570</v>
      </c>
      <c r="E38" s="10">
        <v>0.95</v>
      </c>
      <c r="F38" s="11">
        <f>VLOOKUP(B38,Transcriptome!B:L,11,FALSE)</f>
        <v>5.0105485232068295E-3</v>
      </c>
      <c r="G38" s="10">
        <f t="shared" si="0"/>
        <v>4.7600210970464877E-3</v>
      </c>
      <c r="H38">
        <f t="shared" si="1"/>
        <v>0.85150316455697839</v>
      </c>
      <c r="I38" s="10">
        <f t="shared" si="2"/>
        <v>5.5901390566446578E-3</v>
      </c>
      <c r="J38">
        <f t="shared" si="3"/>
        <v>4.1830452182054029E-2</v>
      </c>
      <c r="K38" s="10">
        <f t="shared" si="4"/>
        <v>8.2281845337371173</v>
      </c>
    </row>
    <row r="39" spans="1:11" ht="15">
      <c r="A39" t="s">
        <v>524</v>
      </c>
      <c r="B39" s="1" t="s">
        <v>7</v>
      </c>
      <c r="C39" s="8" t="s">
        <v>635</v>
      </c>
      <c r="D39" s="10" t="s">
        <v>635</v>
      </c>
      <c r="E39" s="10">
        <v>0.95</v>
      </c>
      <c r="F39" s="11">
        <f>VLOOKUP(B39,Transcriptome!B:L,11,FALSE)</f>
        <v>5.0105485232068295E-3</v>
      </c>
      <c r="G39" s="10">
        <f t="shared" si="0"/>
        <v>4.7600210970464877E-3</v>
      </c>
      <c r="H39">
        <f t="shared" si="1"/>
        <v>0.85150316455697839</v>
      </c>
      <c r="I39" s="10">
        <f t="shared" si="2"/>
        <v>5.5901390566446578E-3</v>
      </c>
      <c r="J39">
        <f t="shared" si="3"/>
        <v>4.1830452182054029E-2</v>
      </c>
      <c r="K39" s="10">
        <f t="shared" si="4"/>
        <v>8.2281845337371173</v>
      </c>
    </row>
    <row r="40" spans="1:11" ht="15">
      <c r="A40" t="s">
        <v>536</v>
      </c>
      <c r="B40" s="1" t="s">
        <v>422</v>
      </c>
      <c r="C40" s="8" t="s">
        <v>636</v>
      </c>
      <c r="D40" s="10" t="s">
        <v>636</v>
      </c>
      <c r="E40" s="10">
        <v>0.95</v>
      </c>
      <c r="F40" s="11">
        <f>VLOOKUP(B40,Transcriptome!B:L,11,FALSE)</f>
        <v>5.0105485232068295E-3</v>
      </c>
      <c r="G40" s="10">
        <f t="shared" si="0"/>
        <v>4.7600210970464877E-3</v>
      </c>
      <c r="H40">
        <f t="shared" si="1"/>
        <v>0.85150316455697839</v>
      </c>
      <c r="I40" s="10">
        <f t="shared" si="2"/>
        <v>5.5901390566446578E-3</v>
      </c>
      <c r="J40">
        <f t="shared" si="3"/>
        <v>4.1830452182054029E-2</v>
      </c>
      <c r="K40" s="10">
        <f t="shared" si="4"/>
        <v>8.2281845337371173</v>
      </c>
    </row>
    <row r="41" spans="1:11" ht="15">
      <c r="A41" t="s">
        <v>537</v>
      </c>
      <c r="B41" s="1" t="s">
        <v>150</v>
      </c>
      <c r="C41" s="8" t="s">
        <v>737</v>
      </c>
      <c r="D41" s="10" t="s">
        <v>737</v>
      </c>
      <c r="E41" s="10">
        <v>0.95</v>
      </c>
      <c r="F41" s="11">
        <f>VLOOKUP(B41,Transcriptome!B:L,11,FALSE)</f>
        <v>5.2742616033756105E-4</v>
      </c>
      <c r="G41" s="10">
        <f t="shared" si="0"/>
        <v>5.0105485232068302E-4</v>
      </c>
      <c r="H41">
        <f t="shared" si="1"/>
        <v>0.85150316455697839</v>
      </c>
      <c r="I41" s="10">
        <f t="shared" si="2"/>
        <v>5.8843569017312199E-4</v>
      </c>
      <c r="J41">
        <f t="shared" si="3"/>
        <v>6.3144019608532415E-3</v>
      </c>
      <c r="K41" s="10">
        <f t="shared" si="4"/>
        <v>8.2281845337371173</v>
      </c>
    </row>
    <row r="42" spans="1:11" ht="15">
      <c r="A42" t="s">
        <v>537</v>
      </c>
      <c r="B42" s="1" t="s">
        <v>151</v>
      </c>
      <c r="C42" s="8" t="s">
        <v>738</v>
      </c>
      <c r="D42" s="10" t="s">
        <v>738</v>
      </c>
      <c r="E42" s="10">
        <v>0.95</v>
      </c>
      <c r="F42" s="11">
        <f>VLOOKUP(B42,Transcriptome!B:L,11,FALSE)</f>
        <v>5.2742616033756105E-4</v>
      </c>
      <c r="G42" s="10">
        <f t="shared" si="0"/>
        <v>5.0105485232068302E-4</v>
      </c>
      <c r="H42">
        <f t="shared" si="1"/>
        <v>0.85150316455697839</v>
      </c>
      <c r="I42" s="10">
        <f t="shared" si="2"/>
        <v>5.8843569017312199E-4</v>
      </c>
      <c r="J42">
        <f t="shared" si="3"/>
        <v>6.3144019608532415E-3</v>
      </c>
      <c r="K42" s="10">
        <f t="shared" si="4"/>
        <v>8.2281845337371173</v>
      </c>
    </row>
    <row r="43" spans="1:11" ht="15">
      <c r="A43" t="s">
        <v>537</v>
      </c>
      <c r="B43" s="1" t="s">
        <v>153</v>
      </c>
      <c r="C43" s="8" t="s">
        <v>739</v>
      </c>
      <c r="D43" s="10" t="s">
        <v>739</v>
      </c>
      <c r="E43" s="10">
        <v>0.95</v>
      </c>
      <c r="F43" s="11">
        <f>VLOOKUP(B43,Transcriptome!B:L,11,FALSE)</f>
        <v>5.2742616033756105E-4</v>
      </c>
      <c r="G43" s="10">
        <f t="shared" si="0"/>
        <v>5.0105485232068302E-4</v>
      </c>
      <c r="H43">
        <f t="shared" si="1"/>
        <v>0.85150316455697839</v>
      </c>
      <c r="I43" s="10">
        <f t="shared" si="2"/>
        <v>5.8843569017312199E-4</v>
      </c>
      <c r="J43">
        <f t="shared" si="3"/>
        <v>6.3144019608532415E-3</v>
      </c>
      <c r="K43" s="10">
        <f t="shared" si="4"/>
        <v>8.2281845337371173</v>
      </c>
    </row>
    <row r="44" spans="1:11" ht="15">
      <c r="A44" t="s">
        <v>537</v>
      </c>
      <c r="B44" s="1" t="s">
        <v>154</v>
      </c>
      <c r="C44" s="8" t="s">
        <v>740</v>
      </c>
      <c r="D44" s="10" t="s">
        <v>740</v>
      </c>
      <c r="E44" s="10">
        <v>0.95</v>
      </c>
      <c r="F44" s="11">
        <f>VLOOKUP(B44,Transcriptome!B:L,11,FALSE)</f>
        <v>5.2742616033756105E-4</v>
      </c>
      <c r="G44" s="10">
        <f t="shared" si="0"/>
        <v>5.0105485232068302E-4</v>
      </c>
      <c r="H44">
        <f t="shared" si="1"/>
        <v>0.85150316455697839</v>
      </c>
      <c r="I44" s="10">
        <f t="shared" si="2"/>
        <v>5.8843569017312199E-4</v>
      </c>
      <c r="J44">
        <f t="shared" si="3"/>
        <v>6.3144019608532415E-3</v>
      </c>
      <c r="K44" s="10">
        <f t="shared" si="4"/>
        <v>8.2281845337371173</v>
      </c>
    </row>
    <row r="45" spans="1:11" ht="15">
      <c r="A45" t="s">
        <v>537</v>
      </c>
      <c r="B45" s="1" t="s">
        <v>155</v>
      </c>
      <c r="C45" s="8" t="s">
        <v>741</v>
      </c>
      <c r="D45" s="10" t="s">
        <v>741</v>
      </c>
      <c r="E45" s="10">
        <v>0.95</v>
      </c>
      <c r="F45" s="11">
        <f>VLOOKUP(B45,Transcriptome!B:L,11,FALSE)</f>
        <v>5.2742616033756105E-4</v>
      </c>
      <c r="G45" s="10">
        <f t="shared" si="0"/>
        <v>5.0105485232068302E-4</v>
      </c>
      <c r="H45">
        <f t="shared" si="1"/>
        <v>0.85150316455697839</v>
      </c>
      <c r="I45" s="10">
        <f t="shared" si="2"/>
        <v>5.8843569017312199E-4</v>
      </c>
      <c r="J45">
        <f t="shared" si="3"/>
        <v>6.3144019608532415E-3</v>
      </c>
      <c r="K45" s="10">
        <f t="shared" si="4"/>
        <v>8.2281845337371173</v>
      </c>
    </row>
    <row r="46" spans="1:11" ht="15">
      <c r="A46" t="s">
        <v>537</v>
      </c>
      <c r="B46" s="1" t="s">
        <v>156</v>
      </c>
      <c r="C46" s="8" t="s">
        <v>742</v>
      </c>
      <c r="D46" s="10" t="s">
        <v>742</v>
      </c>
      <c r="E46" s="10">
        <v>0.95</v>
      </c>
      <c r="F46" s="11">
        <f>VLOOKUP(B46,Transcriptome!B:L,11,FALSE)</f>
        <v>5.2742616033756105E-4</v>
      </c>
      <c r="G46" s="10">
        <f t="shared" si="0"/>
        <v>5.0105485232068302E-4</v>
      </c>
      <c r="H46">
        <f t="shared" si="1"/>
        <v>0.85150316455697839</v>
      </c>
      <c r="I46" s="10">
        <f t="shared" si="2"/>
        <v>5.8843569017312199E-4</v>
      </c>
      <c r="J46">
        <f t="shared" si="3"/>
        <v>6.3144019608532415E-3</v>
      </c>
      <c r="K46" s="10">
        <f t="shared" si="4"/>
        <v>8.2281845337371173</v>
      </c>
    </row>
    <row r="47" spans="1:11" ht="15">
      <c r="A47" t="s">
        <v>537</v>
      </c>
      <c r="B47" s="1" t="s">
        <v>157</v>
      </c>
      <c r="C47" s="8" t="s">
        <v>743</v>
      </c>
      <c r="D47" s="10" t="s">
        <v>743</v>
      </c>
      <c r="E47" s="10">
        <v>0.95</v>
      </c>
      <c r="F47" s="11">
        <f>VLOOKUP(B47,Transcriptome!B:L,11,FALSE)</f>
        <v>5.2742616033756105E-4</v>
      </c>
      <c r="G47" s="10">
        <f t="shared" si="0"/>
        <v>5.0105485232068302E-4</v>
      </c>
      <c r="H47">
        <f t="shared" si="1"/>
        <v>0.85150316455697839</v>
      </c>
      <c r="I47" s="10">
        <f t="shared" si="2"/>
        <v>5.8843569017312199E-4</v>
      </c>
      <c r="J47">
        <f t="shared" si="3"/>
        <v>6.3144019608532415E-3</v>
      </c>
      <c r="K47" s="10">
        <f t="shared" si="4"/>
        <v>8.2281845337371173</v>
      </c>
    </row>
    <row r="48" spans="1:11" ht="15">
      <c r="A48" t="s">
        <v>537</v>
      </c>
      <c r="B48" s="1" t="s">
        <v>158</v>
      </c>
      <c r="C48" s="8" t="s">
        <v>744</v>
      </c>
      <c r="D48" s="10" t="s">
        <v>744</v>
      </c>
      <c r="E48" s="10">
        <v>0.95</v>
      </c>
      <c r="F48" s="11">
        <f>VLOOKUP(B48,Transcriptome!B:L,11,FALSE)</f>
        <v>5.2742616033756105E-4</v>
      </c>
      <c r="G48" s="10">
        <f t="shared" si="0"/>
        <v>5.0105485232068302E-4</v>
      </c>
      <c r="H48">
        <f t="shared" si="1"/>
        <v>0.85150316455697839</v>
      </c>
      <c r="I48" s="10">
        <f t="shared" si="2"/>
        <v>5.8843569017312199E-4</v>
      </c>
      <c r="J48">
        <f t="shared" si="3"/>
        <v>6.3144019608532415E-3</v>
      </c>
      <c r="K48" s="10">
        <f t="shared" si="4"/>
        <v>8.2281845337371173</v>
      </c>
    </row>
    <row r="49" spans="1:11" ht="15">
      <c r="A49" t="s">
        <v>537</v>
      </c>
      <c r="B49" s="1" t="s">
        <v>159</v>
      </c>
      <c r="C49" s="8" t="s">
        <v>745</v>
      </c>
      <c r="D49" s="10" t="s">
        <v>745</v>
      </c>
      <c r="E49" s="10">
        <v>0.95</v>
      </c>
      <c r="F49" s="11">
        <f>VLOOKUP(B49,Transcriptome!B:L,11,FALSE)</f>
        <v>5.2742616033756105E-4</v>
      </c>
      <c r="G49" s="10">
        <f t="shared" si="0"/>
        <v>5.0105485232068302E-4</v>
      </c>
      <c r="H49">
        <f t="shared" si="1"/>
        <v>0.85150316455697839</v>
      </c>
      <c r="I49" s="10">
        <f t="shared" si="2"/>
        <v>5.8843569017312199E-4</v>
      </c>
      <c r="J49">
        <f t="shared" si="3"/>
        <v>6.3144019608532415E-3</v>
      </c>
      <c r="K49" s="10">
        <f t="shared" si="4"/>
        <v>8.2281845337371173</v>
      </c>
    </row>
    <row r="50" spans="1:11" ht="15">
      <c r="A50" t="s">
        <v>537</v>
      </c>
      <c r="B50" s="1" t="s">
        <v>160</v>
      </c>
      <c r="C50" s="8" t="s">
        <v>746</v>
      </c>
      <c r="D50" s="10" t="s">
        <v>746</v>
      </c>
      <c r="E50" s="10">
        <v>0.95</v>
      </c>
      <c r="F50" s="11">
        <f>VLOOKUP(B50,Transcriptome!B:L,11,FALSE)</f>
        <v>5.2742616033756105E-4</v>
      </c>
      <c r="G50" s="10">
        <f t="shared" si="0"/>
        <v>5.0105485232068302E-4</v>
      </c>
      <c r="H50">
        <f t="shared" si="1"/>
        <v>0.85150316455697839</v>
      </c>
      <c r="I50" s="10">
        <f t="shared" si="2"/>
        <v>5.8843569017312199E-4</v>
      </c>
      <c r="J50">
        <f t="shared" si="3"/>
        <v>6.3144019608532415E-3</v>
      </c>
      <c r="K50" s="10">
        <f t="shared" si="4"/>
        <v>8.2281845337371173</v>
      </c>
    </row>
    <row r="51" spans="1:11" ht="15">
      <c r="A51" t="s">
        <v>537</v>
      </c>
      <c r="B51" s="1" t="s">
        <v>162</v>
      </c>
      <c r="C51" s="8" t="s">
        <v>637</v>
      </c>
      <c r="D51" s="10" t="s">
        <v>637</v>
      </c>
      <c r="E51" s="10">
        <v>0.95</v>
      </c>
      <c r="F51" s="11">
        <f>VLOOKUP(B51,Transcriptome!B:L,11,FALSE)</f>
        <v>5.0105485232068295E-3</v>
      </c>
      <c r="G51" s="10">
        <f t="shared" si="0"/>
        <v>4.7600210970464877E-3</v>
      </c>
      <c r="H51">
        <f t="shared" si="1"/>
        <v>0.85150316455697839</v>
      </c>
      <c r="I51" s="10">
        <f t="shared" si="2"/>
        <v>5.5901390566446578E-3</v>
      </c>
      <c r="J51">
        <f t="shared" si="3"/>
        <v>4.1830452182054029E-2</v>
      </c>
      <c r="K51" s="10">
        <f t="shared" si="4"/>
        <v>8.2281845337371173</v>
      </c>
    </row>
    <row r="52" spans="1:11" ht="15">
      <c r="A52" t="s">
        <v>537</v>
      </c>
      <c r="B52" s="1" t="s">
        <v>163</v>
      </c>
      <c r="C52" s="8" t="s">
        <v>747</v>
      </c>
      <c r="D52" s="10" t="s">
        <v>747</v>
      </c>
      <c r="E52" s="10">
        <v>0.95</v>
      </c>
      <c r="F52" s="11">
        <f>VLOOKUP(B52,Transcriptome!B:L,11,FALSE)</f>
        <v>5.2742616033756105E-4</v>
      </c>
      <c r="G52" s="10">
        <f t="shared" si="0"/>
        <v>5.0105485232068302E-4</v>
      </c>
      <c r="H52">
        <f t="shared" si="1"/>
        <v>0.85150316455697839</v>
      </c>
      <c r="I52" s="10">
        <f t="shared" si="2"/>
        <v>5.8843569017312199E-4</v>
      </c>
      <c r="J52">
        <f t="shared" si="3"/>
        <v>6.3144019608532415E-3</v>
      </c>
      <c r="K52" s="10">
        <f t="shared" si="4"/>
        <v>8.2281845337371173</v>
      </c>
    </row>
    <row r="53" spans="1:11" ht="15">
      <c r="A53" t="s">
        <v>537</v>
      </c>
      <c r="B53" s="1" t="s">
        <v>165</v>
      </c>
      <c r="C53" s="8" t="s">
        <v>638</v>
      </c>
      <c r="D53" s="10" t="s">
        <v>638</v>
      </c>
      <c r="E53" s="10">
        <v>0.95</v>
      </c>
      <c r="F53" s="11">
        <f>VLOOKUP(B53,Transcriptome!B:L,11,FALSE)</f>
        <v>5.0105485232068295E-3</v>
      </c>
      <c r="G53" s="10">
        <f t="shared" si="0"/>
        <v>4.7600210970464877E-3</v>
      </c>
      <c r="H53">
        <f t="shared" si="1"/>
        <v>0.85150316455697839</v>
      </c>
      <c r="I53" s="10">
        <f t="shared" si="2"/>
        <v>5.5901390566446578E-3</v>
      </c>
      <c r="J53">
        <f t="shared" si="3"/>
        <v>4.1830452182054029E-2</v>
      </c>
      <c r="K53" s="10">
        <f t="shared" si="4"/>
        <v>8.2281845337371173</v>
      </c>
    </row>
    <row r="54" spans="1:11" ht="15">
      <c r="A54" t="s">
        <v>537</v>
      </c>
      <c r="B54" s="1" t="s">
        <v>166</v>
      </c>
      <c r="C54" s="8" t="s">
        <v>707</v>
      </c>
      <c r="D54" s="10" t="s">
        <v>707</v>
      </c>
      <c r="E54" s="10">
        <v>0.95</v>
      </c>
      <c r="F54" s="11">
        <f>VLOOKUP(B54,Transcriptome!B:L,11,FALSE)</f>
        <v>3.6919831223629265E-3</v>
      </c>
      <c r="G54" s="10">
        <f t="shared" si="0"/>
        <v>3.5073839662447801E-3</v>
      </c>
      <c r="H54">
        <f t="shared" si="1"/>
        <v>0.85150316455697839</v>
      </c>
      <c r="I54" s="10">
        <f t="shared" si="2"/>
        <v>4.1190498312118524E-3</v>
      </c>
      <c r="J54">
        <f t="shared" si="3"/>
        <v>3.2637178908119534E-2</v>
      </c>
      <c r="K54" s="10">
        <f t="shared" si="4"/>
        <v>8.2281845337371173</v>
      </c>
    </row>
    <row r="55" spans="1:11" ht="15">
      <c r="A55" t="s">
        <v>537</v>
      </c>
      <c r="B55" s="1" t="s">
        <v>167</v>
      </c>
      <c r="C55" s="8" t="s">
        <v>639</v>
      </c>
      <c r="D55" s="10" t="s">
        <v>639</v>
      </c>
      <c r="E55" s="10">
        <v>0.95</v>
      </c>
      <c r="F55" s="11">
        <f>VLOOKUP(B55,Transcriptome!B:L,11,FALSE)</f>
        <v>5.0105485232068295E-3</v>
      </c>
      <c r="G55" s="10">
        <f t="shared" si="0"/>
        <v>4.7600210970464877E-3</v>
      </c>
      <c r="H55">
        <f t="shared" si="1"/>
        <v>0.85150316455697839</v>
      </c>
      <c r="I55" s="10">
        <f t="shared" si="2"/>
        <v>5.5901390566446578E-3</v>
      </c>
      <c r="J55">
        <f t="shared" si="3"/>
        <v>4.1830452182054029E-2</v>
      </c>
      <c r="K55" s="10">
        <f t="shared" si="4"/>
        <v>8.2281845337371173</v>
      </c>
    </row>
    <row r="56" spans="1:11" ht="15">
      <c r="A56" t="s">
        <v>537</v>
      </c>
      <c r="B56" s="1" t="s">
        <v>168</v>
      </c>
      <c r="C56" s="8" t="s">
        <v>748</v>
      </c>
      <c r="D56" s="10" t="s">
        <v>748</v>
      </c>
      <c r="E56" s="10">
        <v>0.95</v>
      </c>
      <c r="F56" s="11">
        <f>VLOOKUP(B56,Transcriptome!B:L,11,FALSE)</f>
        <v>5.2742616033756105E-4</v>
      </c>
      <c r="G56" s="10">
        <f t="shared" si="0"/>
        <v>5.0105485232068302E-4</v>
      </c>
      <c r="H56">
        <f t="shared" si="1"/>
        <v>0.85150316455697839</v>
      </c>
      <c r="I56" s="10">
        <f t="shared" si="2"/>
        <v>5.8843569017312199E-4</v>
      </c>
      <c r="J56">
        <f t="shared" si="3"/>
        <v>6.3144019608532415E-3</v>
      </c>
      <c r="K56" s="10">
        <f t="shared" si="4"/>
        <v>8.2281845337371173</v>
      </c>
    </row>
    <row r="57" spans="1:11" ht="15">
      <c r="A57" t="s">
        <v>537</v>
      </c>
      <c r="B57" s="1" t="s">
        <v>169</v>
      </c>
      <c r="C57" s="8" t="s">
        <v>640</v>
      </c>
      <c r="D57" s="10" t="s">
        <v>640</v>
      </c>
      <c r="E57" s="10">
        <v>0.95</v>
      </c>
      <c r="F57" s="11">
        <f>VLOOKUP(B57,Transcriptome!B:L,11,FALSE)</f>
        <v>5.0105485232068295E-3</v>
      </c>
      <c r="G57" s="10">
        <f t="shared" si="0"/>
        <v>4.7600210970464877E-3</v>
      </c>
      <c r="H57">
        <f t="shared" si="1"/>
        <v>0.85150316455697839</v>
      </c>
      <c r="I57" s="10">
        <f t="shared" si="2"/>
        <v>5.5901390566446578E-3</v>
      </c>
      <c r="J57">
        <f t="shared" si="3"/>
        <v>4.1830452182054029E-2</v>
      </c>
      <c r="K57" s="10">
        <f t="shared" si="4"/>
        <v>8.2281845337371173</v>
      </c>
    </row>
    <row r="58" spans="1:11" ht="15">
      <c r="A58" t="s">
        <v>537</v>
      </c>
      <c r="B58" s="1" t="s">
        <v>170</v>
      </c>
      <c r="C58" s="8" t="s">
        <v>641</v>
      </c>
      <c r="D58" s="10" t="s">
        <v>641</v>
      </c>
      <c r="E58" s="10">
        <v>0.95</v>
      </c>
      <c r="F58" s="11">
        <f>VLOOKUP(B58,Transcriptome!B:L,11,FALSE)</f>
        <v>5.0105485232068295E-3</v>
      </c>
      <c r="G58" s="10">
        <f t="shared" si="0"/>
        <v>4.7600210970464877E-3</v>
      </c>
      <c r="H58">
        <f t="shared" si="1"/>
        <v>0.85150316455697839</v>
      </c>
      <c r="I58" s="10">
        <f t="shared" si="2"/>
        <v>5.5901390566446578E-3</v>
      </c>
      <c r="J58">
        <f t="shared" si="3"/>
        <v>4.1830452182054029E-2</v>
      </c>
      <c r="K58" s="10">
        <f t="shared" si="4"/>
        <v>8.2281845337371173</v>
      </c>
    </row>
    <row r="59" spans="1:11" ht="15">
      <c r="A59" t="s">
        <v>537</v>
      </c>
      <c r="B59" s="1" t="s">
        <v>171</v>
      </c>
      <c r="C59" s="8" t="s">
        <v>642</v>
      </c>
      <c r="D59" s="10" t="s">
        <v>642</v>
      </c>
      <c r="E59" s="10">
        <v>0.95</v>
      </c>
      <c r="F59" s="11">
        <f>VLOOKUP(B59,Transcriptome!B:L,11,FALSE)</f>
        <v>5.0105485232068295E-3</v>
      </c>
      <c r="G59" s="10">
        <f t="shared" si="0"/>
        <v>4.7600210970464877E-3</v>
      </c>
      <c r="H59">
        <f t="shared" si="1"/>
        <v>0.85150316455697839</v>
      </c>
      <c r="I59" s="10">
        <f t="shared" si="2"/>
        <v>5.5901390566446578E-3</v>
      </c>
      <c r="J59">
        <f t="shared" si="3"/>
        <v>4.1830452182054029E-2</v>
      </c>
      <c r="K59" s="10">
        <f t="shared" si="4"/>
        <v>8.2281845337371173</v>
      </c>
    </row>
    <row r="60" spans="1:11" ht="15">
      <c r="A60" t="s">
        <v>537</v>
      </c>
      <c r="B60" s="1" t="s">
        <v>173</v>
      </c>
      <c r="C60" s="8" t="s">
        <v>749</v>
      </c>
      <c r="D60" s="10" t="s">
        <v>749</v>
      </c>
      <c r="E60" s="10">
        <v>0.95</v>
      </c>
      <c r="F60" s="11">
        <f>VLOOKUP(B60,Transcriptome!B:L,11,FALSE)</f>
        <v>5.2742616033756105E-4</v>
      </c>
      <c r="G60" s="10">
        <f t="shared" si="0"/>
        <v>5.0105485232068302E-4</v>
      </c>
      <c r="H60">
        <f t="shared" si="1"/>
        <v>0.85150316455697839</v>
      </c>
      <c r="I60" s="10">
        <f t="shared" si="2"/>
        <v>5.8843569017312199E-4</v>
      </c>
      <c r="J60">
        <f t="shared" si="3"/>
        <v>6.3144019608532415E-3</v>
      </c>
      <c r="K60" s="10">
        <f t="shared" si="4"/>
        <v>8.2281845337371173</v>
      </c>
    </row>
    <row r="61" spans="1:11" ht="15">
      <c r="A61" t="s">
        <v>537</v>
      </c>
      <c r="B61" s="1" t="s">
        <v>175</v>
      </c>
      <c r="C61" s="8" t="s">
        <v>750</v>
      </c>
      <c r="D61" s="10" t="s">
        <v>750</v>
      </c>
      <c r="E61" s="10">
        <v>0.95</v>
      </c>
      <c r="F61" s="11">
        <f>VLOOKUP(B61,Transcriptome!B:L,11,FALSE)</f>
        <v>5.2742616033756105E-4</v>
      </c>
      <c r="G61" s="10">
        <f t="shared" si="0"/>
        <v>5.0105485232068302E-4</v>
      </c>
      <c r="H61">
        <f t="shared" si="1"/>
        <v>0.85150316455697839</v>
      </c>
      <c r="I61" s="10">
        <f t="shared" si="2"/>
        <v>5.8843569017312199E-4</v>
      </c>
      <c r="J61">
        <f t="shared" si="3"/>
        <v>6.3144019608532415E-3</v>
      </c>
      <c r="K61" s="10">
        <f t="shared" si="4"/>
        <v>8.2281845337371173</v>
      </c>
    </row>
    <row r="62" spans="1:11" ht="15">
      <c r="A62" t="s">
        <v>534</v>
      </c>
      <c r="B62" s="1" t="s">
        <v>69</v>
      </c>
      <c r="C62" s="8" t="s">
        <v>643</v>
      </c>
      <c r="D62" s="10" t="s">
        <v>643</v>
      </c>
      <c r="E62" s="10">
        <v>0.95</v>
      </c>
      <c r="F62" s="11">
        <f>VLOOKUP(B62,Transcriptome!B:L,11,FALSE)</f>
        <v>5.0105485232068295E-3</v>
      </c>
      <c r="G62" s="10">
        <f t="shared" si="0"/>
        <v>4.7600210970464877E-3</v>
      </c>
      <c r="H62">
        <f t="shared" si="1"/>
        <v>0.85150316455697839</v>
      </c>
      <c r="I62" s="10">
        <f t="shared" si="2"/>
        <v>5.5901390566446578E-3</v>
      </c>
      <c r="J62">
        <f t="shared" si="3"/>
        <v>4.1830452182054029E-2</v>
      </c>
      <c r="K62" s="10">
        <f t="shared" si="4"/>
        <v>8.2281845337371173</v>
      </c>
    </row>
    <row r="63" spans="1:11" ht="15">
      <c r="A63" t="s">
        <v>534</v>
      </c>
      <c r="B63" s="1" t="s">
        <v>70</v>
      </c>
      <c r="C63" s="8" t="s">
        <v>589</v>
      </c>
      <c r="D63" s="10" t="s">
        <v>589</v>
      </c>
      <c r="E63" s="10">
        <v>0.95</v>
      </c>
      <c r="F63" s="11">
        <f>VLOOKUP(B63,Transcriptome!B:L,11,FALSE)</f>
        <v>5.2742616033756105E-4</v>
      </c>
      <c r="G63" s="10">
        <f t="shared" si="0"/>
        <v>5.0105485232068302E-4</v>
      </c>
      <c r="H63">
        <f t="shared" si="1"/>
        <v>0.85150316455697839</v>
      </c>
      <c r="I63" s="10">
        <f t="shared" si="2"/>
        <v>5.8843569017312199E-4</v>
      </c>
      <c r="J63">
        <f t="shared" si="3"/>
        <v>6.3144019608532415E-3</v>
      </c>
      <c r="K63" s="10">
        <f t="shared" si="4"/>
        <v>8.2281845337371173</v>
      </c>
    </row>
    <row r="64" spans="1:11" ht="15">
      <c r="A64" t="s">
        <v>524</v>
      </c>
      <c r="B64" s="1" t="s">
        <v>8</v>
      </c>
      <c r="C64" s="8" t="s">
        <v>898</v>
      </c>
      <c r="D64" s="10" t="s">
        <v>898</v>
      </c>
      <c r="E64" s="10">
        <v>0.95</v>
      </c>
      <c r="F64" s="11">
        <f>VLOOKUP(B64,Transcriptome!B:L,11,FALSE)</f>
        <v>5.2742616033756105E-4</v>
      </c>
      <c r="G64" s="10">
        <f t="shared" si="0"/>
        <v>5.0105485232068302E-4</v>
      </c>
      <c r="H64">
        <f t="shared" si="1"/>
        <v>0.85150316455697839</v>
      </c>
      <c r="I64" s="10">
        <f t="shared" si="2"/>
        <v>5.8843569017312199E-4</v>
      </c>
      <c r="J64">
        <f t="shared" si="3"/>
        <v>6.3144019608532415E-3</v>
      </c>
      <c r="K64" s="10">
        <f t="shared" si="4"/>
        <v>8.2281845337371173</v>
      </c>
    </row>
    <row r="65" spans="1:11" ht="15">
      <c r="A65" t="s">
        <v>537</v>
      </c>
      <c r="B65" s="1" t="s">
        <v>176</v>
      </c>
      <c r="C65" s="8" t="s">
        <v>562</v>
      </c>
      <c r="D65" s="10" t="s">
        <v>562</v>
      </c>
      <c r="E65" s="10">
        <v>0.95</v>
      </c>
      <c r="F65" s="11">
        <f>VLOOKUP(B65,Transcriptome!B:L,11,FALSE)</f>
        <v>5.0105485232068295E-3</v>
      </c>
      <c r="G65" s="10">
        <f t="shared" si="0"/>
        <v>4.7600210970464877E-3</v>
      </c>
      <c r="H65">
        <f t="shared" si="1"/>
        <v>0.85150316455697839</v>
      </c>
      <c r="I65" s="10">
        <f t="shared" si="2"/>
        <v>5.5901390566446578E-3</v>
      </c>
      <c r="J65">
        <f t="shared" si="3"/>
        <v>4.1830452182054029E-2</v>
      </c>
      <c r="K65" s="10">
        <f t="shared" si="4"/>
        <v>8.2281845337371173</v>
      </c>
    </row>
    <row r="66" spans="1:11" ht="15">
      <c r="A66" t="s">
        <v>537</v>
      </c>
      <c r="B66" s="1" t="s">
        <v>177</v>
      </c>
      <c r="C66" s="8" t="s">
        <v>644</v>
      </c>
      <c r="D66" s="10" t="s">
        <v>644</v>
      </c>
      <c r="E66" s="10">
        <v>0.95</v>
      </c>
      <c r="F66" s="11">
        <f>VLOOKUP(B66,Transcriptome!B:L,11,FALSE)</f>
        <v>5.0105485232068295E-3</v>
      </c>
      <c r="G66" s="10">
        <f t="shared" ref="G66:G129" si="5">E66*F66</f>
        <v>4.7600210970464877E-3</v>
      </c>
      <c r="H66">
        <f t="shared" ref="H66:H129" si="6">SUM($G$2:$G$522)</f>
        <v>0.85150316455697839</v>
      </c>
      <c r="I66" s="10">
        <f t="shared" ref="I66:I129" si="7">G66/H66</f>
        <v>5.5901390566446578E-3</v>
      </c>
      <c r="J66">
        <f t="shared" ref="J66:J129" si="8">-I66*LOG(I66,2)</f>
        <v>4.1830452182054029E-2</v>
      </c>
      <c r="K66" s="10">
        <f t="shared" ref="K66:K129" si="9">SUM($J$2:$J$522)</f>
        <v>8.2281845337371173</v>
      </c>
    </row>
    <row r="67" spans="1:11" ht="15">
      <c r="A67" t="s">
        <v>537</v>
      </c>
      <c r="B67" s="1" t="s">
        <v>178</v>
      </c>
      <c r="C67" s="8" t="s">
        <v>751</v>
      </c>
      <c r="D67" s="10" t="s">
        <v>751</v>
      </c>
      <c r="E67" s="10">
        <v>0.95</v>
      </c>
      <c r="F67" s="11">
        <f>VLOOKUP(B67,Transcriptome!B:L,11,FALSE)</f>
        <v>5.2742616033756105E-4</v>
      </c>
      <c r="G67" s="10">
        <f t="shared" si="5"/>
        <v>5.0105485232068302E-4</v>
      </c>
      <c r="H67">
        <f t="shared" si="6"/>
        <v>0.85150316455697839</v>
      </c>
      <c r="I67" s="10">
        <f t="shared" si="7"/>
        <v>5.8843569017312199E-4</v>
      </c>
      <c r="J67">
        <f t="shared" si="8"/>
        <v>6.3144019608532415E-3</v>
      </c>
      <c r="K67" s="10">
        <f t="shared" si="9"/>
        <v>8.2281845337371173</v>
      </c>
    </row>
    <row r="68" spans="1:11" ht="15">
      <c r="A68" t="s">
        <v>535</v>
      </c>
      <c r="B68" s="1" t="s">
        <v>328</v>
      </c>
      <c r="C68" s="8" t="s">
        <v>645</v>
      </c>
      <c r="D68" s="10" t="s">
        <v>645</v>
      </c>
      <c r="E68" s="10">
        <v>0.95</v>
      </c>
      <c r="F68" s="11">
        <f>VLOOKUP(B68,Transcriptome!B:L,11,FALSE)</f>
        <v>5.0105485232068295E-3</v>
      </c>
      <c r="G68" s="10">
        <f t="shared" si="5"/>
        <v>4.7600210970464877E-3</v>
      </c>
      <c r="H68">
        <f t="shared" si="6"/>
        <v>0.85150316455697839</v>
      </c>
      <c r="I68" s="10">
        <f t="shared" si="7"/>
        <v>5.5901390566446578E-3</v>
      </c>
      <c r="J68">
        <f t="shared" si="8"/>
        <v>4.1830452182054029E-2</v>
      </c>
      <c r="K68" s="10">
        <f t="shared" si="9"/>
        <v>8.2281845337371173</v>
      </c>
    </row>
    <row r="69" spans="1:11" ht="15">
      <c r="A69" t="s">
        <v>535</v>
      </c>
      <c r="B69" s="1" t="s">
        <v>329</v>
      </c>
      <c r="C69" s="8" t="s">
        <v>708</v>
      </c>
      <c r="D69" s="10" t="s">
        <v>708</v>
      </c>
      <c r="E69" s="10">
        <v>0.95</v>
      </c>
      <c r="F69" s="11">
        <f>VLOOKUP(B69,Transcriptome!B:L,11,FALSE)</f>
        <v>3.6919831223629265E-3</v>
      </c>
      <c r="G69" s="10">
        <f t="shared" si="5"/>
        <v>3.5073839662447801E-3</v>
      </c>
      <c r="H69">
        <f t="shared" si="6"/>
        <v>0.85150316455697839</v>
      </c>
      <c r="I69" s="10">
        <f t="shared" si="7"/>
        <v>4.1190498312118524E-3</v>
      </c>
      <c r="J69">
        <f t="shared" si="8"/>
        <v>3.2637178908119534E-2</v>
      </c>
      <c r="K69" s="10">
        <f t="shared" si="9"/>
        <v>8.2281845337371173</v>
      </c>
    </row>
    <row r="70" spans="1:11" ht="15">
      <c r="A70" t="s">
        <v>538</v>
      </c>
      <c r="B70" s="1" t="s">
        <v>138</v>
      </c>
      <c r="C70" s="8" t="s">
        <v>646</v>
      </c>
      <c r="D70" s="10" t="s">
        <v>646</v>
      </c>
      <c r="E70" s="10">
        <v>0.95</v>
      </c>
      <c r="F70" s="11">
        <f>VLOOKUP(B70,Transcriptome!B:L,11,FALSE)</f>
        <v>5.0105485232068295E-3</v>
      </c>
      <c r="G70" s="10">
        <f t="shared" si="5"/>
        <v>4.7600210970464877E-3</v>
      </c>
      <c r="H70">
        <f t="shared" si="6"/>
        <v>0.85150316455697839</v>
      </c>
      <c r="I70" s="10">
        <f t="shared" si="7"/>
        <v>5.5901390566446578E-3</v>
      </c>
      <c r="J70">
        <f t="shared" si="8"/>
        <v>4.1830452182054029E-2</v>
      </c>
      <c r="K70" s="10">
        <f t="shared" si="9"/>
        <v>8.2281845337371173</v>
      </c>
    </row>
    <row r="71" spans="1:11" ht="15">
      <c r="A71" t="s">
        <v>538</v>
      </c>
      <c r="B71" s="1" t="s">
        <v>140</v>
      </c>
      <c r="C71" s="8" t="s">
        <v>647</v>
      </c>
      <c r="D71" s="10" t="s">
        <v>647</v>
      </c>
      <c r="E71" s="10">
        <v>0.95</v>
      </c>
      <c r="F71" s="11">
        <f>VLOOKUP(B71,Transcriptome!B:L,11,FALSE)</f>
        <v>5.0105485232068295E-3</v>
      </c>
      <c r="G71" s="10">
        <f t="shared" si="5"/>
        <v>4.7600210970464877E-3</v>
      </c>
      <c r="H71">
        <f t="shared" si="6"/>
        <v>0.85150316455697839</v>
      </c>
      <c r="I71" s="10">
        <f t="shared" si="7"/>
        <v>5.5901390566446578E-3</v>
      </c>
      <c r="J71">
        <f t="shared" si="8"/>
        <v>4.1830452182054029E-2</v>
      </c>
      <c r="K71" s="10">
        <f t="shared" si="9"/>
        <v>8.2281845337371173</v>
      </c>
    </row>
    <row r="72" spans="1:11" ht="15">
      <c r="A72" t="s">
        <v>538</v>
      </c>
      <c r="B72" s="1" t="s">
        <v>141</v>
      </c>
      <c r="C72" s="8" t="s">
        <v>648</v>
      </c>
      <c r="D72" s="10" t="s">
        <v>648</v>
      </c>
      <c r="E72" s="10">
        <v>0.95</v>
      </c>
      <c r="F72" s="11">
        <f>VLOOKUP(B72,Transcriptome!B:L,11,FALSE)</f>
        <v>5.0105485232068295E-3</v>
      </c>
      <c r="G72" s="10">
        <f t="shared" si="5"/>
        <v>4.7600210970464877E-3</v>
      </c>
      <c r="H72">
        <f t="shared" si="6"/>
        <v>0.85150316455697839</v>
      </c>
      <c r="I72" s="10">
        <f t="shared" si="7"/>
        <v>5.5901390566446578E-3</v>
      </c>
      <c r="J72">
        <f t="shared" si="8"/>
        <v>4.1830452182054029E-2</v>
      </c>
      <c r="K72" s="10">
        <f t="shared" si="9"/>
        <v>8.2281845337371173</v>
      </c>
    </row>
    <row r="73" spans="1:11" ht="15">
      <c r="A73" t="s">
        <v>538</v>
      </c>
      <c r="B73" s="1" t="s">
        <v>144</v>
      </c>
      <c r="C73" s="8" t="s">
        <v>709</v>
      </c>
      <c r="D73" s="10" t="s">
        <v>709</v>
      </c>
      <c r="E73" s="10">
        <v>0.95</v>
      </c>
      <c r="F73" s="11">
        <f>VLOOKUP(B73,Transcriptome!B:L,11,FALSE)</f>
        <v>3.6919831223629265E-3</v>
      </c>
      <c r="G73" s="10">
        <f t="shared" si="5"/>
        <v>3.5073839662447801E-3</v>
      </c>
      <c r="H73">
        <f t="shared" si="6"/>
        <v>0.85150316455697839</v>
      </c>
      <c r="I73" s="10">
        <f t="shared" si="7"/>
        <v>4.1190498312118524E-3</v>
      </c>
      <c r="J73">
        <f t="shared" si="8"/>
        <v>3.2637178908119534E-2</v>
      </c>
      <c r="K73" s="10">
        <f t="shared" si="9"/>
        <v>8.2281845337371173</v>
      </c>
    </row>
    <row r="74" spans="1:11" ht="15">
      <c r="A74" t="s">
        <v>536</v>
      </c>
      <c r="B74" s="1" t="s">
        <v>424</v>
      </c>
      <c r="C74" s="8" t="s">
        <v>649</v>
      </c>
      <c r="D74" s="10" t="s">
        <v>649</v>
      </c>
      <c r="E74" s="10">
        <v>0.95</v>
      </c>
      <c r="F74" s="11">
        <f>VLOOKUP(B74,Transcriptome!B:L,11,FALSE)</f>
        <v>5.0105485232068295E-3</v>
      </c>
      <c r="G74" s="10">
        <f t="shared" si="5"/>
        <v>4.7600210970464877E-3</v>
      </c>
      <c r="H74">
        <f t="shared" si="6"/>
        <v>0.85150316455697839</v>
      </c>
      <c r="I74" s="10">
        <f t="shared" si="7"/>
        <v>5.5901390566446578E-3</v>
      </c>
      <c r="J74">
        <f t="shared" si="8"/>
        <v>4.1830452182054029E-2</v>
      </c>
      <c r="K74" s="10">
        <f t="shared" si="9"/>
        <v>8.2281845337371173</v>
      </c>
    </row>
    <row r="75" spans="1:11" ht="15">
      <c r="A75" t="s">
        <v>536</v>
      </c>
      <c r="B75" s="1" t="s">
        <v>425</v>
      </c>
      <c r="C75" s="8" t="s">
        <v>650</v>
      </c>
      <c r="D75" s="10" t="s">
        <v>650</v>
      </c>
      <c r="E75" s="10">
        <v>0.95</v>
      </c>
      <c r="F75" s="11">
        <f>VLOOKUP(B75,Transcriptome!B:L,11,FALSE)</f>
        <v>5.0105485232068295E-3</v>
      </c>
      <c r="G75" s="10">
        <f t="shared" si="5"/>
        <v>4.7600210970464877E-3</v>
      </c>
      <c r="H75">
        <f t="shared" si="6"/>
        <v>0.85150316455697839</v>
      </c>
      <c r="I75" s="10">
        <f t="shared" si="7"/>
        <v>5.5901390566446578E-3</v>
      </c>
      <c r="J75">
        <f t="shared" si="8"/>
        <v>4.1830452182054029E-2</v>
      </c>
      <c r="K75" s="10">
        <f t="shared" si="9"/>
        <v>8.2281845337371173</v>
      </c>
    </row>
    <row r="76" spans="1:11" ht="15">
      <c r="A76" t="s">
        <v>534</v>
      </c>
      <c r="B76" s="1" t="s">
        <v>73</v>
      </c>
      <c r="C76" s="8" t="s">
        <v>710</v>
      </c>
      <c r="D76" s="10" t="s">
        <v>710</v>
      </c>
      <c r="E76" s="10">
        <v>0.95</v>
      </c>
      <c r="F76" s="11">
        <f>VLOOKUP(B76,Transcriptome!B:L,11,FALSE)</f>
        <v>3.6919831223629265E-3</v>
      </c>
      <c r="G76" s="10">
        <f t="shared" si="5"/>
        <v>3.5073839662447801E-3</v>
      </c>
      <c r="H76">
        <f t="shared" si="6"/>
        <v>0.85150316455697839</v>
      </c>
      <c r="I76" s="10">
        <f t="shared" si="7"/>
        <v>4.1190498312118524E-3</v>
      </c>
      <c r="J76">
        <f t="shared" si="8"/>
        <v>3.2637178908119534E-2</v>
      </c>
      <c r="K76" s="10">
        <f t="shared" si="9"/>
        <v>8.2281845337371173</v>
      </c>
    </row>
    <row r="77" spans="1:11" ht="15">
      <c r="A77" t="s">
        <v>534</v>
      </c>
      <c r="B77" s="1" t="s">
        <v>75</v>
      </c>
      <c r="C77" s="8" t="s">
        <v>899</v>
      </c>
      <c r="D77" s="10" t="s">
        <v>899</v>
      </c>
      <c r="E77" s="10">
        <v>0.95</v>
      </c>
      <c r="F77" s="11">
        <f>VLOOKUP(B77,Transcriptome!B:L,11,FALSE)</f>
        <v>5.2742616033756105E-4</v>
      </c>
      <c r="G77" s="10">
        <f t="shared" si="5"/>
        <v>5.0105485232068302E-4</v>
      </c>
      <c r="H77">
        <f t="shared" si="6"/>
        <v>0.85150316455697839</v>
      </c>
      <c r="I77" s="10">
        <f t="shared" si="7"/>
        <v>5.8843569017312199E-4</v>
      </c>
      <c r="J77">
        <f t="shared" si="8"/>
        <v>6.3144019608532415E-3</v>
      </c>
      <c r="K77" s="10">
        <f t="shared" si="9"/>
        <v>8.2281845337371173</v>
      </c>
    </row>
    <row r="78" spans="1:11" ht="15">
      <c r="A78" t="s">
        <v>534</v>
      </c>
      <c r="B78" s="1" t="s">
        <v>76</v>
      </c>
      <c r="C78" s="8" t="s">
        <v>752</v>
      </c>
      <c r="D78" s="10" t="s">
        <v>752</v>
      </c>
      <c r="E78" s="10">
        <v>0.95</v>
      </c>
      <c r="F78" s="11">
        <f>VLOOKUP(B78,Transcriptome!B:L,11,FALSE)</f>
        <v>5.2742616033756105E-4</v>
      </c>
      <c r="G78" s="10">
        <f t="shared" si="5"/>
        <v>5.0105485232068302E-4</v>
      </c>
      <c r="H78">
        <f t="shared" si="6"/>
        <v>0.85150316455697839</v>
      </c>
      <c r="I78" s="10">
        <f t="shared" si="7"/>
        <v>5.8843569017312199E-4</v>
      </c>
      <c r="J78">
        <f t="shared" si="8"/>
        <v>6.3144019608532415E-3</v>
      </c>
      <c r="K78" s="10">
        <f t="shared" si="9"/>
        <v>8.2281845337371173</v>
      </c>
    </row>
    <row r="79" spans="1:11" ht="15">
      <c r="A79" t="s">
        <v>537</v>
      </c>
      <c r="B79" s="1" t="s">
        <v>180</v>
      </c>
      <c r="C79" s="8" t="s">
        <v>651</v>
      </c>
      <c r="D79" s="10" t="s">
        <v>651</v>
      </c>
      <c r="E79" s="10">
        <v>0.95</v>
      </c>
      <c r="F79" s="11">
        <f>VLOOKUP(B79,Transcriptome!B:L,11,FALSE)</f>
        <v>5.0105485232068295E-3</v>
      </c>
      <c r="G79" s="10">
        <f t="shared" si="5"/>
        <v>4.7600210970464877E-3</v>
      </c>
      <c r="H79">
        <f t="shared" si="6"/>
        <v>0.85150316455697839</v>
      </c>
      <c r="I79" s="10">
        <f t="shared" si="7"/>
        <v>5.5901390566446578E-3</v>
      </c>
      <c r="J79">
        <f t="shared" si="8"/>
        <v>4.1830452182054029E-2</v>
      </c>
      <c r="K79" s="10">
        <f t="shared" si="9"/>
        <v>8.2281845337371173</v>
      </c>
    </row>
    <row r="80" spans="1:11" ht="15">
      <c r="A80" t="s">
        <v>537</v>
      </c>
      <c r="B80" s="1" t="s">
        <v>181</v>
      </c>
      <c r="C80" s="8" t="s">
        <v>753</v>
      </c>
      <c r="D80" s="10" t="s">
        <v>753</v>
      </c>
      <c r="E80" s="10">
        <v>0.95</v>
      </c>
      <c r="F80" s="11">
        <f>VLOOKUP(B80,Transcriptome!B:L,11,FALSE)</f>
        <v>5.2742616033756105E-4</v>
      </c>
      <c r="G80" s="10">
        <f t="shared" si="5"/>
        <v>5.0105485232068302E-4</v>
      </c>
      <c r="H80">
        <f t="shared" si="6"/>
        <v>0.85150316455697839</v>
      </c>
      <c r="I80" s="10">
        <f t="shared" si="7"/>
        <v>5.8843569017312199E-4</v>
      </c>
      <c r="J80">
        <f t="shared" si="8"/>
        <v>6.3144019608532415E-3</v>
      </c>
      <c r="K80" s="10">
        <f t="shared" si="9"/>
        <v>8.2281845337371173</v>
      </c>
    </row>
    <row r="81" spans="1:11" ht="15">
      <c r="A81" t="s">
        <v>537</v>
      </c>
      <c r="B81" s="1" t="s">
        <v>182</v>
      </c>
      <c r="C81" s="8" t="s">
        <v>754</v>
      </c>
      <c r="D81" s="10" t="s">
        <v>754</v>
      </c>
      <c r="E81" s="10">
        <v>0.95</v>
      </c>
      <c r="F81" s="11">
        <f>VLOOKUP(B81,Transcriptome!B:L,11,FALSE)</f>
        <v>5.2742616033756105E-4</v>
      </c>
      <c r="G81" s="10">
        <f t="shared" si="5"/>
        <v>5.0105485232068302E-4</v>
      </c>
      <c r="H81">
        <f t="shared" si="6"/>
        <v>0.85150316455697839</v>
      </c>
      <c r="I81" s="10">
        <f t="shared" si="7"/>
        <v>5.8843569017312199E-4</v>
      </c>
      <c r="J81">
        <f t="shared" si="8"/>
        <v>6.3144019608532415E-3</v>
      </c>
      <c r="K81" s="10">
        <f t="shared" si="9"/>
        <v>8.2281845337371173</v>
      </c>
    </row>
    <row r="82" spans="1:11" ht="15">
      <c r="A82" t="s">
        <v>537</v>
      </c>
      <c r="B82" s="1" t="s">
        <v>183</v>
      </c>
      <c r="C82" s="8" t="s">
        <v>598</v>
      </c>
      <c r="D82" s="10" t="s">
        <v>598</v>
      </c>
      <c r="E82" s="10">
        <v>0.95</v>
      </c>
      <c r="F82" s="11">
        <f>VLOOKUP(B82,Transcriptome!B:L,11,FALSE)</f>
        <v>5.2742616033756105E-4</v>
      </c>
      <c r="G82" s="10">
        <f t="shared" si="5"/>
        <v>5.0105485232068302E-4</v>
      </c>
      <c r="H82">
        <f t="shared" si="6"/>
        <v>0.85150316455697839</v>
      </c>
      <c r="I82" s="10">
        <f t="shared" si="7"/>
        <v>5.8843569017312199E-4</v>
      </c>
      <c r="J82">
        <f t="shared" si="8"/>
        <v>6.3144019608532415E-3</v>
      </c>
      <c r="K82" s="10">
        <f t="shared" si="9"/>
        <v>8.2281845337371173</v>
      </c>
    </row>
    <row r="83" spans="1:11" ht="15">
      <c r="A83" t="s">
        <v>542</v>
      </c>
      <c r="B83" s="1" t="s">
        <v>501</v>
      </c>
      <c r="C83" s="8" t="s">
        <v>755</v>
      </c>
      <c r="D83" s="10" t="s">
        <v>755</v>
      </c>
      <c r="E83" s="10">
        <v>0.95</v>
      </c>
      <c r="F83" s="11">
        <f>VLOOKUP(B83,Transcriptome!B:L,11,FALSE)</f>
        <v>5.2742616033756105E-4</v>
      </c>
      <c r="G83" s="10">
        <f t="shared" si="5"/>
        <v>5.0105485232068302E-4</v>
      </c>
      <c r="H83">
        <f t="shared" si="6"/>
        <v>0.85150316455697839</v>
      </c>
      <c r="I83" s="10">
        <f t="shared" si="7"/>
        <v>5.8843569017312199E-4</v>
      </c>
      <c r="J83">
        <f t="shared" si="8"/>
        <v>6.3144019608532415E-3</v>
      </c>
      <c r="K83" s="10">
        <f t="shared" si="9"/>
        <v>8.2281845337371173</v>
      </c>
    </row>
    <row r="84" spans="1:11" ht="15">
      <c r="A84" t="s">
        <v>535</v>
      </c>
      <c r="B84" s="1" t="s">
        <v>332</v>
      </c>
      <c r="C84" s="8" t="s">
        <v>579</v>
      </c>
      <c r="D84" s="10" t="s">
        <v>579</v>
      </c>
      <c r="E84" s="10">
        <v>0.95</v>
      </c>
      <c r="F84" s="11">
        <f>VLOOKUP(B84,Transcriptome!B:L,11,FALSE)</f>
        <v>3.6919831223629265E-3</v>
      </c>
      <c r="G84" s="10">
        <f t="shared" si="5"/>
        <v>3.5073839662447801E-3</v>
      </c>
      <c r="H84">
        <f t="shared" si="6"/>
        <v>0.85150316455697839</v>
      </c>
      <c r="I84" s="10">
        <f t="shared" si="7"/>
        <v>4.1190498312118524E-3</v>
      </c>
      <c r="J84">
        <f t="shared" si="8"/>
        <v>3.2637178908119534E-2</v>
      </c>
      <c r="K84" s="10">
        <f t="shared" si="9"/>
        <v>8.2281845337371173</v>
      </c>
    </row>
    <row r="85" spans="1:11" ht="15">
      <c r="A85" t="s">
        <v>536</v>
      </c>
      <c r="B85" s="1" t="s">
        <v>429</v>
      </c>
      <c r="C85" s="8" t="s">
        <v>756</v>
      </c>
      <c r="D85" s="10" t="s">
        <v>756</v>
      </c>
      <c r="E85" s="10">
        <v>0.95</v>
      </c>
      <c r="F85" s="11">
        <f>VLOOKUP(B85,Transcriptome!B:L,11,FALSE)</f>
        <v>5.2742616033756105E-4</v>
      </c>
      <c r="G85" s="10">
        <f t="shared" si="5"/>
        <v>5.0105485232068302E-4</v>
      </c>
      <c r="H85">
        <f t="shared" si="6"/>
        <v>0.85150316455697839</v>
      </c>
      <c r="I85" s="10">
        <f t="shared" si="7"/>
        <v>5.8843569017312199E-4</v>
      </c>
      <c r="J85">
        <f t="shared" si="8"/>
        <v>6.3144019608532415E-3</v>
      </c>
      <c r="K85" s="10">
        <f t="shared" si="9"/>
        <v>8.2281845337371173</v>
      </c>
    </row>
    <row r="86" spans="1:11" ht="15">
      <c r="A86" t="s">
        <v>536</v>
      </c>
      <c r="B86" s="1" t="s">
        <v>431</v>
      </c>
      <c r="C86" s="8" t="s">
        <v>757</v>
      </c>
      <c r="D86" s="10" t="s">
        <v>757</v>
      </c>
      <c r="E86" s="10">
        <v>0.95</v>
      </c>
      <c r="F86" s="11">
        <f>VLOOKUP(B86,Transcriptome!B:L,11,FALSE)</f>
        <v>5.2742616033756105E-4</v>
      </c>
      <c r="G86" s="10">
        <f t="shared" si="5"/>
        <v>5.0105485232068302E-4</v>
      </c>
      <c r="H86">
        <f t="shared" si="6"/>
        <v>0.85150316455697839</v>
      </c>
      <c r="I86" s="10">
        <f t="shared" si="7"/>
        <v>5.8843569017312199E-4</v>
      </c>
      <c r="J86">
        <f t="shared" si="8"/>
        <v>6.3144019608532415E-3</v>
      </c>
      <c r="K86" s="10">
        <f t="shared" si="9"/>
        <v>8.2281845337371173</v>
      </c>
    </row>
    <row r="87" spans="1:11" ht="15">
      <c r="A87" t="s">
        <v>535</v>
      </c>
      <c r="B87" s="1" t="s">
        <v>333</v>
      </c>
      <c r="C87" s="8" t="s">
        <v>758</v>
      </c>
      <c r="D87" s="10" t="s">
        <v>758</v>
      </c>
      <c r="E87" s="10">
        <v>0.95</v>
      </c>
      <c r="F87" s="11">
        <f>VLOOKUP(B87,Transcriptome!B:L,11,FALSE)</f>
        <v>5.2742616033756105E-4</v>
      </c>
      <c r="G87" s="10">
        <f t="shared" si="5"/>
        <v>5.0105485232068302E-4</v>
      </c>
      <c r="H87">
        <f t="shared" si="6"/>
        <v>0.85150316455697839</v>
      </c>
      <c r="I87" s="10">
        <f t="shared" si="7"/>
        <v>5.8843569017312199E-4</v>
      </c>
      <c r="J87">
        <f t="shared" si="8"/>
        <v>6.3144019608532415E-3</v>
      </c>
      <c r="K87" s="10">
        <f t="shared" si="9"/>
        <v>8.2281845337371173</v>
      </c>
    </row>
    <row r="88" spans="1:11" ht="15">
      <c r="A88" t="s">
        <v>535</v>
      </c>
      <c r="B88" s="1" t="s">
        <v>335</v>
      </c>
      <c r="C88" s="8" t="s">
        <v>759</v>
      </c>
      <c r="D88" s="10" t="s">
        <v>759</v>
      </c>
      <c r="E88" s="10">
        <v>0.95</v>
      </c>
      <c r="F88" s="11">
        <f>VLOOKUP(B88,Transcriptome!B:L,11,FALSE)</f>
        <v>5.2742616033756105E-4</v>
      </c>
      <c r="G88" s="10">
        <f t="shared" si="5"/>
        <v>5.0105485232068302E-4</v>
      </c>
      <c r="H88">
        <f t="shared" si="6"/>
        <v>0.85150316455697839</v>
      </c>
      <c r="I88" s="10">
        <f t="shared" si="7"/>
        <v>5.8843569017312199E-4</v>
      </c>
      <c r="J88">
        <f t="shared" si="8"/>
        <v>6.3144019608532415E-3</v>
      </c>
      <c r="K88" s="10">
        <f t="shared" si="9"/>
        <v>8.2281845337371173</v>
      </c>
    </row>
    <row r="89" spans="1:11" ht="15">
      <c r="A89" t="s">
        <v>535</v>
      </c>
      <c r="B89" s="1" t="s">
        <v>336</v>
      </c>
      <c r="C89" s="8" t="s">
        <v>604</v>
      </c>
      <c r="D89" s="10" t="s">
        <v>604</v>
      </c>
      <c r="E89" s="10">
        <v>0.95</v>
      </c>
      <c r="F89" s="11">
        <f>VLOOKUP(B89,Transcriptome!B:L,11,FALSE)</f>
        <v>5.2742616033756105E-4</v>
      </c>
      <c r="G89" s="10">
        <f t="shared" si="5"/>
        <v>5.0105485232068302E-4</v>
      </c>
      <c r="H89">
        <f t="shared" si="6"/>
        <v>0.85150316455697839</v>
      </c>
      <c r="I89" s="10">
        <f t="shared" si="7"/>
        <v>5.8843569017312199E-4</v>
      </c>
      <c r="J89">
        <f t="shared" si="8"/>
        <v>6.3144019608532415E-3</v>
      </c>
      <c r="K89" s="10">
        <f t="shared" si="9"/>
        <v>8.2281845337371173</v>
      </c>
    </row>
    <row r="90" spans="1:11" ht="15">
      <c r="A90" t="s">
        <v>535</v>
      </c>
      <c r="B90" s="1" t="s">
        <v>337</v>
      </c>
      <c r="C90" s="8" t="s">
        <v>760</v>
      </c>
      <c r="D90" s="10" t="s">
        <v>760</v>
      </c>
      <c r="E90" s="10">
        <v>0.95</v>
      </c>
      <c r="F90" s="11">
        <f>VLOOKUP(B90,Transcriptome!B:L,11,FALSE)</f>
        <v>5.2742616033756105E-4</v>
      </c>
      <c r="G90" s="10">
        <f t="shared" si="5"/>
        <v>5.0105485232068302E-4</v>
      </c>
      <c r="H90">
        <f t="shared" si="6"/>
        <v>0.85150316455697839</v>
      </c>
      <c r="I90" s="10">
        <f t="shared" si="7"/>
        <v>5.8843569017312199E-4</v>
      </c>
      <c r="J90">
        <f t="shared" si="8"/>
        <v>6.3144019608532415E-3</v>
      </c>
      <c r="K90" s="10">
        <f t="shared" si="9"/>
        <v>8.2281845337371173</v>
      </c>
    </row>
    <row r="91" spans="1:11" ht="15">
      <c r="A91" t="s">
        <v>535</v>
      </c>
      <c r="B91" s="1" t="s">
        <v>339</v>
      </c>
      <c r="C91" s="8" t="s">
        <v>761</v>
      </c>
      <c r="D91" s="10" t="s">
        <v>761</v>
      </c>
      <c r="E91" s="10">
        <v>0.95</v>
      </c>
      <c r="F91" s="11">
        <f>VLOOKUP(B91,Transcriptome!B:L,11,FALSE)</f>
        <v>5.2742616033756105E-4</v>
      </c>
      <c r="G91" s="10">
        <f t="shared" si="5"/>
        <v>5.0105485232068302E-4</v>
      </c>
      <c r="H91">
        <f t="shared" si="6"/>
        <v>0.85150316455697839</v>
      </c>
      <c r="I91" s="10">
        <f t="shared" si="7"/>
        <v>5.8843569017312199E-4</v>
      </c>
      <c r="J91">
        <f t="shared" si="8"/>
        <v>6.3144019608532415E-3</v>
      </c>
      <c r="K91" s="10">
        <f t="shared" si="9"/>
        <v>8.2281845337371173</v>
      </c>
    </row>
    <row r="92" spans="1:11" ht="15">
      <c r="A92" t="s">
        <v>535</v>
      </c>
      <c r="B92" s="1" t="s">
        <v>340</v>
      </c>
      <c r="C92" s="8" t="s">
        <v>762</v>
      </c>
      <c r="D92" s="10" t="s">
        <v>762</v>
      </c>
      <c r="E92" s="10">
        <v>0.95</v>
      </c>
      <c r="F92" s="11">
        <f>VLOOKUP(B92,Transcriptome!B:L,11,FALSE)</f>
        <v>5.2742616033756105E-4</v>
      </c>
      <c r="G92" s="10">
        <f t="shared" si="5"/>
        <v>5.0105485232068302E-4</v>
      </c>
      <c r="H92">
        <f t="shared" si="6"/>
        <v>0.85150316455697839</v>
      </c>
      <c r="I92" s="10">
        <f t="shared" si="7"/>
        <v>5.8843569017312199E-4</v>
      </c>
      <c r="J92">
        <f t="shared" si="8"/>
        <v>6.3144019608532415E-3</v>
      </c>
      <c r="K92" s="10">
        <f t="shared" si="9"/>
        <v>8.2281845337371173</v>
      </c>
    </row>
    <row r="93" spans="1:11" ht="15">
      <c r="A93" t="s">
        <v>535</v>
      </c>
      <c r="B93" s="1" t="s">
        <v>342</v>
      </c>
      <c r="C93" s="8" t="s">
        <v>763</v>
      </c>
      <c r="D93" s="10" t="s">
        <v>763</v>
      </c>
      <c r="E93" s="10">
        <v>0.95</v>
      </c>
      <c r="F93" s="11">
        <f>VLOOKUP(B93,Transcriptome!B:L,11,FALSE)</f>
        <v>5.2742616033756105E-4</v>
      </c>
      <c r="G93" s="10">
        <f t="shared" si="5"/>
        <v>5.0105485232068302E-4</v>
      </c>
      <c r="H93">
        <f t="shared" si="6"/>
        <v>0.85150316455697839</v>
      </c>
      <c r="I93" s="10">
        <f t="shared" si="7"/>
        <v>5.8843569017312199E-4</v>
      </c>
      <c r="J93">
        <f t="shared" si="8"/>
        <v>6.3144019608532415E-3</v>
      </c>
      <c r="K93" s="10">
        <f t="shared" si="9"/>
        <v>8.2281845337371173</v>
      </c>
    </row>
    <row r="94" spans="1:11" ht="15">
      <c r="A94" t="s">
        <v>535</v>
      </c>
      <c r="B94" s="1" t="s">
        <v>343</v>
      </c>
      <c r="C94" s="8" t="s">
        <v>591</v>
      </c>
      <c r="D94" s="10" t="s">
        <v>591</v>
      </c>
      <c r="E94" s="10">
        <v>0.95</v>
      </c>
      <c r="F94" s="11">
        <f>VLOOKUP(B94,Transcriptome!B:L,11,FALSE)</f>
        <v>5.2742616033756105E-4</v>
      </c>
      <c r="G94" s="10">
        <f t="shared" si="5"/>
        <v>5.0105485232068302E-4</v>
      </c>
      <c r="H94">
        <f t="shared" si="6"/>
        <v>0.85150316455697839</v>
      </c>
      <c r="I94" s="10">
        <f t="shared" si="7"/>
        <v>5.8843569017312199E-4</v>
      </c>
      <c r="J94">
        <f t="shared" si="8"/>
        <v>6.3144019608532415E-3</v>
      </c>
      <c r="K94" s="10">
        <f t="shared" si="9"/>
        <v>8.2281845337371173</v>
      </c>
    </row>
    <row r="95" spans="1:11" ht="15">
      <c r="A95" t="s">
        <v>535</v>
      </c>
      <c r="B95" s="1" t="s">
        <v>344</v>
      </c>
      <c r="C95" s="8" t="s">
        <v>764</v>
      </c>
      <c r="D95" s="10" t="s">
        <v>764</v>
      </c>
      <c r="E95" s="10">
        <v>0.95</v>
      </c>
      <c r="F95" s="11">
        <f>VLOOKUP(B95,Transcriptome!B:L,11,FALSE)</f>
        <v>5.2742616033756105E-4</v>
      </c>
      <c r="G95" s="10">
        <f t="shared" si="5"/>
        <v>5.0105485232068302E-4</v>
      </c>
      <c r="H95">
        <f t="shared" si="6"/>
        <v>0.85150316455697839</v>
      </c>
      <c r="I95" s="10">
        <f t="shared" si="7"/>
        <v>5.8843569017312199E-4</v>
      </c>
      <c r="J95">
        <f t="shared" si="8"/>
        <v>6.3144019608532415E-3</v>
      </c>
      <c r="K95" s="10">
        <f t="shared" si="9"/>
        <v>8.2281845337371173</v>
      </c>
    </row>
    <row r="96" spans="1:11" ht="15">
      <c r="A96" t="s">
        <v>535</v>
      </c>
      <c r="B96" s="1" t="s">
        <v>345</v>
      </c>
      <c r="C96" s="8" t="s">
        <v>765</v>
      </c>
      <c r="D96" s="10" t="s">
        <v>765</v>
      </c>
      <c r="E96" s="10">
        <v>0.95</v>
      </c>
      <c r="F96" s="11">
        <f>VLOOKUP(B96,Transcriptome!B:L,11,FALSE)</f>
        <v>5.2742616033756105E-4</v>
      </c>
      <c r="G96" s="10">
        <f t="shared" si="5"/>
        <v>5.0105485232068302E-4</v>
      </c>
      <c r="H96">
        <f t="shared" si="6"/>
        <v>0.85150316455697839</v>
      </c>
      <c r="I96" s="10">
        <f t="shared" si="7"/>
        <v>5.8843569017312199E-4</v>
      </c>
      <c r="J96">
        <f t="shared" si="8"/>
        <v>6.3144019608532415E-3</v>
      </c>
      <c r="K96" s="10">
        <f t="shared" si="9"/>
        <v>8.2281845337371173</v>
      </c>
    </row>
    <row r="97" spans="1:11" ht="15">
      <c r="A97" t="s">
        <v>535</v>
      </c>
      <c r="B97" s="1" t="s">
        <v>346</v>
      </c>
      <c r="C97" s="8" t="s">
        <v>766</v>
      </c>
      <c r="D97" s="10" t="s">
        <v>766</v>
      </c>
      <c r="E97" s="10">
        <v>0.95</v>
      </c>
      <c r="F97" s="11">
        <f>VLOOKUP(B97,Transcriptome!B:L,11,FALSE)</f>
        <v>5.2742616033756105E-4</v>
      </c>
      <c r="G97" s="10">
        <f t="shared" si="5"/>
        <v>5.0105485232068302E-4</v>
      </c>
      <c r="H97">
        <f t="shared" si="6"/>
        <v>0.85150316455697839</v>
      </c>
      <c r="I97" s="10">
        <f t="shared" si="7"/>
        <v>5.8843569017312199E-4</v>
      </c>
      <c r="J97">
        <f t="shared" si="8"/>
        <v>6.3144019608532415E-3</v>
      </c>
      <c r="K97" s="10">
        <f t="shared" si="9"/>
        <v>8.2281845337371173</v>
      </c>
    </row>
    <row r="98" spans="1:11" ht="15">
      <c r="A98" t="s">
        <v>535</v>
      </c>
      <c r="B98" s="1" t="s">
        <v>347</v>
      </c>
      <c r="C98" s="8" t="s">
        <v>652</v>
      </c>
      <c r="D98" s="10" t="s">
        <v>652</v>
      </c>
      <c r="E98" s="10">
        <v>0.95</v>
      </c>
      <c r="F98" s="11">
        <f>VLOOKUP(B98,Transcriptome!B:L,11,FALSE)</f>
        <v>5.0105485232068295E-3</v>
      </c>
      <c r="G98" s="10">
        <f t="shared" si="5"/>
        <v>4.7600210970464877E-3</v>
      </c>
      <c r="H98">
        <f t="shared" si="6"/>
        <v>0.85150316455697839</v>
      </c>
      <c r="I98" s="10">
        <f t="shared" si="7"/>
        <v>5.5901390566446578E-3</v>
      </c>
      <c r="J98">
        <f t="shared" si="8"/>
        <v>4.1830452182054029E-2</v>
      </c>
      <c r="K98" s="10">
        <f t="shared" si="9"/>
        <v>8.2281845337371173</v>
      </c>
    </row>
    <row r="99" spans="1:11" ht="15">
      <c r="A99" t="s">
        <v>535</v>
      </c>
      <c r="B99" s="1" t="s">
        <v>349</v>
      </c>
      <c r="C99" s="8" t="s">
        <v>767</v>
      </c>
      <c r="D99" s="10" t="s">
        <v>767</v>
      </c>
      <c r="E99" s="10">
        <v>0.95</v>
      </c>
      <c r="F99" s="11">
        <f>VLOOKUP(B99,Transcriptome!B:L,11,FALSE)</f>
        <v>5.2742616033756105E-4</v>
      </c>
      <c r="G99" s="10">
        <f t="shared" si="5"/>
        <v>5.0105485232068302E-4</v>
      </c>
      <c r="H99">
        <f t="shared" si="6"/>
        <v>0.85150316455697839</v>
      </c>
      <c r="I99" s="10">
        <f t="shared" si="7"/>
        <v>5.8843569017312199E-4</v>
      </c>
      <c r="J99">
        <f t="shared" si="8"/>
        <v>6.3144019608532415E-3</v>
      </c>
      <c r="K99" s="10">
        <f t="shared" si="9"/>
        <v>8.2281845337371173</v>
      </c>
    </row>
    <row r="100" spans="1:11" ht="15">
      <c r="A100" t="s">
        <v>536</v>
      </c>
      <c r="B100" s="1" t="s">
        <v>432</v>
      </c>
      <c r="C100" s="8" t="s">
        <v>768</v>
      </c>
      <c r="D100" s="10" t="s">
        <v>768</v>
      </c>
      <c r="E100" s="10">
        <v>0.95</v>
      </c>
      <c r="F100" s="11">
        <f>VLOOKUP(B100,Transcriptome!B:L,11,FALSE)</f>
        <v>5.2742616033756105E-4</v>
      </c>
      <c r="G100" s="10">
        <f t="shared" si="5"/>
        <v>5.0105485232068302E-4</v>
      </c>
      <c r="H100">
        <f t="shared" si="6"/>
        <v>0.85150316455697839</v>
      </c>
      <c r="I100" s="10">
        <f t="shared" si="7"/>
        <v>5.8843569017312199E-4</v>
      </c>
      <c r="J100">
        <f t="shared" si="8"/>
        <v>6.3144019608532415E-3</v>
      </c>
      <c r="K100" s="10">
        <f t="shared" si="9"/>
        <v>8.2281845337371173</v>
      </c>
    </row>
    <row r="101" spans="1:11" ht="15">
      <c r="A101" t="s">
        <v>542</v>
      </c>
      <c r="B101" s="1" t="s">
        <v>504</v>
      </c>
      <c r="C101" s="8" t="s">
        <v>769</v>
      </c>
      <c r="D101" s="10" t="s">
        <v>769</v>
      </c>
      <c r="E101" s="10">
        <v>0.95</v>
      </c>
      <c r="F101" s="11">
        <f>VLOOKUP(B101,Transcriptome!B:L,11,FALSE)</f>
        <v>5.2742616033756105E-4</v>
      </c>
      <c r="G101" s="10">
        <f t="shared" si="5"/>
        <v>5.0105485232068302E-4</v>
      </c>
      <c r="H101">
        <f t="shared" si="6"/>
        <v>0.85150316455697839</v>
      </c>
      <c r="I101" s="10">
        <f t="shared" si="7"/>
        <v>5.8843569017312199E-4</v>
      </c>
      <c r="J101">
        <f t="shared" si="8"/>
        <v>6.3144019608532415E-3</v>
      </c>
      <c r="K101" s="10">
        <f t="shared" si="9"/>
        <v>8.2281845337371173</v>
      </c>
    </row>
    <row r="102" spans="1:11" ht="15">
      <c r="A102" t="s">
        <v>535</v>
      </c>
      <c r="B102" s="1" t="s">
        <v>352</v>
      </c>
      <c r="C102" s="8" t="s">
        <v>770</v>
      </c>
      <c r="D102" s="10" t="s">
        <v>770</v>
      </c>
      <c r="E102" s="10">
        <v>0.95</v>
      </c>
      <c r="F102" s="11">
        <f>VLOOKUP(B102,Transcriptome!B:L,11,FALSE)</f>
        <v>5.2742616033756105E-4</v>
      </c>
      <c r="G102" s="10">
        <f t="shared" si="5"/>
        <v>5.0105485232068302E-4</v>
      </c>
      <c r="H102">
        <f t="shared" si="6"/>
        <v>0.85150316455697839</v>
      </c>
      <c r="I102" s="10">
        <f t="shared" si="7"/>
        <v>5.8843569017312199E-4</v>
      </c>
      <c r="J102">
        <f t="shared" si="8"/>
        <v>6.3144019608532415E-3</v>
      </c>
      <c r="K102" s="10">
        <f t="shared" si="9"/>
        <v>8.2281845337371173</v>
      </c>
    </row>
    <row r="103" spans="1:11" ht="15">
      <c r="A103" t="s">
        <v>535</v>
      </c>
      <c r="B103" s="1" t="s">
        <v>353</v>
      </c>
      <c r="C103" s="8" t="s">
        <v>574</v>
      </c>
      <c r="D103" s="10" t="s">
        <v>574</v>
      </c>
      <c r="E103" s="10">
        <v>0.95</v>
      </c>
      <c r="F103" s="11">
        <f>VLOOKUP(B103,Transcriptome!B:L,11,FALSE)</f>
        <v>5.0105485232068295E-3</v>
      </c>
      <c r="G103" s="10">
        <f t="shared" si="5"/>
        <v>4.7600210970464877E-3</v>
      </c>
      <c r="H103">
        <f t="shared" si="6"/>
        <v>0.85150316455697839</v>
      </c>
      <c r="I103" s="10">
        <f t="shared" si="7"/>
        <v>5.5901390566446578E-3</v>
      </c>
      <c r="J103">
        <f t="shared" si="8"/>
        <v>4.1830452182054029E-2</v>
      </c>
      <c r="K103" s="10">
        <f t="shared" si="9"/>
        <v>8.2281845337371173</v>
      </c>
    </row>
    <row r="104" spans="1:11" ht="15">
      <c r="A104" t="s">
        <v>535</v>
      </c>
      <c r="B104" s="1" t="s">
        <v>354</v>
      </c>
      <c r="C104" s="8" t="s">
        <v>771</v>
      </c>
      <c r="D104" s="10" t="s">
        <v>771</v>
      </c>
      <c r="E104" s="10">
        <v>0.95</v>
      </c>
      <c r="F104" s="11">
        <f>VLOOKUP(B104,Transcriptome!B:L,11,FALSE)</f>
        <v>5.2742616033756105E-4</v>
      </c>
      <c r="G104" s="10">
        <f t="shared" si="5"/>
        <v>5.0105485232068302E-4</v>
      </c>
      <c r="H104">
        <f t="shared" si="6"/>
        <v>0.85150316455697839</v>
      </c>
      <c r="I104" s="10">
        <f t="shared" si="7"/>
        <v>5.8843569017312199E-4</v>
      </c>
      <c r="J104">
        <f t="shared" si="8"/>
        <v>6.3144019608532415E-3</v>
      </c>
      <c r="K104" s="10">
        <f t="shared" si="9"/>
        <v>8.2281845337371173</v>
      </c>
    </row>
    <row r="105" spans="1:11" ht="15">
      <c r="A105" t="s">
        <v>535</v>
      </c>
      <c r="B105" s="1" t="s">
        <v>355</v>
      </c>
      <c r="C105" s="8" t="s">
        <v>772</v>
      </c>
      <c r="D105" s="10" t="s">
        <v>772</v>
      </c>
      <c r="E105" s="10">
        <v>0.95</v>
      </c>
      <c r="F105" s="11">
        <f>VLOOKUP(B105,Transcriptome!B:L,11,FALSE)</f>
        <v>5.2742616033756105E-4</v>
      </c>
      <c r="G105" s="10">
        <f t="shared" si="5"/>
        <v>5.0105485232068302E-4</v>
      </c>
      <c r="H105">
        <f t="shared" si="6"/>
        <v>0.85150316455697839</v>
      </c>
      <c r="I105" s="10">
        <f t="shared" si="7"/>
        <v>5.8843569017312199E-4</v>
      </c>
      <c r="J105">
        <f t="shared" si="8"/>
        <v>6.3144019608532415E-3</v>
      </c>
      <c r="K105" s="10">
        <f t="shared" si="9"/>
        <v>8.2281845337371173</v>
      </c>
    </row>
    <row r="106" spans="1:11" ht="15">
      <c r="A106" t="s">
        <v>535</v>
      </c>
      <c r="B106" s="1" t="s">
        <v>356</v>
      </c>
      <c r="C106" s="8" t="s">
        <v>773</v>
      </c>
      <c r="D106" s="10" t="s">
        <v>773</v>
      </c>
      <c r="E106" s="10">
        <v>0.95</v>
      </c>
      <c r="F106" s="11">
        <f>VLOOKUP(B106,Transcriptome!B:L,11,FALSE)</f>
        <v>5.2742616033756105E-4</v>
      </c>
      <c r="G106" s="10">
        <f t="shared" si="5"/>
        <v>5.0105485232068302E-4</v>
      </c>
      <c r="H106">
        <f t="shared" si="6"/>
        <v>0.85150316455697839</v>
      </c>
      <c r="I106" s="10">
        <f t="shared" si="7"/>
        <v>5.8843569017312199E-4</v>
      </c>
      <c r="J106">
        <f t="shared" si="8"/>
        <v>6.3144019608532415E-3</v>
      </c>
      <c r="K106" s="10">
        <f t="shared" si="9"/>
        <v>8.2281845337371173</v>
      </c>
    </row>
    <row r="107" spans="1:11" ht="15">
      <c r="A107" t="s">
        <v>535</v>
      </c>
      <c r="B107" s="1" t="s">
        <v>357</v>
      </c>
      <c r="C107" s="8" t="s">
        <v>774</v>
      </c>
      <c r="D107" s="10" t="s">
        <v>774</v>
      </c>
      <c r="E107" s="10">
        <v>0.95</v>
      </c>
      <c r="F107" s="11">
        <f>VLOOKUP(B107,Transcriptome!B:L,11,FALSE)</f>
        <v>5.2742616033756105E-4</v>
      </c>
      <c r="G107" s="10">
        <f t="shared" si="5"/>
        <v>5.0105485232068302E-4</v>
      </c>
      <c r="H107">
        <f t="shared" si="6"/>
        <v>0.85150316455697839</v>
      </c>
      <c r="I107" s="10">
        <f t="shared" si="7"/>
        <v>5.8843569017312199E-4</v>
      </c>
      <c r="J107">
        <f t="shared" si="8"/>
        <v>6.3144019608532415E-3</v>
      </c>
      <c r="K107" s="10">
        <f t="shared" si="9"/>
        <v>8.2281845337371173</v>
      </c>
    </row>
    <row r="108" spans="1:11" ht="15">
      <c r="A108" t="s">
        <v>535</v>
      </c>
      <c r="B108" s="1" t="s">
        <v>358</v>
      </c>
      <c r="C108" s="8" t="s">
        <v>775</v>
      </c>
      <c r="D108" s="10" t="s">
        <v>775</v>
      </c>
      <c r="E108" s="10">
        <v>0.95</v>
      </c>
      <c r="F108" s="11">
        <f>VLOOKUP(B108,Transcriptome!B:L,11,FALSE)</f>
        <v>5.2742616033756105E-4</v>
      </c>
      <c r="G108" s="10">
        <f t="shared" si="5"/>
        <v>5.0105485232068302E-4</v>
      </c>
      <c r="H108">
        <f t="shared" si="6"/>
        <v>0.85150316455697839</v>
      </c>
      <c r="I108" s="10">
        <f t="shared" si="7"/>
        <v>5.8843569017312199E-4</v>
      </c>
      <c r="J108">
        <f t="shared" si="8"/>
        <v>6.3144019608532415E-3</v>
      </c>
      <c r="K108" s="10">
        <f t="shared" si="9"/>
        <v>8.2281845337371173</v>
      </c>
    </row>
    <row r="109" spans="1:11" ht="15">
      <c r="A109" t="s">
        <v>535</v>
      </c>
      <c r="B109" s="1" t="s">
        <v>359</v>
      </c>
      <c r="C109" s="8" t="s">
        <v>776</v>
      </c>
      <c r="D109" s="10" t="s">
        <v>776</v>
      </c>
      <c r="E109" s="10">
        <v>0.95</v>
      </c>
      <c r="F109" s="11">
        <f>VLOOKUP(B109,Transcriptome!B:L,11,FALSE)</f>
        <v>5.2742616033756105E-4</v>
      </c>
      <c r="G109" s="10">
        <f t="shared" si="5"/>
        <v>5.0105485232068302E-4</v>
      </c>
      <c r="H109">
        <f t="shared" si="6"/>
        <v>0.85150316455697839</v>
      </c>
      <c r="I109" s="10">
        <f t="shared" si="7"/>
        <v>5.8843569017312199E-4</v>
      </c>
      <c r="J109">
        <f t="shared" si="8"/>
        <v>6.3144019608532415E-3</v>
      </c>
      <c r="K109" s="10">
        <f t="shared" si="9"/>
        <v>8.2281845337371173</v>
      </c>
    </row>
    <row r="110" spans="1:11" ht="15">
      <c r="A110" t="s">
        <v>535</v>
      </c>
      <c r="B110" s="1" t="s">
        <v>360</v>
      </c>
      <c r="C110" s="8" t="s">
        <v>653</v>
      </c>
      <c r="D110" s="10" t="s">
        <v>653</v>
      </c>
      <c r="E110" s="10">
        <v>0.95</v>
      </c>
      <c r="F110" s="11">
        <f>VLOOKUP(B110,Transcriptome!B:L,11,FALSE)</f>
        <v>5.0105485232068295E-3</v>
      </c>
      <c r="G110" s="10">
        <f t="shared" si="5"/>
        <v>4.7600210970464877E-3</v>
      </c>
      <c r="H110">
        <f t="shared" si="6"/>
        <v>0.85150316455697839</v>
      </c>
      <c r="I110" s="10">
        <f t="shared" si="7"/>
        <v>5.5901390566446578E-3</v>
      </c>
      <c r="J110">
        <f t="shared" si="8"/>
        <v>4.1830452182054029E-2</v>
      </c>
      <c r="K110" s="10">
        <f t="shared" si="9"/>
        <v>8.2281845337371173</v>
      </c>
    </row>
    <row r="111" spans="1:11" ht="15">
      <c r="A111" t="s">
        <v>535</v>
      </c>
      <c r="B111" s="1" t="s">
        <v>361</v>
      </c>
      <c r="C111" s="8" t="s">
        <v>777</v>
      </c>
      <c r="D111" s="10" t="s">
        <v>777</v>
      </c>
      <c r="E111" s="10">
        <v>0.95</v>
      </c>
      <c r="F111" s="11">
        <f>VLOOKUP(B111,Transcriptome!B:L,11,FALSE)</f>
        <v>5.2742616033756105E-4</v>
      </c>
      <c r="G111" s="10">
        <f t="shared" si="5"/>
        <v>5.0105485232068302E-4</v>
      </c>
      <c r="H111">
        <f t="shared" si="6"/>
        <v>0.85150316455697839</v>
      </c>
      <c r="I111" s="10">
        <f t="shared" si="7"/>
        <v>5.8843569017312199E-4</v>
      </c>
      <c r="J111">
        <f t="shared" si="8"/>
        <v>6.3144019608532415E-3</v>
      </c>
      <c r="K111" s="10">
        <f t="shared" si="9"/>
        <v>8.2281845337371173</v>
      </c>
    </row>
    <row r="112" spans="1:11" ht="15">
      <c r="A112" t="s">
        <v>536</v>
      </c>
      <c r="B112" s="1" t="s">
        <v>434</v>
      </c>
      <c r="C112" s="8" t="s">
        <v>576</v>
      </c>
      <c r="D112" s="10" t="s">
        <v>576</v>
      </c>
      <c r="E112" s="10">
        <v>0.95</v>
      </c>
      <c r="F112" s="11">
        <f>VLOOKUP(B112,Transcriptome!B:L,11,FALSE)</f>
        <v>5.0105485232068295E-3</v>
      </c>
      <c r="G112" s="10">
        <f t="shared" si="5"/>
        <v>4.7600210970464877E-3</v>
      </c>
      <c r="H112">
        <f t="shared" si="6"/>
        <v>0.85150316455697839</v>
      </c>
      <c r="I112" s="10">
        <f t="shared" si="7"/>
        <v>5.5901390566446578E-3</v>
      </c>
      <c r="J112">
        <f t="shared" si="8"/>
        <v>4.1830452182054029E-2</v>
      </c>
      <c r="K112" s="10">
        <f t="shared" si="9"/>
        <v>8.2281845337371173</v>
      </c>
    </row>
    <row r="113" spans="1:11" ht="15">
      <c r="A113" t="s">
        <v>524</v>
      </c>
      <c r="B113" s="1" t="s">
        <v>12</v>
      </c>
      <c r="C113" s="8" t="s">
        <v>778</v>
      </c>
      <c r="D113" s="10" t="s">
        <v>778</v>
      </c>
      <c r="E113" s="10">
        <v>0.95</v>
      </c>
      <c r="F113" s="11">
        <f>VLOOKUP(B113,Transcriptome!B:L,11,FALSE)</f>
        <v>5.2742616033756105E-4</v>
      </c>
      <c r="G113" s="10">
        <f t="shared" si="5"/>
        <v>5.0105485232068302E-4</v>
      </c>
      <c r="H113">
        <f t="shared" si="6"/>
        <v>0.85150316455697839</v>
      </c>
      <c r="I113" s="10">
        <f t="shared" si="7"/>
        <v>5.8843569017312199E-4</v>
      </c>
      <c r="J113">
        <f t="shared" si="8"/>
        <v>6.3144019608532415E-3</v>
      </c>
      <c r="K113" s="10">
        <f t="shared" si="9"/>
        <v>8.2281845337371173</v>
      </c>
    </row>
    <row r="114" spans="1:11" ht="15">
      <c r="A114" t="s">
        <v>536</v>
      </c>
      <c r="B114" s="1" t="s">
        <v>435</v>
      </c>
      <c r="C114" s="8" t="s">
        <v>779</v>
      </c>
      <c r="D114" s="10" t="s">
        <v>779</v>
      </c>
      <c r="E114" s="10">
        <v>0.95</v>
      </c>
      <c r="F114" s="11">
        <f>VLOOKUP(B114,Transcriptome!B:L,11,FALSE)</f>
        <v>5.2742616033756105E-4</v>
      </c>
      <c r="G114" s="10">
        <f t="shared" si="5"/>
        <v>5.0105485232068302E-4</v>
      </c>
      <c r="H114">
        <f t="shared" si="6"/>
        <v>0.85150316455697839</v>
      </c>
      <c r="I114" s="10">
        <f t="shared" si="7"/>
        <v>5.8843569017312199E-4</v>
      </c>
      <c r="J114">
        <f t="shared" si="8"/>
        <v>6.3144019608532415E-3</v>
      </c>
      <c r="K114" s="10">
        <f t="shared" si="9"/>
        <v>8.2281845337371173</v>
      </c>
    </row>
    <row r="115" spans="1:11" ht="15">
      <c r="A115" t="s">
        <v>537</v>
      </c>
      <c r="B115" s="1" t="s">
        <v>185</v>
      </c>
      <c r="C115" s="8" t="s">
        <v>711</v>
      </c>
      <c r="D115" s="10" t="s">
        <v>711</v>
      </c>
      <c r="E115" s="10">
        <v>0.95</v>
      </c>
      <c r="F115" s="11">
        <f>VLOOKUP(B115,Transcriptome!B:L,11,FALSE)</f>
        <v>3.6919831223629265E-3</v>
      </c>
      <c r="G115" s="10">
        <f t="shared" si="5"/>
        <v>3.5073839662447801E-3</v>
      </c>
      <c r="H115">
        <f t="shared" si="6"/>
        <v>0.85150316455697839</v>
      </c>
      <c r="I115" s="10">
        <f t="shared" si="7"/>
        <v>4.1190498312118524E-3</v>
      </c>
      <c r="J115">
        <f t="shared" si="8"/>
        <v>3.2637178908119534E-2</v>
      </c>
      <c r="K115" s="10">
        <f t="shared" si="9"/>
        <v>8.2281845337371173</v>
      </c>
    </row>
    <row r="116" spans="1:11" ht="15">
      <c r="A116" t="s">
        <v>537</v>
      </c>
      <c r="B116" s="1" t="s">
        <v>186</v>
      </c>
      <c r="C116" s="8" t="s">
        <v>548</v>
      </c>
      <c r="D116" s="10" t="s">
        <v>548</v>
      </c>
      <c r="E116" s="10">
        <v>0.95</v>
      </c>
      <c r="F116" s="11">
        <f>VLOOKUP(B116,Transcriptome!B:L,11,FALSE)</f>
        <v>5.0105485232068295E-3</v>
      </c>
      <c r="G116" s="10">
        <f t="shared" si="5"/>
        <v>4.7600210970464877E-3</v>
      </c>
      <c r="H116">
        <f t="shared" si="6"/>
        <v>0.85150316455697839</v>
      </c>
      <c r="I116" s="10">
        <f t="shared" si="7"/>
        <v>5.5901390566446578E-3</v>
      </c>
      <c r="J116">
        <f t="shared" si="8"/>
        <v>4.1830452182054029E-2</v>
      </c>
      <c r="K116" s="10">
        <f t="shared" si="9"/>
        <v>8.2281845337371173</v>
      </c>
    </row>
    <row r="117" spans="1:11">
      <c r="A117" t="s">
        <v>543</v>
      </c>
      <c r="B117" s="2" t="s">
        <v>224</v>
      </c>
      <c r="C117" s="8" t="s">
        <v>780</v>
      </c>
      <c r="D117" s="10" t="s">
        <v>780</v>
      </c>
      <c r="E117" s="10">
        <v>0.95</v>
      </c>
      <c r="F117" s="11">
        <f>VLOOKUP(B117,Transcriptome!B:L,11,FALSE)</f>
        <v>5.2742616033756105E-4</v>
      </c>
      <c r="G117" s="10">
        <f t="shared" si="5"/>
        <v>5.0105485232068302E-4</v>
      </c>
      <c r="H117">
        <f t="shared" si="6"/>
        <v>0.85150316455697839</v>
      </c>
      <c r="I117" s="10">
        <f t="shared" si="7"/>
        <v>5.8843569017312199E-4</v>
      </c>
      <c r="J117">
        <f t="shared" si="8"/>
        <v>6.3144019608532415E-3</v>
      </c>
      <c r="K117" s="10">
        <f t="shared" si="9"/>
        <v>8.2281845337371173</v>
      </c>
    </row>
    <row r="118" spans="1:11" ht="15">
      <c r="A118" t="s">
        <v>543</v>
      </c>
      <c r="B118" s="1" t="s">
        <v>225</v>
      </c>
      <c r="C118" s="8" t="s">
        <v>781</v>
      </c>
      <c r="D118" s="10" t="s">
        <v>781</v>
      </c>
      <c r="E118" s="10">
        <v>0.95</v>
      </c>
      <c r="F118" s="11">
        <f>VLOOKUP(B118,Transcriptome!B:L,11,FALSE)</f>
        <v>5.2742616033756105E-4</v>
      </c>
      <c r="G118" s="10">
        <f t="shared" si="5"/>
        <v>5.0105485232068302E-4</v>
      </c>
      <c r="H118">
        <f t="shared" si="6"/>
        <v>0.85150316455697839</v>
      </c>
      <c r="I118" s="10">
        <f t="shared" si="7"/>
        <v>5.8843569017312199E-4</v>
      </c>
      <c r="J118">
        <f t="shared" si="8"/>
        <v>6.3144019608532415E-3</v>
      </c>
      <c r="K118" s="10">
        <f t="shared" si="9"/>
        <v>8.2281845337371173</v>
      </c>
    </row>
    <row r="119" spans="1:11" ht="15">
      <c r="A119" t="s">
        <v>535</v>
      </c>
      <c r="B119" s="1" t="s">
        <v>362</v>
      </c>
      <c r="C119" s="8" t="s">
        <v>782</v>
      </c>
      <c r="D119" s="10" t="s">
        <v>782</v>
      </c>
      <c r="E119" s="10">
        <v>0.95</v>
      </c>
      <c r="F119" s="11">
        <f>VLOOKUP(B119,Transcriptome!B:L,11,FALSE)</f>
        <v>5.2742616033756105E-4</v>
      </c>
      <c r="G119" s="10">
        <f t="shared" si="5"/>
        <v>5.0105485232068302E-4</v>
      </c>
      <c r="H119">
        <f t="shared" si="6"/>
        <v>0.85150316455697839</v>
      </c>
      <c r="I119" s="10">
        <f t="shared" si="7"/>
        <v>5.8843569017312199E-4</v>
      </c>
      <c r="J119">
        <f t="shared" si="8"/>
        <v>6.3144019608532415E-3</v>
      </c>
      <c r="K119" s="10">
        <f t="shared" si="9"/>
        <v>8.2281845337371173</v>
      </c>
    </row>
    <row r="120" spans="1:11" ht="15">
      <c r="A120" t="s">
        <v>537</v>
      </c>
      <c r="B120" s="1" t="s">
        <v>188</v>
      </c>
      <c r="C120" s="8" t="s">
        <v>900</v>
      </c>
      <c r="D120" s="10" t="s">
        <v>900</v>
      </c>
      <c r="E120" s="10">
        <v>0.95</v>
      </c>
      <c r="F120" s="11">
        <f>VLOOKUP(B120,Transcriptome!B:L,11,FALSE)</f>
        <v>3.6919831223629265E-3</v>
      </c>
      <c r="G120" s="10">
        <f t="shared" si="5"/>
        <v>3.5073839662447801E-3</v>
      </c>
      <c r="H120">
        <f t="shared" si="6"/>
        <v>0.85150316455697839</v>
      </c>
      <c r="I120" s="10">
        <f t="shared" si="7"/>
        <v>4.1190498312118524E-3</v>
      </c>
      <c r="J120">
        <f t="shared" si="8"/>
        <v>3.2637178908119534E-2</v>
      </c>
      <c r="K120" s="10">
        <f t="shared" si="9"/>
        <v>8.2281845337371173</v>
      </c>
    </row>
    <row r="121" spans="1:11" ht="15">
      <c r="A121" t="s">
        <v>537</v>
      </c>
      <c r="B121" s="1" t="s">
        <v>190</v>
      </c>
      <c r="C121" s="8" t="s">
        <v>783</v>
      </c>
      <c r="D121" s="10" t="s">
        <v>783</v>
      </c>
      <c r="E121" s="10">
        <v>0.95</v>
      </c>
      <c r="F121" s="11">
        <f>VLOOKUP(B121,Transcriptome!B:L,11,FALSE)</f>
        <v>5.2742616033756105E-4</v>
      </c>
      <c r="G121" s="10">
        <f t="shared" si="5"/>
        <v>5.0105485232068302E-4</v>
      </c>
      <c r="H121">
        <f t="shared" si="6"/>
        <v>0.85150316455697839</v>
      </c>
      <c r="I121" s="10">
        <f t="shared" si="7"/>
        <v>5.8843569017312199E-4</v>
      </c>
      <c r="J121">
        <f t="shared" si="8"/>
        <v>6.3144019608532415E-3</v>
      </c>
      <c r="K121" s="10">
        <f t="shared" si="9"/>
        <v>8.2281845337371173</v>
      </c>
    </row>
    <row r="122" spans="1:11" ht="15">
      <c r="A122" t="s">
        <v>537</v>
      </c>
      <c r="B122" s="1" t="s">
        <v>191</v>
      </c>
      <c r="C122" s="8" t="s">
        <v>784</v>
      </c>
      <c r="D122" s="10" t="s">
        <v>784</v>
      </c>
      <c r="E122" s="10">
        <v>0.95</v>
      </c>
      <c r="F122" s="11">
        <f>VLOOKUP(B122,Transcriptome!B:L,11,FALSE)</f>
        <v>5.2742616033756105E-4</v>
      </c>
      <c r="G122" s="10">
        <f t="shared" si="5"/>
        <v>5.0105485232068302E-4</v>
      </c>
      <c r="H122">
        <f t="shared" si="6"/>
        <v>0.85150316455697839</v>
      </c>
      <c r="I122" s="10">
        <f t="shared" si="7"/>
        <v>5.8843569017312199E-4</v>
      </c>
      <c r="J122">
        <f t="shared" si="8"/>
        <v>6.3144019608532415E-3</v>
      </c>
      <c r="K122" s="10">
        <f t="shared" si="9"/>
        <v>8.2281845337371173</v>
      </c>
    </row>
    <row r="123" spans="1:11" ht="15">
      <c r="A123" t="s">
        <v>535</v>
      </c>
      <c r="B123" s="1" t="s">
        <v>363</v>
      </c>
      <c r="C123" s="8" t="s">
        <v>654</v>
      </c>
      <c r="D123" s="10" t="s">
        <v>654</v>
      </c>
      <c r="E123" s="10">
        <v>0.95</v>
      </c>
      <c r="F123" s="11">
        <f>VLOOKUP(B123,Transcriptome!B:L,11,FALSE)</f>
        <v>5.0105485232068295E-3</v>
      </c>
      <c r="G123" s="10">
        <f t="shared" si="5"/>
        <v>4.7600210970464877E-3</v>
      </c>
      <c r="H123">
        <f t="shared" si="6"/>
        <v>0.85150316455697839</v>
      </c>
      <c r="I123" s="10">
        <f t="shared" si="7"/>
        <v>5.5901390566446578E-3</v>
      </c>
      <c r="J123">
        <f t="shared" si="8"/>
        <v>4.1830452182054029E-2</v>
      </c>
      <c r="K123" s="10">
        <f t="shared" si="9"/>
        <v>8.2281845337371173</v>
      </c>
    </row>
    <row r="124" spans="1:11" ht="15">
      <c r="A124" t="s">
        <v>536</v>
      </c>
      <c r="B124" s="1" t="s">
        <v>436</v>
      </c>
      <c r="C124" s="8" t="s">
        <v>655</v>
      </c>
      <c r="D124" s="10" t="s">
        <v>655</v>
      </c>
      <c r="E124" s="10">
        <v>0.95</v>
      </c>
      <c r="F124" s="11">
        <f>VLOOKUP(B124,Transcriptome!B:L,11,FALSE)</f>
        <v>5.0105485232068295E-3</v>
      </c>
      <c r="G124" s="10">
        <f t="shared" si="5"/>
        <v>4.7600210970464877E-3</v>
      </c>
      <c r="H124">
        <f t="shared" si="6"/>
        <v>0.85150316455697839</v>
      </c>
      <c r="I124" s="10">
        <f t="shared" si="7"/>
        <v>5.5901390566446578E-3</v>
      </c>
      <c r="J124">
        <f t="shared" si="8"/>
        <v>4.1830452182054029E-2</v>
      </c>
      <c r="K124" s="10">
        <f t="shared" si="9"/>
        <v>8.2281845337371173</v>
      </c>
    </row>
    <row r="125" spans="1:11" ht="15">
      <c r="A125" t="s">
        <v>539</v>
      </c>
      <c r="B125" s="1" t="s">
        <v>299</v>
      </c>
      <c r="C125" s="8" t="s">
        <v>656</v>
      </c>
      <c r="D125" s="10" t="s">
        <v>656</v>
      </c>
      <c r="E125" s="10">
        <v>0.95</v>
      </c>
      <c r="F125" s="11">
        <f>VLOOKUP(B125,Transcriptome!B:L,11,FALSE)</f>
        <v>5.0105485232068295E-3</v>
      </c>
      <c r="G125" s="10">
        <f t="shared" si="5"/>
        <v>4.7600210970464877E-3</v>
      </c>
      <c r="H125">
        <f t="shared" si="6"/>
        <v>0.85150316455697839</v>
      </c>
      <c r="I125" s="10">
        <f t="shared" si="7"/>
        <v>5.5901390566446578E-3</v>
      </c>
      <c r="J125">
        <f t="shared" si="8"/>
        <v>4.1830452182054029E-2</v>
      </c>
      <c r="K125" s="10">
        <f t="shared" si="9"/>
        <v>8.2281845337371173</v>
      </c>
    </row>
    <row r="126" spans="1:11" ht="15">
      <c r="A126" t="s">
        <v>535</v>
      </c>
      <c r="B126" s="1" t="s">
        <v>364</v>
      </c>
      <c r="C126" s="8" t="s">
        <v>785</v>
      </c>
      <c r="D126" s="10" t="s">
        <v>785</v>
      </c>
      <c r="E126" s="10">
        <v>0.95</v>
      </c>
      <c r="F126" s="11">
        <f>VLOOKUP(B126,Transcriptome!B:L,11,FALSE)</f>
        <v>5.2742616033756105E-4</v>
      </c>
      <c r="G126" s="10">
        <f t="shared" si="5"/>
        <v>5.0105485232068302E-4</v>
      </c>
      <c r="H126">
        <f t="shared" si="6"/>
        <v>0.85150316455697839</v>
      </c>
      <c r="I126" s="10">
        <f t="shared" si="7"/>
        <v>5.8843569017312199E-4</v>
      </c>
      <c r="J126">
        <f t="shared" si="8"/>
        <v>6.3144019608532415E-3</v>
      </c>
      <c r="K126" s="10">
        <f t="shared" si="9"/>
        <v>8.2281845337371173</v>
      </c>
    </row>
    <row r="127" spans="1:11" ht="15">
      <c r="A127" t="s">
        <v>535</v>
      </c>
      <c r="B127" s="1" t="s">
        <v>365</v>
      </c>
      <c r="C127" s="8" t="s">
        <v>605</v>
      </c>
      <c r="D127" s="10" t="s">
        <v>605</v>
      </c>
      <c r="E127" s="10">
        <v>0.95</v>
      </c>
      <c r="F127" s="11">
        <f>VLOOKUP(B127,Transcriptome!B:L,11,FALSE)</f>
        <v>5.2742616033756105E-4</v>
      </c>
      <c r="G127" s="10">
        <f t="shared" si="5"/>
        <v>5.0105485232068302E-4</v>
      </c>
      <c r="H127">
        <f t="shared" si="6"/>
        <v>0.85150316455697839</v>
      </c>
      <c r="I127" s="10">
        <f t="shared" si="7"/>
        <v>5.8843569017312199E-4</v>
      </c>
      <c r="J127">
        <f t="shared" si="8"/>
        <v>6.3144019608532415E-3</v>
      </c>
      <c r="K127" s="10">
        <f t="shared" si="9"/>
        <v>8.2281845337371173</v>
      </c>
    </row>
    <row r="128" spans="1:11" ht="15">
      <c r="A128" t="s">
        <v>539</v>
      </c>
      <c r="B128" s="1" t="s">
        <v>303</v>
      </c>
      <c r="C128" s="8" t="s">
        <v>786</v>
      </c>
      <c r="D128" s="10" t="s">
        <v>786</v>
      </c>
      <c r="E128" s="10">
        <v>0.95</v>
      </c>
      <c r="F128" s="11">
        <f>VLOOKUP(B128,Transcriptome!B:L,11,FALSE)</f>
        <v>5.2742616033756105E-4</v>
      </c>
      <c r="G128" s="10">
        <f t="shared" si="5"/>
        <v>5.0105485232068302E-4</v>
      </c>
      <c r="H128">
        <f t="shared" si="6"/>
        <v>0.85150316455697839</v>
      </c>
      <c r="I128" s="10">
        <f t="shared" si="7"/>
        <v>5.8843569017312199E-4</v>
      </c>
      <c r="J128">
        <f t="shared" si="8"/>
        <v>6.3144019608532415E-3</v>
      </c>
      <c r="K128" s="10">
        <f t="shared" si="9"/>
        <v>8.2281845337371173</v>
      </c>
    </row>
    <row r="129" spans="1:11" ht="15">
      <c r="A129" t="s">
        <v>535</v>
      </c>
      <c r="B129" s="1" t="s">
        <v>366</v>
      </c>
      <c r="C129" s="8" t="s">
        <v>606</v>
      </c>
      <c r="D129" s="10" t="s">
        <v>606</v>
      </c>
      <c r="E129" s="10">
        <v>0.95</v>
      </c>
      <c r="F129" s="11">
        <f>VLOOKUP(B129,Transcriptome!B:L,11,FALSE)</f>
        <v>5.2742616033756105E-4</v>
      </c>
      <c r="G129" s="10">
        <f t="shared" si="5"/>
        <v>5.0105485232068302E-4</v>
      </c>
      <c r="H129">
        <f t="shared" si="6"/>
        <v>0.85150316455697839</v>
      </c>
      <c r="I129" s="10">
        <f t="shared" si="7"/>
        <v>5.8843569017312199E-4</v>
      </c>
      <c r="J129">
        <f t="shared" si="8"/>
        <v>6.3144019608532415E-3</v>
      </c>
      <c r="K129" s="10">
        <f t="shared" si="9"/>
        <v>8.2281845337371173</v>
      </c>
    </row>
    <row r="130" spans="1:11" ht="15">
      <c r="A130" t="s">
        <v>535</v>
      </c>
      <c r="B130" s="1" t="s">
        <v>367</v>
      </c>
      <c r="C130" s="8" t="s">
        <v>657</v>
      </c>
      <c r="D130" s="10" t="s">
        <v>657</v>
      </c>
      <c r="E130" s="10">
        <v>0.95</v>
      </c>
      <c r="F130" s="11">
        <f>VLOOKUP(B130,Transcriptome!B:L,11,FALSE)</f>
        <v>5.0105485232068295E-3</v>
      </c>
      <c r="G130" s="10">
        <f t="shared" ref="G130:G193" si="10">E130*F130</f>
        <v>4.7600210970464877E-3</v>
      </c>
      <c r="H130">
        <f t="shared" ref="H130:H193" si="11">SUM($G$2:$G$522)</f>
        <v>0.85150316455697839</v>
      </c>
      <c r="I130" s="10">
        <f t="shared" ref="I130:I193" si="12">G130/H130</f>
        <v>5.5901390566446578E-3</v>
      </c>
      <c r="J130">
        <f t="shared" ref="J130:J193" si="13">-I130*LOG(I130,2)</f>
        <v>4.1830452182054029E-2</v>
      </c>
      <c r="K130" s="10">
        <f t="shared" ref="K130:K193" si="14">SUM($J$2:$J$522)</f>
        <v>8.2281845337371173</v>
      </c>
    </row>
    <row r="131" spans="1:11" ht="15">
      <c r="A131" t="s">
        <v>535</v>
      </c>
      <c r="B131" s="1" t="s">
        <v>368</v>
      </c>
      <c r="C131" s="8" t="s">
        <v>712</v>
      </c>
      <c r="D131" s="10" t="s">
        <v>712</v>
      </c>
      <c r="E131" s="10">
        <v>0.95</v>
      </c>
      <c r="F131" s="11">
        <f>VLOOKUP(B131,Transcriptome!B:L,11,FALSE)</f>
        <v>3.6919831223629265E-3</v>
      </c>
      <c r="G131" s="10">
        <f t="shared" si="10"/>
        <v>3.5073839662447801E-3</v>
      </c>
      <c r="H131">
        <f t="shared" si="11"/>
        <v>0.85150316455697839</v>
      </c>
      <c r="I131" s="10">
        <f t="shared" si="12"/>
        <v>4.1190498312118524E-3</v>
      </c>
      <c r="J131">
        <f t="shared" si="13"/>
        <v>3.2637178908119534E-2</v>
      </c>
      <c r="K131" s="10">
        <f t="shared" si="14"/>
        <v>8.2281845337371173</v>
      </c>
    </row>
    <row r="132" spans="1:11" ht="15">
      <c r="A132" t="s">
        <v>535</v>
      </c>
      <c r="B132" s="1" t="s">
        <v>369</v>
      </c>
      <c r="C132" s="8" t="s">
        <v>593</v>
      </c>
      <c r="D132" s="10" t="s">
        <v>593</v>
      </c>
      <c r="E132" s="10">
        <v>0.95</v>
      </c>
      <c r="F132" s="11">
        <f>VLOOKUP(B132,Transcriptome!B:L,11,FALSE)</f>
        <v>5.2742616033756105E-4</v>
      </c>
      <c r="G132" s="10">
        <f t="shared" si="10"/>
        <v>5.0105485232068302E-4</v>
      </c>
      <c r="H132">
        <f t="shared" si="11"/>
        <v>0.85150316455697839</v>
      </c>
      <c r="I132" s="10">
        <f t="shared" si="12"/>
        <v>5.8843569017312199E-4</v>
      </c>
      <c r="J132">
        <f t="shared" si="13"/>
        <v>6.3144019608532415E-3</v>
      </c>
      <c r="K132" s="10">
        <f t="shared" si="14"/>
        <v>8.2281845337371173</v>
      </c>
    </row>
    <row r="133" spans="1:11" ht="15">
      <c r="A133" t="s">
        <v>534</v>
      </c>
      <c r="B133" s="1" t="s">
        <v>81</v>
      </c>
      <c r="C133" s="8" t="s">
        <v>787</v>
      </c>
      <c r="D133" s="10" t="s">
        <v>787</v>
      </c>
      <c r="E133" s="10">
        <v>0.95</v>
      </c>
      <c r="F133" s="11">
        <f>VLOOKUP(B133,Transcriptome!B:L,11,FALSE)</f>
        <v>5.2742616033756105E-4</v>
      </c>
      <c r="G133" s="10">
        <f t="shared" si="10"/>
        <v>5.0105485232068302E-4</v>
      </c>
      <c r="H133">
        <f t="shared" si="11"/>
        <v>0.85150316455697839</v>
      </c>
      <c r="I133" s="10">
        <f t="shared" si="12"/>
        <v>5.8843569017312199E-4</v>
      </c>
      <c r="J133">
        <f t="shared" si="13"/>
        <v>6.3144019608532415E-3</v>
      </c>
      <c r="K133" s="10">
        <f t="shared" si="14"/>
        <v>8.2281845337371173</v>
      </c>
    </row>
    <row r="134" spans="1:11" ht="15">
      <c r="A134" t="s">
        <v>535</v>
      </c>
      <c r="B134" s="1" t="s">
        <v>370</v>
      </c>
      <c r="C134" s="8" t="s">
        <v>788</v>
      </c>
      <c r="D134" s="10" t="s">
        <v>788</v>
      </c>
      <c r="E134" s="10">
        <v>0.95</v>
      </c>
      <c r="F134" s="11">
        <f>VLOOKUP(B134,Transcriptome!B:L,11,FALSE)</f>
        <v>5.2742616033756105E-4</v>
      </c>
      <c r="G134" s="10">
        <f t="shared" si="10"/>
        <v>5.0105485232068302E-4</v>
      </c>
      <c r="H134">
        <f t="shared" si="11"/>
        <v>0.85150316455697839</v>
      </c>
      <c r="I134" s="10">
        <f t="shared" si="12"/>
        <v>5.8843569017312199E-4</v>
      </c>
      <c r="J134">
        <f t="shared" si="13"/>
        <v>6.3144019608532415E-3</v>
      </c>
      <c r="K134" s="10">
        <f t="shared" si="14"/>
        <v>8.2281845337371173</v>
      </c>
    </row>
    <row r="135" spans="1:11" ht="15">
      <c r="A135" t="s">
        <v>535</v>
      </c>
      <c r="B135" s="1" t="s">
        <v>371</v>
      </c>
      <c r="C135" s="8" t="s">
        <v>789</v>
      </c>
      <c r="D135" s="10" t="s">
        <v>789</v>
      </c>
      <c r="E135" s="10">
        <v>0.95</v>
      </c>
      <c r="F135" s="11">
        <f>VLOOKUP(B135,Transcriptome!B:L,11,FALSE)</f>
        <v>5.2742616033756105E-4</v>
      </c>
      <c r="G135" s="10">
        <f t="shared" si="10"/>
        <v>5.0105485232068302E-4</v>
      </c>
      <c r="H135">
        <f t="shared" si="11"/>
        <v>0.85150316455697839</v>
      </c>
      <c r="I135" s="10">
        <f t="shared" si="12"/>
        <v>5.8843569017312199E-4</v>
      </c>
      <c r="J135">
        <f t="shared" si="13"/>
        <v>6.3144019608532415E-3</v>
      </c>
      <c r="K135" s="10">
        <f t="shared" si="14"/>
        <v>8.2281845337371173</v>
      </c>
    </row>
    <row r="136" spans="1:11" ht="15">
      <c r="A136" t="s">
        <v>539</v>
      </c>
      <c r="B136" s="1" t="s">
        <v>304</v>
      </c>
      <c r="C136" s="8" t="s">
        <v>790</v>
      </c>
      <c r="D136" s="10" t="s">
        <v>790</v>
      </c>
      <c r="E136" s="10">
        <v>0.95</v>
      </c>
      <c r="F136" s="11">
        <f>VLOOKUP(B136,Transcriptome!B:L,11,FALSE)</f>
        <v>5.2742616033756105E-4</v>
      </c>
      <c r="G136" s="10">
        <f t="shared" si="10"/>
        <v>5.0105485232068302E-4</v>
      </c>
      <c r="H136">
        <f t="shared" si="11"/>
        <v>0.85150316455697839</v>
      </c>
      <c r="I136" s="10">
        <f t="shared" si="12"/>
        <v>5.8843569017312199E-4</v>
      </c>
      <c r="J136">
        <f t="shared" si="13"/>
        <v>6.3144019608532415E-3</v>
      </c>
      <c r="K136" s="10">
        <f t="shared" si="14"/>
        <v>8.2281845337371173</v>
      </c>
    </row>
    <row r="137" spans="1:11" ht="15">
      <c r="A137" t="s">
        <v>524</v>
      </c>
      <c r="B137" s="1" t="s">
        <v>15</v>
      </c>
      <c r="C137" s="8" t="s">
        <v>901</v>
      </c>
      <c r="D137" s="10" t="s">
        <v>901</v>
      </c>
      <c r="E137" s="10">
        <v>0.95</v>
      </c>
      <c r="F137" s="11">
        <f>VLOOKUP(B137,Transcriptome!B:L,11,FALSE)</f>
        <v>5.2742616033756105E-4</v>
      </c>
      <c r="G137" s="10">
        <f t="shared" si="10"/>
        <v>5.0105485232068302E-4</v>
      </c>
      <c r="H137">
        <f t="shared" si="11"/>
        <v>0.85150316455697839</v>
      </c>
      <c r="I137" s="10">
        <f t="shared" si="12"/>
        <v>5.8843569017312199E-4</v>
      </c>
      <c r="J137">
        <f t="shared" si="13"/>
        <v>6.3144019608532415E-3</v>
      </c>
      <c r="K137" s="10">
        <f t="shared" si="14"/>
        <v>8.2281845337371173</v>
      </c>
    </row>
    <row r="138" spans="1:11" ht="15">
      <c r="A138" t="s">
        <v>535</v>
      </c>
      <c r="B138" s="1" t="s">
        <v>372</v>
      </c>
      <c r="C138" s="8" t="s">
        <v>791</v>
      </c>
      <c r="D138" s="10" t="s">
        <v>791</v>
      </c>
      <c r="E138" s="10">
        <v>0.95</v>
      </c>
      <c r="F138" s="11">
        <f>VLOOKUP(B138,Transcriptome!B:L,11,FALSE)</f>
        <v>5.2742616033756105E-4</v>
      </c>
      <c r="G138" s="10">
        <f t="shared" si="10"/>
        <v>5.0105485232068302E-4</v>
      </c>
      <c r="H138">
        <f t="shared" si="11"/>
        <v>0.85150316455697839</v>
      </c>
      <c r="I138" s="10">
        <f t="shared" si="12"/>
        <v>5.8843569017312199E-4</v>
      </c>
      <c r="J138">
        <f t="shared" si="13"/>
        <v>6.3144019608532415E-3</v>
      </c>
      <c r="K138" s="10">
        <f t="shared" si="14"/>
        <v>8.2281845337371173</v>
      </c>
    </row>
    <row r="139" spans="1:11" ht="15">
      <c r="A139" t="s">
        <v>539</v>
      </c>
      <c r="B139" s="1" t="s">
        <v>306</v>
      </c>
      <c r="C139" s="8" t="s">
        <v>792</v>
      </c>
      <c r="D139" s="10" t="s">
        <v>792</v>
      </c>
      <c r="E139" s="10">
        <v>0.95</v>
      </c>
      <c r="F139" s="11">
        <f>VLOOKUP(B139,Transcriptome!B:L,11,FALSE)</f>
        <v>5.2742616033756105E-4</v>
      </c>
      <c r="G139" s="10">
        <f t="shared" si="10"/>
        <v>5.0105485232068302E-4</v>
      </c>
      <c r="H139">
        <f t="shared" si="11"/>
        <v>0.85150316455697839</v>
      </c>
      <c r="I139" s="10">
        <f t="shared" si="12"/>
        <v>5.8843569017312199E-4</v>
      </c>
      <c r="J139">
        <f t="shared" si="13"/>
        <v>6.3144019608532415E-3</v>
      </c>
      <c r="K139" s="10">
        <f t="shared" si="14"/>
        <v>8.2281845337371173</v>
      </c>
    </row>
    <row r="140" spans="1:11" ht="15">
      <c r="A140" t="s">
        <v>539</v>
      </c>
      <c r="B140" s="1" t="s">
        <v>307</v>
      </c>
      <c r="C140" s="8" t="s">
        <v>713</v>
      </c>
      <c r="D140" s="10" t="s">
        <v>713</v>
      </c>
      <c r="E140" s="10">
        <v>0.95</v>
      </c>
      <c r="F140" s="11">
        <f>VLOOKUP(B140,Transcriptome!B:L,11,FALSE)</f>
        <v>3.6919831223629265E-3</v>
      </c>
      <c r="G140" s="10">
        <f t="shared" si="10"/>
        <v>3.5073839662447801E-3</v>
      </c>
      <c r="H140">
        <f t="shared" si="11"/>
        <v>0.85150316455697839</v>
      </c>
      <c r="I140" s="10">
        <f t="shared" si="12"/>
        <v>4.1190498312118524E-3</v>
      </c>
      <c r="J140">
        <f t="shared" si="13"/>
        <v>3.2637178908119534E-2</v>
      </c>
      <c r="K140" s="10">
        <f t="shared" si="14"/>
        <v>8.2281845337371173</v>
      </c>
    </row>
    <row r="141" spans="1:11" ht="15">
      <c r="A141" t="s">
        <v>535</v>
      </c>
      <c r="B141" s="1" t="s">
        <v>373</v>
      </c>
      <c r="C141" s="8" t="s">
        <v>658</v>
      </c>
      <c r="D141" s="10" t="s">
        <v>658</v>
      </c>
      <c r="E141" s="10">
        <v>0.95</v>
      </c>
      <c r="F141" s="11">
        <f>VLOOKUP(B141,Transcriptome!B:L,11,FALSE)</f>
        <v>5.0105485232068295E-3</v>
      </c>
      <c r="G141" s="10">
        <f t="shared" si="10"/>
        <v>4.7600210970464877E-3</v>
      </c>
      <c r="H141">
        <f t="shared" si="11"/>
        <v>0.85150316455697839</v>
      </c>
      <c r="I141" s="10">
        <f t="shared" si="12"/>
        <v>5.5901390566446578E-3</v>
      </c>
      <c r="J141">
        <f t="shared" si="13"/>
        <v>4.1830452182054029E-2</v>
      </c>
      <c r="K141" s="10">
        <f t="shared" si="14"/>
        <v>8.2281845337371173</v>
      </c>
    </row>
    <row r="142" spans="1:11" ht="15">
      <c r="A142" t="s">
        <v>539</v>
      </c>
      <c r="B142" s="1" t="s">
        <v>308</v>
      </c>
      <c r="C142" s="8" t="s">
        <v>659</v>
      </c>
      <c r="D142" s="10" t="s">
        <v>659</v>
      </c>
      <c r="E142" s="10">
        <v>0.95</v>
      </c>
      <c r="F142" s="11">
        <f>VLOOKUP(B142,Transcriptome!B:L,11,FALSE)</f>
        <v>5.0105485232068295E-3</v>
      </c>
      <c r="G142" s="10">
        <f t="shared" si="10"/>
        <v>4.7600210970464877E-3</v>
      </c>
      <c r="H142">
        <f t="shared" si="11"/>
        <v>0.85150316455697839</v>
      </c>
      <c r="I142" s="10">
        <f t="shared" si="12"/>
        <v>5.5901390566446578E-3</v>
      </c>
      <c r="J142">
        <f t="shared" si="13"/>
        <v>4.1830452182054029E-2</v>
      </c>
      <c r="K142" s="10">
        <f t="shared" si="14"/>
        <v>8.2281845337371173</v>
      </c>
    </row>
    <row r="143" spans="1:11" ht="15">
      <c r="A143" t="s">
        <v>539</v>
      </c>
      <c r="B143" s="1" t="s">
        <v>309</v>
      </c>
      <c r="C143" s="8" t="s">
        <v>793</v>
      </c>
      <c r="D143" s="10" t="s">
        <v>793</v>
      </c>
      <c r="E143" s="10">
        <v>0.95</v>
      </c>
      <c r="F143" s="11">
        <f>VLOOKUP(B143,Transcriptome!B:L,11,FALSE)</f>
        <v>5.2742616033756105E-4</v>
      </c>
      <c r="G143" s="10">
        <f t="shared" si="10"/>
        <v>5.0105485232068302E-4</v>
      </c>
      <c r="H143">
        <f t="shared" si="11"/>
        <v>0.85150316455697839</v>
      </c>
      <c r="I143" s="10">
        <f t="shared" si="12"/>
        <v>5.8843569017312199E-4</v>
      </c>
      <c r="J143">
        <f t="shared" si="13"/>
        <v>6.3144019608532415E-3</v>
      </c>
      <c r="K143" s="10">
        <f t="shared" si="14"/>
        <v>8.2281845337371173</v>
      </c>
    </row>
    <row r="144" spans="1:11" ht="15">
      <c r="A144" t="s">
        <v>535</v>
      </c>
      <c r="B144" s="1" t="s">
        <v>375</v>
      </c>
      <c r="C144" s="8" t="s">
        <v>794</v>
      </c>
      <c r="D144" s="10" t="s">
        <v>794</v>
      </c>
      <c r="E144" s="10">
        <v>0.95</v>
      </c>
      <c r="F144" s="11">
        <f>VLOOKUP(B144,Transcriptome!B:L,11,FALSE)</f>
        <v>5.2742616033756105E-4</v>
      </c>
      <c r="G144" s="10">
        <f t="shared" si="10"/>
        <v>5.0105485232068302E-4</v>
      </c>
      <c r="H144">
        <f t="shared" si="11"/>
        <v>0.85150316455697839</v>
      </c>
      <c r="I144" s="10">
        <f t="shared" si="12"/>
        <v>5.8843569017312199E-4</v>
      </c>
      <c r="J144">
        <f t="shared" si="13"/>
        <v>6.3144019608532415E-3</v>
      </c>
      <c r="K144" s="10">
        <f t="shared" si="14"/>
        <v>8.2281845337371173</v>
      </c>
    </row>
    <row r="145" spans="1:11" ht="15">
      <c r="A145" t="s">
        <v>535</v>
      </c>
      <c r="B145" s="1" t="s">
        <v>376</v>
      </c>
      <c r="C145" s="8" t="s">
        <v>795</v>
      </c>
      <c r="D145" s="10" t="s">
        <v>795</v>
      </c>
      <c r="E145" s="10">
        <v>0.95</v>
      </c>
      <c r="F145" s="11">
        <f>VLOOKUP(B145,Transcriptome!B:L,11,FALSE)</f>
        <v>5.2742616033756105E-4</v>
      </c>
      <c r="G145" s="10">
        <f t="shared" si="10"/>
        <v>5.0105485232068302E-4</v>
      </c>
      <c r="H145">
        <f t="shared" si="11"/>
        <v>0.85150316455697839</v>
      </c>
      <c r="I145" s="10">
        <f t="shared" si="12"/>
        <v>5.8843569017312199E-4</v>
      </c>
      <c r="J145">
        <f t="shared" si="13"/>
        <v>6.3144019608532415E-3</v>
      </c>
      <c r="K145" s="10">
        <f t="shared" si="14"/>
        <v>8.2281845337371173</v>
      </c>
    </row>
    <row r="146" spans="1:11" ht="15">
      <c r="A146" t="s">
        <v>537</v>
      </c>
      <c r="B146" s="1" t="s">
        <v>192</v>
      </c>
      <c r="C146" s="8" t="s">
        <v>796</v>
      </c>
      <c r="D146" s="10" t="s">
        <v>796</v>
      </c>
      <c r="E146" s="10">
        <v>0.95</v>
      </c>
      <c r="F146" s="11">
        <f>VLOOKUP(B146,Transcriptome!B:L,11,FALSE)</f>
        <v>5.2742616033756105E-4</v>
      </c>
      <c r="G146" s="10">
        <f t="shared" si="10"/>
        <v>5.0105485232068302E-4</v>
      </c>
      <c r="H146">
        <f t="shared" si="11"/>
        <v>0.85150316455697839</v>
      </c>
      <c r="I146" s="10">
        <f t="shared" si="12"/>
        <v>5.8843569017312199E-4</v>
      </c>
      <c r="J146">
        <f t="shared" si="13"/>
        <v>6.3144019608532415E-3</v>
      </c>
      <c r="K146" s="10">
        <f t="shared" si="14"/>
        <v>8.2281845337371173</v>
      </c>
    </row>
    <row r="147" spans="1:11" ht="15">
      <c r="A147" t="s">
        <v>540</v>
      </c>
      <c r="B147" s="1" t="s">
        <v>230</v>
      </c>
      <c r="C147" s="8" t="s">
        <v>568</v>
      </c>
      <c r="D147" s="10" t="s">
        <v>568</v>
      </c>
      <c r="E147" s="10">
        <v>0.95</v>
      </c>
      <c r="F147" s="11">
        <f>VLOOKUP(B147,Transcriptome!B:L,11,FALSE)</f>
        <v>5.0105485232068295E-3</v>
      </c>
      <c r="G147" s="10">
        <f t="shared" si="10"/>
        <v>4.7600210970464877E-3</v>
      </c>
      <c r="H147">
        <f t="shared" si="11"/>
        <v>0.85150316455697839</v>
      </c>
      <c r="I147" s="10">
        <f t="shared" si="12"/>
        <v>5.5901390566446578E-3</v>
      </c>
      <c r="J147">
        <f t="shared" si="13"/>
        <v>4.1830452182054029E-2</v>
      </c>
      <c r="K147" s="10">
        <f t="shared" si="14"/>
        <v>8.2281845337371173</v>
      </c>
    </row>
    <row r="148" spans="1:11" ht="15">
      <c r="A148" t="s">
        <v>540</v>
      </c>
      <c r="B148" s="1" t="s">
        <v>231</v>
      </c>
      <c r="C148" s="8" t="s">
        <v>660</v>
      </c>
      <c r="D148" s="10" t="s">
        <v>660</v>
      </c>
      <c r="E148" s="10">
        <v>0.95</v>
      </c>
      <c r="F148" s="11">
        <f>VLOOKUP(B148,Transcriptome!B:L,11,FALSE)</f>
        <v>5.0105485232068295E-3</v>
      </c>
      <c r="G148" s="10">
        <f t="shared" si="10"/>
        <v>4.7600210970464877E-3</v>
      </c>
      <c r="H148">
        <f t="shared" si="11"/>
        <v>0.85150316455697839</v>
      </c>
      <c r="I148" s="10">
        <f t="shared" si="12"/>
        <v>5.5901390566446578E-3</v>
      </c>
      <c r="J148">
        <f t="shared" si="13"/>
        <v>4.1830452182054029E-2</v>
      </c>
      <c r="K148" s="10">
        <f t="shared" si="14"/>
        <v>8.2281845337371173</v>
      </c>
    </row>
    <row r="149" spans="1:11" ht="15">
      <c r="A149" t="s">
        <v>540</v>
      </c>
      <c r="B149" s="1" t="s">
        <v>232</v>
      </c>
      <c r="C149" s="8" t="s">
        <v>661</v>
      </c>
      <c r="D149" s="10" t="s">
        <v>661</v>
      </c>
      <c r="E149" s="10">
        <v>0.95</v>
      </c>
      <c r="F149" s="11">
        <f>VLOOKUP(B149,Transcriptome!B:L,11,FALSE)</f>
        <v>5.0105485232068295E-3</v>
      </c>
      <c r="G149" s="10">
        <f t="shared" si="10"/>
        <v>4.7600210970464877E-3</v>
      </c>
      <c r="H149">
        <f t="shared" si="11"/>
        <v>0.85150316455697839</v>
      </c>
      <c r="I149" s="10">
        <f t="shared" si="12"/>
        <v>5.5901390566446578E-3</v>
      </c>
      <c r="J149">
        <f t="shared" si="13"/>
        <v>4.1830452182054029E-2</v>
      </c>
      <c r="K149" s="10">
        <f t="shared" si="14"/>
        <v>8.2281845337371173</v>
      </c>
    </row>
    <row r="150" spans="1:11" ht="15">
      <c r="A150" t="s">
        <v>540</v>
      </c>
      <c r="B150" s="1" t="s">
        <v>233</v>
      </c>
      <c r="C150" s="8" t="s">
        <v>714</v>
      </c>
      <c r="D150" s="10" t="s">
        <v>714</v>
      </c>
      <c r="E150" s="10">
        <v>0.95</v>
      </c>
      <c r="F150" s="11">
        <f>VLOOKUP(B150,Transcriptome!B:L,11,FALSE)</f>
        <v>3.6919831223629265E-3</v>
      </c>
      <c r="G150" s="10">
        <f t="shared" si="10"/>
        <v>3.5073839662447801E-3</v>
      </c>
      <c r="H150">
        <f t="shared" si="11"/>
        <v>0.85150316455697839</v>
      </c>
      <c r="I150" s="10">
        <f t="shared" si="12"/>
        <v>4.1190498312118524E-3</v>
      </c>
      <c r="J150">
        <f t="shared" si="13"/>
        <v>3.2637178908119534E-2</v>
      </c>
      <c r="K150" s="10">
        <f t="shared" si="14"/>
        <v>8.2281845337371173</v>
      </c>
    </row>
    <row r="151" spans="1:11" ht="15">
      <c r="A151" t="s">
        <v>540</v>
      </c>
      <c r="B151" s="1" t="s">
        <v>234</v>
      </c>
      <c r="C151" s="8" t="s">
        <v>715</v>
      </c>
      <c r="D151" s="10" t="s">
        <v>715</v>
      </c>
      <c r="E151" s="10">
        <v>0.95</v>
      </c>
      <c r="F151" s="11">
        <f>VLOOKUP(B151,Transcriptome!B:L,11,FALSE)</f>
        <v>3.6919831223629265E-3</v>
      </c>
      <c r="G151" s="10">
        <f t="shared" si="10"/>
        <v>3.5073839662447801E-3</v>
      </c>
      <c r="H151">
        <f t="shared" si="11"/>
        <v>0.85150316455697839</v>
      </c>
      <c r="I151" s="10">
        <f t="shared" si="12"/>
        <v>4.1190498312118524E-3</v>
      </c>
      <c r="J151">
        <f t="shared" si="13"/>
        <v>3.2637178908119534E-2</v>
      </c>
      <c r="K151" s="10">
        <f t="shared" si="14"/>
        <v>8.2281845337371173</v>
      </c>
    </row>
    <row r="152" spans="1:11" ht="15">
      <c r="A152" t="s">
        <v>540</v>
      </c>
      <c r="B152" s="1" t="s">
        <v>236</v>
      </c>
      <c r="C152" s="8" t="s">
        <v>662</v>
      </c>
      <c r="D152" s="10" t="s">
        <v>662</v>
      </c>
      <c r="E152" s="10">
        <v>0.95</v>
      </c>
      <c r="F152" s="11">
        <f>VLOOKUP(B152,Transcriptome!B:L,11,FALSE)</f>
        <v>5.0105485232068295E-3</v>
      </c>
      <c r="G152" s="10">
        <f t="shared" si="10"/>
        <v>4.7600210970464877E-3</v>
      </c>
      <c r="H152">
        <f t="shared" si="11"/>
        <v>0.85150316455697839</v>
      </c>
      <c r="I152" s="10">
        <f t="shared" si="12"/>
        <v>5.5901390566446578E-3</v>
      </c>
      <c r="J152">
        <f t="shared" si="13"/>
        <v>4.1830452182054029E-2</v>
      </c>
      <c r="K152" s="10">
        <f t="shared" si="14"/>
        <v>8.2281845337371173</v>
      </c>
    </row>
    <row r="153" spans="1:11" ht="15">
      <c r="A153" t="s">
        <v>540</v>
      </c>
      <c r="B153" s="1" t="s">
        <v>237</v>
      </c>
      <c r="C153" s="8" t="s">
        <v>590</v>
      </c>
      <c r="D153" s="10" t="s">
        <v>590</v>
      </c>
      <c r="E153" s="10">
        <v>0.95</v>
      </c>
      <c r="F153" s="11">
        <f>VLOOKUP(B153,Transcriptome!B:L,11,FALSE)</f>
        <v>5.2742616033756105E-4</v>
      </c>
      <c r="G153" s="10">
        <f t="shared" si="10"/>
        <v>5.0105485232068302E-4</v>
      </c>
      <c r="H153">
        <f t="shared" si="11"/>
        <v>0.85150316455697839</v>
      </c>
      <c r="I153" s="10">
        <f t="shared" si="12"/>
        <v>5.8843569017312199E-4</v>
      </c>
      <c r="J153">
        <f t="shared" si="13"/>
        <v>6.3144019608532415E-3</v>
      </c>
      <c r="K153" s="10">
        <f t="shared" si="14"/>
        <v>8.2281845337371173</v>
      </c>
    </row>
    <row r="154" spans="1:11" ht="15">
      <c r="A154" t="s">
        <v>540</v>
      </c>
      <c r="B154" s="1" t="s">
        <v>238</v>
      </c>
      <c r="C154" s="8" t="s">
        <v>797</v>
      </c>
      <c r="D154" s="10" t="s">
        <v>797</v>
      </c>
      <c r="E154" s="10">
        <v>0.95</v>
      </c>
      <c r="F154" s="11">
        <f>VLOOKUP(B154,Transcriptome!B:L,11,FALSE)</f>
        <v>5.2742616033756105E-4</v>
      </c>
      <c r="G154" s="10">
        <f t="shared" si="10"/>
        <v>5.0105485232068302E-4</v>
      </c>
      <c r="H154">
        <f t="shared" si="11"/>
        <v>0.85150316455697839</v>
      </c>
      <c r="I154" s="10">
        <f t="shared" si="12"/>
        <v>5.8843569017312199E-4</v>
      </c>
      <c r="J154">
        <f t="shared" si="13"/>
        <v>6.3144019608532415E-3</v>
      </c>
      <c r="K154" s="10">
        <f t="shared" si="14"/>
        <v>8.2281845337371173</v>
      </c>
    </row>
    <row r="155" spans="1:11" ht="15">
      <c r="A155" t="s">
        <v>540</v>
      </c>
      <c r="B155" s="1" t="s">
        <v>239</v>
      </c>
      <c r="C155" s="8" t="s">
        <v>798</v>
      </c>
      <c r="D155" s="10" t="s">
        <v>798</v>
      </c>
      <c r="E155" s="10">
        <v>0.95</v>
      </c>
      <c r="F155" s="11">
        <f>VLOOKUP(B155,Transcriptome!B:L,11,FALSE)</f>
        <v>5.2742616033756105E-4</v>
      </c>
      <c r="G155" s="10">
        <f t="shared" si="10"/>
        <v>5.0105485232068302E-4</v>
      </c>
      <c r="H155">
        <f t="shared" si="11"/>
        <v>0.85150316455697839</v>
      </c>
      <c r="I155" s="10">
        <f t="shared" si="12"/>
        <v>5.8843569017312199E-4</v>
      </c>
      <c r="J155">
        <f t="shared" si="13"/>
        <v>6.3144019608532415E-3</v>
      </c>
      <c r="K155" s="10">
        <f t="shared" si="14"/>
        <v>8.2281845337371173</v>
      </c>
    </row>
    <row r="156" spans="1:11" ht="15">
      <c r="A156" t="s">
        <v>540</v>
      </c>
      <c r="B156" s="1" t="s">
        <v>242</v>
      </c>
      <c r="C156" s="8" t="s">
        <v>799</v>
      </c>
      <c r="D156" s="10" t="s">
        <v>799</v>
      </c>
      <c r="E156" s="10">
        <v>0.95</v>
      </c>
      <c r="F156" s="11">
        <f>VLOOKUP(B156,Transcriptome!B:L,11,FALSE)</f>
        <v>5.2742616033756105E-4</v>
      </c>
      <c r="G156" s="10">
        <f t="shared" si="10"/>
        <v>5.0105485232068302E-4</v>
      </c>
      <c r="H156">
        <f t="shared" si="11"/>
        <v>0.85150316455697839</v>
      </c>
      <c r="I156" s="10">
        <f t="shared" si="12"/>
        <v>5.8843569017312199E-4</v>
      </c>
      <c r="J156">
        <f t="shared" si="13"/>
        <v>6.3144019608532415E-3</v>
      </c>
      <c r="K156" s="10">
        <f t="shared" si="14"/>
        <v>8.2281845337371173</v>
      </c>
    </row>
    <row r="157" spans="1:11" ht="15">
      <c r="A157" t="s">
        <v>540</v>
      </c>
      <c r="B157" s="1" t="s">
        <v>243</v>
      </c>
      <c r="C157" s="8" t="s">
        <v>800</v>
      </c>
      <c r="D157" s="10" t="s">
        <v>800</v>
      </c>
      <c r="E157" s="10">
        <v>0.95</v>
      </c>
      <c r="F157" s="11">
        <f>VLOOKUP(B157,Transcriptome!B:L,11,FALSE)</f>
        <v>5.2742616033756105E-4</v>
      </c>
      <c r="G157" s="10">
        <f t="shared" si="10"/>
        <v>5.0105485232068302E-4</v>
      </c>
      <c r="H157">
        <f t="shared" si="11"/>
        <v>0.85150316455697839</v>
      </c>
      <c r="I157" s="10">
        <f t="shared" si="12"/>
        <v>5.8843569017312199E-4</v>
      </c>
      <c r="J157">
        <f t="shared" si="13"/>
        <v>6.3144019608532415E-3</v>
      </c>
      <c r="K157" s="10">
        <f t="shared" si="14"/>
        <v>8.2281845337371173</v>
      </c>
    </row>
    <row r="158" spans="1:11" ht="15">
      <c r="A158" t="s">
        <v>540</v>
      </c>
      <c r="B158" s="1" t="s">
        <v>245</v>
      </c>
      <c r="C158" s="8" t="s">
        <v>716</v>
      </c>
      <c r="D158" s="10" t="s">
        <v>716</v>
      </c>
      <c r="E158" s="10">
        <v>0.95</v>
      </c>
      <c r="F158" s="11">
        <f>VLOOKUP(B158,Transcriptome!B:L,11,FALSE)</f>
        <v>3.6919831223629265E-3</v>
      </c>
      <c r="G158" s="10">
        <f t="shared" si="10"/>
        <v>3.5073839662447801E-3</v>
      </c>
      <c r="H158">
        <f t="shared" si="11"/>
        <v>0.85150316455697839</v>
      </c>
      <c r="I158" s="10">
        <f t="shared" si="12"/>
        <v>4.1190498312118524E-3</v>
      </c>
      <c r="J158">
        <f t="shared" si="13"/>
        <v>3.2637178908119534E-2</v>
      </c>
      <c r="K158" s="10">
        <f t="shared" si="14"/>
        <v>8.2281845337371173</v>
      </c>
    </row>
    <row r="159" spans="1:11" ht="15">
      <c r="A159" t="s">
        <v>540</v>
      </c>
      <c r="B159" s="1" t="s">
        <v>246</v>
      </c>
      <c r="C159" s="8" t="s">
        <v>717</v>
      </c>
      <c r="D159" s="10" t="s">
        <v>717</v>
      </c>
      <c r="E159" s="10">
        <v>0.95</v>
      </c>
      <c r="F159" s="11">
        <f>VLOOKUP(B159,Transcriptome!B:L,11,FALSE)</f>
        <v>3.6919831223629265E-3</v>
      </c>
      <c r="G159" s="10">
        <f t="shared" si="10"/>
        <v>3.5073839662447801E-3</v>
      </c>
      <c r="H159">
        <f t="shared" si="11"/>
        <v>0.85150316455697839</v>
      </c>
      <c r="I159" s="10">
        <f t="shared" si="12"/>
        <v>4.1190498312118524E-3</v>
      </c>
      <c r="J159">
        <f t="shared" si="13"/>
        <v>3.2637178908119534E-2</v>
      </c>
      <c r="K159" s="10">
        <f t="shared" si="14"/>
        <v>8.2281845337371173</v>
      </c>
    </row>
    <row r="160" spans="1:11" ht="15">
      <c r="A160" t="s">
        <v>540</v>
      </c>
      <c r="B160" s="1" t="s">
        <v>247</v>
      </c>
      <c r="C160" s="8" t="s">
        <v>567</v>
      </c>
      <c r="D160" s="10" t="s">
        <v>567</v>
      </c>
      <c r="E160" s="10">
        <v>0.95</v>
      </c>
      <c r="F160" s="11">
        <f>VLOOKUP(B160,Transcriptome!B:L,11,FALSE)</f>
        <v>5.0105485232068295E-3</v>
      </c>
      <c r="G160" s="10">
        <f t="shared" si="10"/>
        <v>4.7600210970464877E-3</v>
      </c>
      <c r="H160">
        <f t="shared" si="11"/>
        <v>0.85150316455697839</v>
      </c>
      <c r="I160" s="10">
        <f t="shared" si="12"/>
        <v>5.5901390566446578E-3</v>
      </c>
      <c r="J160">
        <f t="shared" si="13"/>
        <v>4.1830452182054029E-2</v>
      </c>
      <c r="K160" s="10">
        <f t="shared" si="14"/>
        <v>8.2281845337371173</v>
      </c>
    </row>
    <row r="161" spans="1:11" ht="15">
      <c r="A161" t="s">
        <v>540</v>
      </c>
      <c r="B161" s="1" t="s">
        <v>248</v>
      </c>
      <c r="C161" s="8" t="s">
        <v>801</v>
      </c>
      <c r="D161" s="10" t="s">
        <v>801</v>
      </c>
      <c r="E161" s="10">
        <v>0.95</v>
      </c>
      <c r="F161" s="11">
        <f>VLOOKUP(B161,Transcriptome!B:L,11,FALSE)</f>
        <v>5.2742616033756105E-4</v>
      </c>
      <c r="G161" s="10">
        <f t="shared" si="10"/>
        <v>5.0105485232068302E-4</v>
      </c>
      <c r="H161">
        <f t="shared" si="11"/>
        <v>0.85150316455697839</v>
      </c>
      <c r="I161" s="10">
        <f t="shared" si="12"/>
        <v>5.8843569017312199E-4</v>
      </c>
      <c r="J161">
        <f t="shared" si="13"/>
        <v>6.3144019608532415E-3</v>
      </c>
      <c r="K161" s="10">
        <f t="shared" si="14"/>
        <v>8.2281845337371173</v>
      </c>
    </row>
    <row r="162" spans="1:11" ht="15">
      <c r="A162" t="s">
        <v>540</v>
      </c>
      <c r="B162" s="1" t="s">
        <v>250</v>
      </c>
      <c r="C162" s="8" t="s">
        <v>902</v>
      </c>
      <c r="D162" s="10" t="s">
        <v>902</v>
      </c>
      <c r="E162" s="10">
        <v>0.95</v>
      </c>
      <c r="F162" s="11">
        <f>VLOOKUP(B162,Transcriptome!B:L,11,FALSE)</f>
        <v>5.2742616033756105E-4</v>
      </c>
      <c r="G162" s="10">
        <f t="shared" si="10"/>
        <v>5.0105485232068302E-4</v>
      </c>
      <c r="H162">
        <f t="shared" si="11"/>
        <v>0.85150316455697839</v>
      </c>
      <c r="I162" s="10">
        <f t="shared" si="12"/>
        <v>5.8843569017312199E-4</v>
      </c>
      <c r="J162">
        <f t="shared" si="13"/>
        <v>6.3144019608532415E-3</v>
      </c>
      <c r="K162" s="10">
        <f t="shared" si="14"/>
        <v>8.2281845337371173</v>
      </c>
    </row>
    <row r="163" spans="1:11" ht="15">
      <c r="A163" t="s">
        <v>540</v>
      </c>
      <c r="B163" s="1" t="s">
        <v>251</v>
      </c>
      <c r="C163" s="8" t="s">
        <v>802</v>
      </c>
      <c r="D163" s="10" t="s">
        <v>802</v>
      </c>
      <c r="E163" s="10">
        <v>0.95</v>
      </c>
      <c r="F163" s="11">
        <f>VLOOKUP(B163,Transcriptome!B:L,11,FALSE)</f>
        <v>5.2742616033756105E-4</v>
      </c>
      <c r="G163" s="10">
        <f t="shared" si="10"/>
        <v>5.0105485232068302E-4</v>
      </c>
      <c r="H163">
        <f t="shared" si="11"/>
        <v>0.85150316455697839</v>
      </c>
      <c r="I163" s="10">
        <f t="shared" si="12"/>
        <v>5.8843569017312199E-4</v>
      </c>
      <c r="J163">
        <f t="shared" si="13"/>
        <v>6.3144019608532415E-3</v>
      </c>
      <c r="K163" s="10">
        <f t="shared" si="14"/>
        <v>8.2281845337371173</v>
      </c>
    </row>
    <row r="164" spans="1:11" ht="15">
      <c r="A164" t="s">
        <v>540</v>
      </c>
      <c r="B164" s="1" t="s">
        <v>252</v>
      </c>
      <c r="C164" s="8" t="s">
        <v>803</v>
      </c>
      <c r="D164" s="10" t="s">
        <v>803</v>
      </c>
      <c r="E164" s="10">
        <v>0.95</v>
      </c>
      <c r="F164" s="11">
        <f>VLOOKUP(B164,Transcriptome!B:L,11,FALSE)</f>
        <v>5.2742616033756105E-4</v>
      </c>
      <c r="G164" s="10">
        <f t="shared" si="10"/>
        <v>5.0105485232068302E-4</v>
      </c>
      <c r="H164">
        <f t="shared" si="11"/>
        <v>0.85150316455697839</v>
      </c>
      <c r="I164" s="10">
        <f t="shared" si="12"/>
        <v>5.8843569017312199E-4</v>
      </c>
      <c r="J164">
        <f t="shared" si="13"/>
        <v>6.3144019608532415E-3</v>
      </c>
      <c r="K164" s="10">
        <f t="shared" si="14"/>
        <v>8.2281845337371173</v>
      </c>
    </row>
    <row r="165" spans="1:11" ht="15">
      <c r="A165" t="s">
        <v>540</v>
      </c>
      <c r="B165" s="1" t="s">
        <v>253</v>
      </c>
      <c r="C165" s="8" t="s">
        <v>804</v>
      </c>
      <c r="D165" s="10" t="s">
        <v>804</v>
      </c>
      <c r="E165" s="10">
        <v>0.95</v>
      </c>
      <c r="F165" s="11">
        <f>VLOOKUP(B165,Transcriptome!B:L,11,FALSE)</f>
        <v>5.2742616033756105E-4</v>
      </c>
      <c r="G165" s="10">
        <f t="shared" si="10"/>
        <v>5.0105485232068302E-4</v>
      </c>
      <c r="H165">
        <f t="shared" si="11"/>
        <v>0.85150316455697839</v>
      </c>
      <c r="I165" s="10">
        <f t="shared" si="12"/>
        <v>5.8843569017312199E-4</v>
      </c>
      <c r="J165">
        <f t="shared" si="13"/>
        <v>6.3144019608532415E-3</v>
      </c>
      <c r="K165" s="10">
        <f t="shared" si="14"/>
        <v>8.2281845337371173</v>
      </c>
    </row>
    <row r="166" spans="1:11" ht="15">
      <c r="A166" t="s">
        <v>540</v>
      </c>
      <c r="B166" s="1" t="s">
        <v>254</v>
      </c>
      <c r="C166" s="8" t="s">
        <v>805</v>
      </c>
      <c r="D166" s="10" t="s">
        <v>805</v>
      </c>
      <c r="E166" s="10">
        <v>0.95</v>
      </c>
      <c r="F166" s="11">
        <f>VLOOKUP(B166,Transcriptome!B:L,11,FALSE)</f>
        <v>5.2742616033756105E-4</v>
      </c>
      <c r="G166" s="10">
        <f t="shared" si="10"/>
        <v>5.0105485232068302E-4</v>
      </c>
      <c r="H166">
        <f t="shared" si="11"/>
        <v>0.85150316455697839</v>
      </c>
      <c r="I166" s="10">
        <f t="shared" si="12"/>
        <v>5.8843569017312199E-4</v>
      </c>
      <c r="J166">
        <f t="shared" si="13"/>
        <v>6.3144019608532415E-3</v>
      </c>
      <c r="K166" s="10">
        <f t="shared" si="14"/>
        <v>8.2281845337371173</v>
      </c>
    </row>
    <row r="167" spans="1:11" ht="15">
      <c r="A167" t="s">
        <v>540</v>
      </c>
      <c r="B167" s="1" t="s">
        <v>255</v>
      </c>
      <c r="C167" s="8" t="s">
        <v>663</v>
      </c>
      <c r="D167" s="10" t="s">
        <v>663</v>
      </c>
      <c r="E167" s="10">
        <v>0.95</v>
      </c>
      <c r="F167" s="11">
        <f>VLOOKUP(B167,Transcriptome!B:L,11,FALSE)</f>
        <v>5.0105485232068295E-3</v>
      </c>
      <c r="G167" s="10">
        <f t="shared" si="10"/>
        <v>4.7600210970464877E-3</v>
      </c>
      <c r="H167">
        <f t="shared" si="11"/>
        <v>0.85150316455697839</v>
      </c>
      <c r="I167" s="10">
        <f t="shared" si="12"/>
        <v>5.5901390566446578E-3</v>
      </c>
      <c r="J167">
        <f t="shared" si="13"/>
        <v>4.1830452182054029E-2</v>
      </c>
      <c r="K167" s="10">
        <f t="shared" si="14"/>
        <v>8.2281845337371173</v>
      </c>
    </row>
    <row r="168" spans="1:11" ht="15">
      <c r="A168" t="s">
        <v>540</v>
      </c>
      <c r="B168" s="1" t="s">
        <v>256</v>
      </c>
      <c r="C168" s="8" t="s">
        <v>580</v>
      </c>
      <c r="D168" s="10" t="s">
        <v>580</v>
      </c>
      <c r="E168" s="10">
        <v>0.95</v>
      </c>
      <c r="F168" s="11">
        <f>VLOOKUP(B168,Transcriptome!B:L,11,FALSE)</f>
        <v>3.6919831223629265E-3</v>
      </c>
      <c r="G168" s="10">
        <f t="shared" si="10"/>
        <v>3.5073839662447801E-3</v>
      </c>
      <c r="H168">
        <f t="shared" si="11"/>
        <v>0.85150316455697839</v>
      </c>
      <c r="I168" s="10">
        <f t="shared" si="12"/>
        <v>4.1190498312118524E-3</v>
      </c>
      <c r="J168">
        <f t="shared" si="13"/>
        <v>3.2637178908119534E-2</v>
      </c>
      <c r="K168" s="10">
        <f t="shared" si="14"/>
        <v>8.2281845337371173</v>
      </c>
    </row>
    <row r="169" spans="1:11" ht="15">
      <c r="A169" t="s">
        <v>540</v>
      </c>
      <c r="B169" s="1" t="s">
        <v>257</v>
      </c>
      <c r="C169" s="8" t="s">
        <v>556</v>
      </c>
      <c r="D169" s="10" t="s">
        <v>556</v>
      </c>
      <c r="E169" s="10">
        <v>0.95</v>
      </c>
      <c r="F169" s="11">
        <f>VLOOKUP(B169,Transcriptome!B:L,11,FALSE)</f>
        <v>5.0105485232068295E-3</v>
      </c>
      <c r="G169" s="10">
        <f t="shared" si="10"/>
        <v>4.7600210970464877E-3</v>
      </c>
      <c r="H169">
        <f t="shared" si="11"/>
        <v>0.85150316455697839</v>
      </c>
      <c r="I169" s="10">
        <f t="shared" si="12"/>
        <v>5.5901390566446578E-3</v>
      </c>
      <c r="J169">
        <f t="shared" si="13"/>
        <v>4.1830452182054029E-2</v>
      </c>
      <c r="K169" s="10">
        <f t="shared" si="14"/>
        <v>8.2281845337371173</v>
      </c>
    </row>
    <row r="170" spans="1:11" ht="15">
      <c r="A170" t="s">
        <v>537</v>
      </c>
      <c r="B170" s="1" t="s">
        <v>193</v>
      </c>
      <c r="C170" s="8" t="s">
        <v>547</v>
      </c>
      <c r="D170" s="10" t="s">
        <v>547</v>
      </c>
      <c r="E170" s="10">
        <v>0.95</v>
      </c>
      <c r="F170" s="11">
        <f>VLOOKUP(B170,Transcriptome!B:L,11,FALSE)</f>
        <v>5.0105485232068295E-3</v>
      </c>
      <c r="G170" s="10">
        <f t="shared" si="10"/>
        <v>4.7600210970464877E-3</v>
      </c>
      <c r="H170">
        <f t="shared" si="11"/>
        <v>0.85150316455697839</v>
      </c>
      <c r="I170" s="10">
        <f t="shared" si="12"/>
        <v>5.5901390566446578E-3</v>
      </c>
      <c r="J170">
        <f t="shared" si="13"/>
        <v>4.1830452182054029E-2</v>
      </c>
      <c r="K170" s="10">
        <f t="shared" si="14"/>
        <v>8.2281845337371173</v>
      </c>
    </row>
    <row r="171" spans="1:11" ht="15">
      <c r="A171" t="s">
        <v>537</v>
      </c>
      <c r="B171" s="1" t="s">
        <v>194</v>
      </c>
      <c r="C171" s="8" t="s">
        <v>806</v>
      </c>
      <c r="D171" s="10" t="s">
        <v>806</v>
      </c>
      <c r="E171" s="10">
        <v>0.95</v>
      </c>
      <c r="F171" s="11">
        <f>VLOOKUP(B171,Transcriptome!B:L,11,FALSE)</f>
        <v>5.2742616033756105E-4</v>
      </c>
      <c r="G171" s="10">
        <f t="shared" si="10"/>
        <v>5.0105485232068302E-4</v>
      </c>
      <c r="H171">
        <f t="shared" si="11"/>
        <v>0.85150316455697839</v>
      </c>
      <c r="I171" s="10">
        <f t="shared" si="12"/>
        <v>5.8843569017312199E-4</v>
      </c>
      <c r="J171">
        <f t="shared" si="13"/>
        <v>6.3144019608532415E-3</v>
      </c>
      <c r="K171" s="10">
        <f t="shared" si="14"/>
        <v>8.2281845337371173</v>
      </c>
    </row>
    <row r="172" spans="1:11" ht="15">
      <c r="A172" t="s">
        <v>537</v>
      </c>
      <c r="B172" s="1" t="s">
        <v>195</v>
      </c>
      <c r="C172" s="8" t="s">
        <v>807</v>
      </c>
      <c r="D172" s="10" t="s">
        <v>807</v>
      </c>
      <c r="E172" s="10">
        <v>0.95</v>
      </c>
      <c r="F172" s="11">
        <f>VLOOKUP(B172,Transcriptome!B:L,11,FALSE)</f>
        <v>5.2742616033756105E-4</v>
      </c>
      <c r="G172" s="10">
        <f t="shared" si="10"/>
        <v>5.0105485232068302E-4</v>
      </c>
      <c r="H172">
        <f t="shared" si="11"/>
        <v>0.85150316455697839</v>
      </c>
      <c r="I172" s="10">
        <f t="shared" si="12"/>
        <v>5.8843569017312199E-4</v>
      </c>
      <c r="J172">
        <f t="shared" si="13"/>
        <v>6.3144019608532415E-3</v>
      </c>
      <c r="K172" s="10">
        <f t="shared" si="14"/>
        <v>8.2281845337371173</v>
      </c>
    </row>
    <row r="173" spans="1:11" ht="15">
      <c r="A173" t="s">
        <v>537</v>
      </c>
      <c r="B173" s="1" t="s">
        <v>196</v>
      </c>
      <c r="C173" s="8" t="s">
        <v>566</v>
      </c>
      <c r="D173" s="10" t="s">
        <v>566</v>
      </c>
      <c r="E173" s="10">
        <v>0.95</v>
      </c>
      <c r="F173" s="11">
        <f>VLOOKUP(B173,Transcriptome!B:L,11,FALSE)</f>
        <v>5.0105485232068295E-3</v>
      </c>
      <c r="G173" s="10">
        <f t="shared" si="10"/>
        <v>4.7600210970464877E-3</v>
      </c>
      <c r="H173">
        <f t="shared" si="11"/>
        <v>0.85150316455697839</v>
      </c>
      <c r="I173" s="10">
        <f t="shared" si="12"/>
        <v>5.5901390566446578E-3</v>
      </c>
      <c r="J173">
        <f t="shared" si="13"/>
        <v>4.1830452182054029E-2</v>
      </c>
      <c r="K173" s="10">
        <f t="shared" si="14"/>
        <v>8.2281845337371173</v>
      </c>
    </row>
    <row r="174" spans="1:11" ht="15">
      <c r="A174" t="s">
        <v>537</v>
      </c>
      <c r="B174" s="1" t="s">
        <v>197</v>
      </c>
      <c r="C174" s="8" t="s">
        <v>561</v>
      </c>
      <c r="D174" s="10" t="s">
        <v>561</v>
      </c>
      <c r="E174" s="10">
        <v>0.95</v>
      </c>
      <c r="F174" s="11">
        <f>VLOOKUP(B174,Transcriptome!B:L,11,FALSE)</f>
        <v>5.0105485232068295E-3</v>
      </c>
      <c r="G174" s="10">
        <f t="shared" si="10"/>
        <v>4.7600210970464877E-3</v>
      </c>
      <c r="H174">
        <f t="shared" si="11"/>
        <v>0.85150316455697839</v>
      </c>
      <c r="I174" s="10">
        <f t="shared" si="12"/>
        <v>5.5901390566446578E-3</v>
      </c>
      <c r="J174">
        <f t="shared" si="13"/>
        <v>4.1830452182054029E-2</v>
      </c>
      <c r="K174" s="10">
        <f t="shared" si="14"/>
        <v>8.2281845337371173</v>
      </c>
    </row>
    <row r="175" spans="1:11" ht="15">
      <c r="A175" t="s">
        <v>537</v>
      </c>
      <c r="B175" s="1" t="s">
        <v>198</v>
      </c>
      <c r="C175" s="8" t="s">
        <v>555</v>
      </c>
      <c r="D175" s="10" t="s">
        <v>555</v>
      </c>
      <c r="E175" s="10">
        <v>0.95</v>
      </c>
      <c r="F175" s="11">
        <f>VLOOKUP(B175,Transcriptome!B:L,11,FALSE)</f>
        <v>5.0105485232068295E-3</v>
      </c>
      <c r="G175" s="10">
        <f t="shared" si="10"/>
        <v>4.7600210970464877E-3</v>
      </c>
      <c r="H175">
        <f t="shared" si="11"/>
        <v>0.85150316455697839</v>
      </c>
      <c r="I175" s="10">
        <f t="shared" si="12"/>
        <v>5.5901390566446578E-3</v>
      </c>
      <c r="J175">
        <f t="shared" si="13"/>
        <v>4.1830452182054029E-2</v>
      </c>
      <c r="K175" s="10">
        <f t="shared" si="14"/>
        <v>8.2281845337371173</v>
      </c>
    </row>
    <row r="176" spans="1:11" ht="15">
      <c r="A176" t="s">
        <v>537</v>
      </c>
      <c r="B176" s="1" t="s">
        <v>199</v>
      </c>
      <c r="C176" s="8" t="s">
        <v>808</v>
      </c>
      <c r="D176" s="10" t="s">
        <v>808</v>
      </c>
      <c r="E176" s="10">
        <v>0.95</v>
      </c>
      <c r="F176" s="11">
        <f>VLOOKUP(B176,Transcriptome!B:L,11,FALSE)</f>
        <v>5.2742616033756105E-4</v>
      </c>
      <c r="G176" s="10">
        <f t="shared" si="10"/>
        <v>5.0105485232068302E-4</v>
      </c>
      <c r="H176">
        <f t="shared" si="11"/>
        <v>0.85150316455697839</v>
      </c>
      <c r="I176" s="10">
        <f t="shared" si="12"/>
        <v>5.8843569017312199E-4</v>
      </c>
      <c r="J176">
        <f t="shared" si="13"/>
        <v>6.3144019608532415E-3</v>
      </c>
      <c r="K176" s="10">
        <f t="shared" si="14"/>
        <v>8.2281845337371173</v>
      </c>
    </row>
    <row r="177" spans="1:11" ht="15">
      <c r="A177" t="s">
        <v>537</v>
      </c>
      <c r="B177" s="1" t="s">
        <v>200</v>
      </c>
      <c r="C177" s="8" t="s">
        <v>560</v>
      </c>
      <c r="D177" s="10" t="s">
        <v>560</v>
      </c>
      <c r="E177" s="10">
        <v>0.95</v>
      </c>
      <c r="F177" s="11">
        <f>VLOOKUP(B177,Transcriptome!B:L,11,FALSE)</f>
        <v>5.0105485232068295E-3</v>
      </c>
      <c r="G177" s="10">
        <f t="shared" si="10"/>
        <v>4.7600210970464877E-3</v>
      </c>
      <c r="H177">
        <f t="shared" si="11"/>
        <v>0.85150316455697839</v>
      </c>
      <c r="I177" s="10">
        <f t="shared" si="12"/>
        <v>5.5901390566446578E-3</v>
      </c>
      <c r="J177">
        <f t="shared" si="13"/>
        <v>4.1830452182054029E-2</v>
      </c>
      <c r="K177" s="10">
        <f t="shared" si="14"/>
        <v>8.2281845337371173</v>
      </c>
    </row>
    <row r="178" spans="1:11" ht="15">
      <c r="A178" t="s">
        <v>537</v>
      </c>
      <c r="B178" s="1" t="s">
        <v>201</v>
      </c>
      <c r="C178" s="8" t="s">
        <v>809</v>
      </c>
      <c r="D178" s="10" t="s">
        <v>809</v>
      </c>
      <c r="E178" s="10">
        <v>0.95</v>
      </c>
      <c r="F178" s="11">
        <f>VLOOKUP(B178,Transcriptome!B:L,11,FALSE)</f>
        <v>5.2742616033756105E-4</v>
      </c>
      <c r="G178" s="10">
        <f t="shared" si="10"/>
        <v>5.0105485232068302E-4</v>
      </c>
      <c r="H178">
        <f t="shared" si="11"/>
        <v>0.85150316455697839</v>
      </c>
      <c r="I178" s="10">
        <f t="shared" si="12"/>
        <v>5.8843569017312199E-4</v>
      </c>
      <c r="J178">
        <f t="shared" si="13"/>
        <v>6.3144019608532415E-3</v>
      </c>
      <c r="K178" s="10">
        <f t="shared" si="14"/>
        <v>8.2281845337371173</v>
      </c>
    </row>
    <row r="179" spans="1:11" ht="15">
      <c r="A179" t="s">
        <v>537</v>
      </c>
      <c r="B179" s="1" t="s">
        <v>202</v>
      </c>
      <c r="C179" s="8" t="s">
        <v>664</v>
      </c>
      <c r="D179" s="10" t="s">
        <v>664</v>
      </c>
      <c r="E179" s="10">
        <v>0.95</v>
      </c>
      <c r="F179" s="11">
        <f>VLOOKUP(B179,Transcriptome!B:L,11,FALSE)</f>
        <v>5.0105485232068295E-3</v>
      </c>
      <c r="G179" s="10">
        <f t="shared" si="10"/>
        <v>4.7600210970464877E-3</v>
      </c>
      <c r="H179">
        <f t="shared" si="11"/>
        <v>0.85150316455697839</v>
      </c>
      <c r="I179" s="10">
        <f t="shared" si="12"/>
        <v>5.5901390566446578E-3</v>
      </c>
      <c r="J179">
        <f t="shared" si="13"/>
        <v>4.1830452182054029E-2</v>
      </c>
      <c r="K179" s="10">
        <f t="shared" si="14"/>
        <v>8.2281845337371173</v>
      </c>
    </row>
    <row r="180" spans="1:11" ht="15">
      <c r="A180" t="s">
        <v>537</v>
      </c>
      <c r="B180" s="1" t="s">
        <v>203</v>
      </c>
      <c r="C180" s="8" t="s">
        <v>810</v>
      </c>
      <c r="D180" s="10" t="s">
        <v>810</v>
      </c>
      <c r="E180" s="10">
        <v>0.95</v>
      </c>
      <c r="F180" s="11">
        <f>VLOOKUP(B180,Transcriptome!B:L,11,FALSE)</f>
        <v>5.2742616033756105E-4</v>
      </c>
      <c r="G180" s="10">
        <f t="shared" si="10"/>
        <v>5.0105485232068302E-4</v>
      </c>
      <c r="H180">
        <f t="shared" si="11"/>
        <v>0.85150316455697839</v>
      </c>
      <c r="I180" s="10">
        <f t="shared" si="12"/>
        <v>5.8843569017312199E-4</v>
      </c>
      <c r="J180">
        <f t="shared" si="13"/>
        <v>6.3144019608532415E-3</v>
      </c>
      <c r="K180" s="10">
        <f t="shared" si="14"/>
        <v>8.2281845337371173</v>
      </c>
    </row>
    <row r="181" spans="1:11" ht="15">
      <c r="A181" t="s">
        <v>537</v>
      </c>
      <c r="B181" s="1" t="s">
        <v>204</v>
      </c>
      <c r="C181" s="8" t="s">
        <v>718</v>
      </c>
      <c r="D181" s="10" t="s">
        <v>718</v>
      </c>
      <c r="E181" s="10">
        <v>0.95</v>
      </c>
      <c r="F181" s="11">
        <f>VLOOKUP(B181,Transcriptome!B:L,11,FALSE)</f>
        <v>3.6919831223629265E-3</v>
      </c>
      <c r="G181" s="10">
        <f t="shared" si="10"/>
        <v>3.5073839662447801E-3</v>
      </c>
      <c r="H181">
        <f t="shared" si="11"/>
        <v>0.85150316455697839</v>
      </c>
      <c r="I181" s="10">
        <f t="shared" si="12"/>
        <v>4.1190498312118524E-3</v>
      </c>
      <c r="J181">
        <f t="shared" si="13"/>
        <v>3.2637178908119534E-2</v>
      </c>
      <c r="K181" s="10">
        <f t="shared" si="14"/>
        <v>8.2281845337371173</v>
      </c>
    </row>
    <row r="182" spans="1:11" ht="15">
      <c r="A182" t="s">
        <v>537</v>
      </c>
      <c r="B182" s="1" t="s">
        <v>205</v>
      </c>
      <c r="C182" s="8" t="s">
        <v>811</v>
      </c>
      <c r="D182" s="10" t="s">
        <v>811</v>
      </c>
      <c r="E182" s="10">
        <v>0.95</v>
      </c>
      <c r="F182" s="11">
        <f>VLOOKUP(B182,Transcriptome!B:L,11,FALSE)</f>
        <v>5.2742616033756105E-4</v>
      </c>
      <c r="G182" s="10">
        <f t="shared" si="10"/>
        <v>5.0105485232068302E-4</v>
      </c>
      <c r="H182">
        <f t="shared" si="11"/>
        <v>0.85150316455697839</v>
      </c>
      <c r="I182" s="10">
        <f t="shared" si="12"/>
        <v>5.8843569017312199E-4</v>
      </c>
      <c r="J182">
        <f t="shared" si="13"/>
        <v>6.3144019608532415E-3</v>
      </c>
      <c r="K182" s="10">
        <f t="shared" si="14"/>
        <v>8.2281845337371173</v>
      </c>
    </row>
    <row r="183" spans="1:11" ht="15">
      <c r="A183" t="s">
        <v>534</v>
      </c>
      <c r="B183" s="1" t="s">
        <v>82</v>
      </c>
      <c r="C183" s="8" t="s">
        <v>719</v>
      </c>
      <c r="D183" s="10" t="s">
        <v>719</v>
      </c>
      <c r="E183" s="10">
        <v>0.95</v>
      </c>
      <c r="F183" s="11">
        <f>VLOOKUP(B183,Transcriptome!B:L,11,FALSE)</f>
        <v>3.6919831223629265E-3</v>
      </c>
      <c r="G183" s="10">
        <f t="shared" si="10"/>
        <v>3.5073839662447801E-3</v>
      </c>
      <c r="H183">
        <f t="shared" si="11"/>
        <v>0.85150316455697839</v>
      </c>
      <c r="I183" s="10">
        <f t="shared" si="12"/>
        <v>4.1190498312118524E-3</v>
      </c>
      <c r="J183">
        <f t="shared" si="13"/>
        <v>3.2637178908119534E-2</v>
      </c>
      <c r="K183" s="10">
        <f t="shared" si="14"/>
        <v>8.2281845337371173</v>
      </c>
    </row>
    <row r="184" spans="1:11" ht="15">
      <c r="A184" t="s">
        <v>534</v>
      </c>
      <c r="B184" s="1" t="s">
        <v>83</v>
      </c>
      <c r="C184" s="8" t="s">
        <v>812</v>
      </c>
      <c r="D184" s="10" t="s">
        <v>812</v>
      </c>
      <c r="E184" s="10">
        <v>0.95</v>
      </c>
      <c r="F184" s="11">
        <f>VLOOKUP(B184,Transcriptome!B:L,11,FALSE)</f>
        <v>5.2742616033756105E-4</v>
      </c>
      <c r="G184" s="10">
        <f t="shared" si="10"/>
        <v>5.0105485232068302E-4</v>
      </c>
      <c r="H184">
        <f t="shared" si="11"/>
        <v>0.85150316455697839</v>
      </c>
      <c r="I184" s="10">
        <f t="shared" si="12"/>
        <v>5.8843569017312199E-4</v>
      </c>
      <c r="J184">
        <f t="shared" si="13"/>
        <v>6.3144019608532415E-3</v>
      </c>
      <c r="K184" s="10">
        <f t="shared" si="14"/>
        <v>8.2281845337371173</v>
      </c>
    </row>
    <row r="185" spans="1:11" ht="15">
      <c r="A185" t="s">
        <v>534</v>
      </c>
      <c r="B185" s="1" t="s">
        <v>84</v>
      </c>
      <c r="C185" s="8" t="s">
        <v>720</v>
      </c>
      <c r="D185" s="10" t="s">
        <v>720</v>
      </c>
      <c r="E185" s="10">
        <v>0.95</v>
      </c>
      <c r="F185" s="11">
        <f>VLOOKUP(B185,Transcriptome!B:L,11,FALSE)</f>
        <v>3.6919831223629265E-3</v>
      </c>
      <c r="G185" s="10">
        <f t="shared" si="10"/>
        <v>3.5073839662447801E-3</v>
      </c>
      <c r="H185">
        <f t="shared" si="11"/>
        <v>0.85150316455697839</v>
      </c>
      <c r="I185" s="10">
        <f t="shared" si="12"/>
        <v>4.1190498312118524E-3</v>
      </c>
      <c r="J185">
        <f t="shared" si="13"/>
        <v>3.2637178908119534E-2</v>
      </c>
      <c r="K185" s="10">
        <f t="shared" si="14"/>
        <v>8.2281845337371173</v>
      </c>
    </row>
    <row r="186" spans="1:11" ht="15">
      <c r="A186" t="s">
        <v>534</v>
      </c>
      <c r="B186" s="1" t="s">
        <v>85</v>
      </c>
      <c r="C186" s="8" t="s">
        <v>813</v>
      </c>
      <c r="D186" s="10" t="s">
        <v>813</v>
      </c>
      <c r="E186" s="10">
        <v>0.95</v>
      </c>
      <c r="F186" s="11">
        <f>VLOOKUP(B186,Transcriptome!B:L,11,FALSE)</f>
        <v>5.2742616033756105E-4</v>
      </c>
      <c r="G186" s="10">
        <f t="shared" si="10"/>
        <v>5.0105485232068302E-4</v>
      </c>
      <c r="H186">
        <f t="shared" si="11"/>
        <v>0.85150316455697839</v>
      </c>
      <c r="I186" s="10">
        <f t="shared" si="12"/>
        <v>5.8843569017312199E-4</v>
      </c>
      <c r="J186">
        <f t="shared" si="13"/>
        <v>6.3144019608532415E-3</v>
      </c>
      <c r="K186" s="10">
        <f t="shared" si="14"/>
        <v>8.2281845337371173</v>
      </c>
    </row>
    <row r="187" spans="1:11" ht="15">
      <c r="A187" t="s">
        <v>534</v>
      </c>
      <c r="B187" s="1" t="s">
        <v>86</v>
      </c>
      <c r="C187" s="8" t="s">
        <v>551</v>
      </c>
      <c r="D187" s="10" t="s">
        <v>551</v>
      </c>
      <c r="E187" s="10">
        <v>0.95</v>
      </c>
      <c r="F187" s="11">
        <f>VLOOKUP(B187,Transcriptome!B:L,11,FALSE)</f>
        <v>5.0105485232068295E-3</v>
      </c>
      <c r="G187" s="10">
        <f t="shared" si="10"/>
        <v>4.7600210970464877E-3</v>
      </c>
      <c r="H187">
        <f t="shared" si="11"/>
        <v>0.85150316455697839</v>
      </c>
      <c r="I187" s="10">
        <f t="shared" si="12"/>
        <v>5.5901390566446578E-3</v>
      </c>
      <c r="J187">
        <f t="shared" si="13"/>
        <v>4.1830452182054029E-2</v>
      </c>
      <c r="K187" s="10">
        <f t="shared" si="14"/>
        <v>8.2281845337371173</v>
      </c>
    </row>
    <row r="188" spans="1:11" ht="15">
      <c r="A188" t="s">
        <v>534</v>
      </c>
      <c r="B188" s="1" t="s">
        <v>87</v>
      </c>
      <c r="C188" s="8" t="s">
        <v>665</v>
      </c>
      <c r="D188" s="10" t="s">
        <v>665</v>
      </c>
      <c r="E188" s="10">
        <v>0.95</v>
      </c>
      <c r="F188" s="11">
        <f>VLOOKUP(B188,Transcriptome!B:L,11,FALSE)</f>
        <v>5.0105485232068295E-3</v>
      </c>
      <c r="G188" s="10">
        <f t="shared" si="10"/>
        <v>4.7600210970464877E-3</v>
      </c>
      <c r="H188">
        <f t="shared" si="11"/>
        <v>0.85150316455697839</v>
      </c>
      <c r="I188" s="10">
        <f t="shared" si="12"/>
        <v>5.5901390566446578E-3</v>
      </c>
      <c r="J188">
        <f t="shared" si="13"/>
        <v>4.1830452182054029E-2</v>
      </c>
      <c r="K188" s="10">
        <f t="shared" si="14"/>
        <v>8.2281845337371173</v>
      </c>
    </row>
    <row r="189" spans="1:11" ht="15">
      <c r="A189" t="s">
        <v>534</v>
      </c>
      <c r="B189" s="1" t="s">
        <v>88</v>
      </c>
      <c r="C189" s="8" t="s">
        <v>814</v>
      </c>
      <c r="D189" s="10" t="s">
        <v>814</v>
      </c>
      <c r="E189" s="10">
        <v>0.95</v>
      </c>
      <c r="F189" s="11">
        <f>VLOOKUP(B189,Transcriptome!B:L,11,FALSE)</f>
        <v>5.2742616033756105E-4</v>
      </c>
      <c r="G189" s="10">
        <f t="shared" si="10"/>
        <v>5.0105485232068302E-4</v>
      </c>
      <c r="H189">
        <f t="shared" si="11"/>
        <v>0.85150316455697839</v>
      </c>
      <c r="I189" s="10">
        <f t="shared" si="12"/>
        <v>5.8843569017312199E-4</v>
      </c>
      <c r="J189">
        <f t="shared" si="13"/>
        <v>6.3144019608532415E-3</v>
      </c>
      <c r="K189" s="10">
        <f t="shared" si="14"/>
        <v>8.2281845337371173</v>
      </c>
    </row>
    <row r="190" spans="1:11" ht="15">
      <c r="A190" t="s">
        <v>524</v>
      </c>
      <c r="B190" s="1" t="s">
        <v>19</v>
      </c>
      <c r="C190" s="8" t="s">
        <v>903</v>
      </c>
      <c r="D190" s="10" t="s">
        <v>903</v>
      </c>
      <c r="E190" s="10">
        <v>0.95</v>
      </c>
      <c r="F190" s="11">
        <f>VLOOKUP(B190,Transcriptome!B:L,11,FALSE)</f>
        <v>5.2742616033756105E-4</v>
      </c>
      <c r="G190" s="10">
        <f t="shared" si="10"/>
        <v>5.0105485232068302E-4</v>
      </c>
      <c r="H190">
        <f t="shared" si="11"/>
        <v>0.85150316455697839</v>
      </c>
      <c r="I190" s="10">
        <f t="shared" si="12"/>
        <v>5.8843569017312199E-4</v>
      </c>
      <c r="J190">
        <f t="shared" si="13"/>
        <v>6.3144019608532415E-3</v>
      </c>
      <c r="K190" s="10">
        <f t="shared" si="14"/>
        <v>8.2281845337371173</v>
      </c>
    </row>
    <row r="191" spans="1:11" ht="15">
      <c r="A191" t="s">
        <v>524</v>
      </c>
      <c r="B191" s="1" t="s">
        <v>21</v>
      </c>
      <c r="C191" s="8" t="s">
        <v>815</v>
      </c>
      <c r="D191" s="10" t="s">
        <v>815</v>
      </c>
      <c r="E191" s="10">
        <v>0.95</v>
      </c>
      <c r="F191" s="11">
        <f>VLOOKUP(B191,Transcriptome!B:L,11,FALSE)</f>
        <v>5.2742616033756105E-4</v>
      </c>
      <c r="G191" s="10">
        <f t="shared" si="10"/>
        <v>5.0105485232068302E-4</v>
      </c>
      <c r="H191">
        <f t="shared" si="11"/>
        <v>0.85150316455697839</v>
      </c>
      <c r="I191" s="10">
        <f t="shared" si="12"/>
        <v>5.8843569017312199E-4</v>
      </c>
      <c r="J191">
        <f t="shared" si="13"/>
        <v>6.3144019608532415E-3</v>
      </c>
      <c r="K191" s="10">
        <f t="shared" si="14"/>
        <v>8.2281845337371173</v>
      </c>
    </row>
    <row r="192" spans="1:11" ht="15">
      <c r="A192" t="s">
        <v>535</v>
      </c>
      <c r="B192" s="1" t="s">
        <v>377</v>
      </c>
      <c r="C192" s="8" t="s">
        <v>816</v>
      </c>
      <c r="D192" s="10" t="s">
        <v>816</v>
      </c>
      <c r="E192" s="10">
        <v>0.95</v>
      </c>
      <c r="F192" s="11">
        <f>VLOOKUP(B192,Transcriptome!B:L,11,FALSE)</f>
        <v>5.2742616033756105E-4</v>
      </c>
      <c r="G192" s="10">
        <f t="shared" si="10"/>
        <v>5.0105485232068302E-4</v>
      </c>
      <c r="H192">
        <f t="shared" si="11"/>
        <v>0.85150316455697839</v>
      </c>
      <c r="I192" s="10">
        <f t="shared" si="12"/>
        <v>5.8843569017312199E-4</v>
      </c>
      <c r="J192">
        <f t="shared" si="13"/>
        <v>6.3144019608532415E-3</v>
      </c>
      <c r="K192" s="10">
        <f t="shared" si="14"/>
        <v>8.2281845337371173</v>
      </c>
    </row>
    <row r="193" spans="1:11" ht="15">
      <c r="A193" t="s">
        <v>534</v>
      </c>
      <c r="B193" s="1" t="s">
        <v>89</v>
      </c>
      <c r="C193" s="8" t="s">
        <v>666</v>
      </c>
      <c r="D193" s="10" t="s">
        <v>666</v>
      </c>
      <c r="E193" s="10">
        <v>0.95</v>
      </c>
      <c r="F193" s="11">
        <f>VLOOKUP(B193,Transcriptome!B:L,11,FALSE)</f>
        <v>5.0105485232068295E-3</v>
      </c>
      <c r="G193" s="10">
        <f t="shared" si="10"/>
        <v>4.7600210970464877E-3</v>
      </c>
      <c r="H193">
        <f t="shared" si="11"/>
        <v>0.85150316455697839</v>
      </c>
      <c r="I193" s="10">
        <f t="shared" si="12"/>
        <v>5.5901390566446578E-3</v>
      </c>
      <c r="J193">
        <f t="shared" si="13"/>
        <v>4.1830452182054029E-2</v>
      </c>
      <c r="K193" s="10">
        <f t="shared" si="14"/>
        <v>8.2281845337371173</v>
      </c>
    </row>
    <row r="194" spans="1:11" ht="15">
      <c r="A194" t="s">
        <v>535</v>
      </c>
      <c r="B194" s="1" t="s">
        <v>378</v>
      </c>
      <c r="C194" s="8" t="s">
        <v>817</v>
      </c>
      <c r="D194" s="10" t="s">
        <v>817</v>
      </c>
      <c r="E194" s="10">
        <v>0.95</v>
      </c>
      <c r="F194" s="11">
        <f>VLOOKUP(B194,Transcriptome!B:L,11,FALSE)</f>
        <v>5.2742616033756105E-4</v>
      </c>
      <c r="G194" s="10">
        <f t="shared" ref="G194:G257" si="15">E194*F194</f>
        <v>5.0105485232068302E-4</v>
      </c>
      <c r="H194">
        <f t="shared" ref="H194:H257" si="16">SUM($G$2:$G$522)</f>
        <v>0.85150316455697839</v>
      </c>
      <c r="I194" s="10">
        <f t="shared" ref="I194:I257" si="17">G194/H194</f>
        <v>5.8843569017312199E-4</v>
      </c>
      <c r="J194">
        <f t="shared" ref="J194:J257" si="18">-I194*LOG(I194,2)</f>
        <v>6.3144019608532415E-3</v>
      </c>
      <c r="K194" s="10">
        <f t="shared" ref="K194:K257" si="19">SUM($J$2:$J$522)</f>
        <v>8.2281845337371173</v>
      </c>
    </row>
    <row r="195" spans="1:11" ht="15">
      <c r="A195" t="s">
        <v>535</v>
      </c>
      <c r="B195" s="1" t="s">
        <v>379</v>
      </c>
      <c r="C195" s="8" t="s">
        <v>818</v>
      </c>
      <c r="D195" s="10" t="s">
        <v>818</v>
      </c>
      <c r="E195" s="10">
        <v>0.95</v>
      </c>
      <c r="F195" s="11">
        <f>VLOOKUP(B195,Transcriptome!B:L,11,FALSE)</f>
        <v>5.2742616033756105E-4</v>
      </c>
      <c r="G195" s="10">
        <f t="shared" si="15"/>
        <v>5.0105485232068302E-4</v>
      </c>
      <c r="H195">
        <f t="shared" si="16"/>
        <v>0.85150316455697839</v>
      </c>
      <c r="I195" s="10">
        <f t="shared" si="17"/>
        <v>5.8843569017312199E-4</v>
      </c>
      <c r="J195">
        <f t="shared" si="18"/>
        <v>6.3144019608532415E-3</v>
      </c>
      <c r="K195" s="10">
        <f t="shared" si="19"/>
        <v>8.2281845337371173</v>
      </c>
    </row>
    <row r="196" spans="1:11" ht="15">
      <c r="A196" t="s">
        <v>540</v>
      </c>
      <c r="B196" s="1" t="s">
        <v>258</v>
      </c>
      <c r="C196" s="8" t="s">
        <v>819</v>
      </c>
      <c r="D196" s="10" t="s">
        <v>819</v>
      </c>
      <c r="E196" s="10">
        <v>0.95</v>
      </c>
      <c r="F196" s="11">
        <f>VLOOKUP(B196,Transcriptome!B:L,11,FALSE)</f>
        <v>5.2742616033756105E-4</v>
      </c>
      <c r="G196" s="10">
        <f t="shared" si="15"/>
        <v>5.0105485232068302E-4</v>
      </c>
      <c r="H196">
        <f t="shared" si="16"/>
        <v>0.85150316455697839</v>
      </c>
      <c r="I196" s="10">
        <f t="shared" si="17"/>
        <v>5.8843569017312199E-4</v>
      </c>
      <c r="J196">
        <f t="shared" si="18"/>
        <v>6.3144019608532415E-3</v>
      </c>
      <c r="K196" s="10">
        <f t="shared" si="19"/>
        <v>8.2281845337371173</v>
      </c>
    </row>
    <row r="197" spans="1:11" ht="15">
      <c r="A197" t="s">
        <v>534</v>
      </c>
      <c r="B197" s="1" t="s">
        <v>91</v>
      </c>
      <c r="C197" s="8" t="s">
        <v>667</v>
      </c>
      <c r="D197" s="10" t="s">
        <v>667</v>
      </c>
      <c r="E197" s="10">
        <v>0.95</v>
      </c>
      <c r="F197" s="11">
        <f>VLOOKUP(B197,Transcriptome!B:L,11,FALSE)</f>
        <v>5.0105485232068295E-3</v>
      </c>
      <c r="G197" s="10">
        <f t="shared" si="15"/>
        <v>4.7600210970464877E-3</v>
      </c>
      <c r="H197">
        <f t="shared" si="16"/>
        <v>0.85150316455697839</v>
      </c>
      <c r="I197" s="10">
        <f t="shared" si="17"/>
        <v>5.5901390566446578E-3</v>
      </c>
      <c r="J197">
        <f t="shared" si="18"/>
        <v>4.1830452182054029E-2</v>
      </c>
      <c r="K197" s="10">
        <f t="shared" si="19"/>
        <v>8.2281845337371173</v>
      </c>
    </row>
    <row r="198" spans="1:11" ht="15">
      <c r="A198" t="s">
        <v>536</v>
      </c>
      <c r="B198" s="1" t="s">
        <v>438</v>
      </c>
      <c r="C198" s="8" t="s">
        <v>820</v>
      </c>
      <c r="D198" s="10" t="s">
        <v>820</v>
      </c>
      <c r="E198" s="10">
        <v>0.95</v>
      </c>
      <c r="F198" s="11">
        <f>VLOOKUP(B198,Transcriptome!B:L,11,FALSE)</f>
        <v>5.2742616033756105E-4</v>
      </c>
      <c r="G198" s="10">
        <f t="shared" si="15"/>
        <v>5.0105485232068302E-4</v>
      </c>
      <c r="H198">
        <f t="shared" si="16"/>
        <v>0.85150316455697839</v>
      </c>
      <c r="I198" s="10">
        <f t="shared" si="17"/>
        <v>5.8843569017312199E-4</v>
      </c>
      <c r="J198">
        <f t="shared" si="18"/>
        <v>6.3144019608532415E-3</v>
      </c>
      <c r="K198" s="10">
        <f t="shared" si="19"/>
        <v>8.2281845337371173</v>
      </c>
    </row>
    <row r="199" spans="1:11" ht="15">
      <c r="A199" t="s">
        <v>535</v>
      </c>
      <c r="B199" s="1" t="s">
        <v>380</v>
      </c>
      <c r="C199" s="8" t="s">
        <v>821</v>
      </c>
      <c r="D199" s="10" t="s">
        <v>821</v>
      </c>
      <c r="E199" s="10">
        <v>0.95</v>
      </c>
      <c r="F199" s="11">
        <f>VLOOKUP(B199,Transcriptome!B:L,11,FALSE)</f>
        <v>5.2742616033756105E-4</v>
      </c>
      <c r="G199" s="10">
        <f t="shared" si="15"/>
        <v>5.0105485232068302E-4</v>
      </c>
      <c r="H199">
        <f t="shared" si="16"/>
        <v>0.85150316455697839</v>
      </c>
      <c r="I199" s="10">
        <f t="shared" si="17"/>
        <v>5.8843569017312199E-4</v>
      </c>
      <c r="J199">
        <f t="shared" si="18"/>
        <v>6.3144019608532415E-3</v>
      </c>
      <c r="K199" s="10">
        <f t="shared" si="19"/>
        <v>8.2281845337371173</v>
      </c>
    </row>
    <row r="200" spans="1:11" ht="15">
      <c r="A200" t="s">
        <v>542</v>
      </c>
      <c r="B200" s="1" t="s">
        <v>512</v>
      </c>
      <c r="C200" s="8" t="s">
        <v>822</v>
      </c>
      <c r="D200" s="10" t="s">
        <v>822</v>
      </c>
      <c r="E200" s="10">
        <v>0.95</v>
      </c>
      <c r="F200" s="11">
        <f>VLOOKUP(B200,Transcriptome!B:L,11,FALSE)</f>
        <v>5.2742616033756105E-4</v>
      </c>
      <c r="G200" s="10">
        <f t="shared" si="15"/>
        <v>5.0105485232068302E-4</v>
      </c>
      <c r="H200">
        <f t="shared" si="16"/>
        <v>0.85150316455697839</v>
      </c>
      <c r="I200" s="10">
        <f t="shared" si="17"/>
        <v>5.8843569017312199E-4</v>
      </c>
      <c r="J200">
        <f t="shared" si="18"/>
        <v>6.3144019608532415E-3</v>
      </c>
      <c r="K200" s="10">
        <f t="shared" si="19"/>
        <v>8.2281845337371173</v>
      </c>
    </row>
    <row r="201" spans="1:11" ht="15">
      <c r="A201" t="s">
        <v>535</v>
      </c>
      <c r="B201" s="1" t="s">
        <v>381</v>
      </c>
      <c r="C201" s="8" t="s">
        <v>904</v>
      </c>
      <c r="D201" s="10" t="s">
        <v>904</v>
      </c>
      <c r="E201" s="10">
        <v>0.95</v>
      </c>
      <c r="F201" s="11">
        <f>VLOOKUP(B201,Transcriptome!B:L,11,FALSE)</f>
        <v>5.2742616033756105E-4</v>
      </c>
      <c r="G201" s="10">
        <f t="shared" si="15"/>
        <v>5.0105485232068302E-4</v>
      </c>
      <c r="H201">
        <f t="shared" si="16"/>
        <v>0.85150316455697839</v>
      </c>
      <c r="I201" s="10">
        <f t="shared" si="17"/>
        <v>5.8843569017312199E-4</v>
      </c>
      <c r="J201">
        <f t="shared" si="18"/>
        <v>6.3144019608532415E-3</v>
      </c>
      <c r="K201" s="10">
        <f t="shared" si="19"/>
        <v>8.2281845337371173</v>
      </c>
    </row>
    <row r="202" spans="1:11" ht="15">
      <c r="A202" t="s">
        <v>534</v>
      </c>
      <c r="B202" s="1" t="s">
        <v>92</v>
      </c>
      <c r="C202" s="8" t="s">
        <v>549</v>
      </c>
      <c r="D202" s="10" t="s">
        <v>549</v>
      </c>
      <c r="E202" s="10">
        <v>0.95</v>
      </c>
      <c r="F202" s="11">
        <f>VLOOKUP(B202,Transcriptome!B:L,11,FALSE)</f>
        <v>5.0105485232068295E-3</v>
      </c>
      <c r="G202" s="10">
        <f t="shared" si="15"/>
        <v>4.7600210970464877E-3</v>
      </c>
      <c r="H202">
        <f t="shared" si="16"/>
        <v>0.85150316455697839</v>
      </c>
      <c r="I202" s="10">
        <f t="shared" si="17"/>
        <v>5.5901390566446578E-3</v>
      </c>
      <c r="J202">
        <f t="shared" si="18"/>
        <v>4.1830452182054029E-2</v>
      </c>
      <c r="K202" s="10">
        <f t="shared" si="19"/>
        <v>8.2281845337371173</v>
      </c>
    </row>
    <row r="203" spans="1:11" ht="15">
      <c r="A203" t="s">
        <v>534</v>
      </c>
      <c r="B203" s="1" t="s">
        <v>93</v>
      </c>
      <c r="C203" s="8" t="s">
        <v>823</v>
      </c>
      <c r="D203" s="10" t="s">
        <v>823</v>
      </c>
      <c r="E203" s="10">
        <v>0.95</v>
      </c>
      <c r="F203" s="11">
        <f>VLOOKUP(B203,Transcriptome!B:L,11,FALSE)</f>
        <v>5.2742616033756105E-4</v>
      </c>
      <c r="G203" s="10">
        <f t="shared" si="15"/>
        <v>5.0105485232068302E-4</v>
      </c>
      <c r="H203">
        <f t="shared" si="16"/>
        <v>0.85150316455697839</v>
      </c>
      <c r="I203" s="10">
        <f t="shared" si="17"/>
        <v>5.8843569017312199E-4</v>
      </c>
      <c r="J203">
        <f t="shared" si="18"/>
        <v>6.3144019608532415E-3</v>
      </c>
      <c r="K203" s="10">
        <f t="shared" si="19"/>
        <v>8.2281845337371173</v>
      </c>
    </row>
    <row r="204" spans="1:11" ht="15">
      <c r="A204" t="s">
        <v>534</v>
      </c>
      <c r="B204" s="1" t="s">
        <v>94</v>
      </c>
      <c r="C204" s="8" t="s">
        <v>824</v>
      </c>
      <c r="D204" s="10" t="s">
        <v>824</v>
      </c>
      <c r="E204" s="10">
        <v>0.95</v>
      </c>
      <c r="F204" s="11">
        <f>VLOOKUP(B204,Transcriptome!B:L,11,FALSE)</f>
        <v>5.2742616033756105E-4</v>
      </c>
      <c r="G204" s="10">
        <f t="shared" si="15"/>
        <v>5.0105485232068302E-4</v>
      </c>
      <c r="H204">
        <f t="shared" si="16"/>
        <v>0.85150316455697839</v>
      </c>
      <c r="I204" s="10">
        <f t="shared" si="17"/>
        <v>5.8843569017312199E-4</v>
      </c>
      <c r="J204">
        <f t="shared" si="18"/>
        <v>6.3144019608532415E-3</v>
      </c>
      <c r="K204" s="10">
        <f t="shared" si="19"/>
        <v>8.2281845337371173</v>
      </c>
    </row>
    <row r="205" spans="1:11" ht="15">
      <c r="A205" t="s">
        <v>534</v>
      </c>
      <c r="B205" s="1" t="s">
        <v>95</v>
      </c>
      <c r="C205" s="8" t="s">
        <v>825</v>
      </c>
      <c r="D205" s="10" t="s">
        <v>825</v>
      </c>
      <c r="E205" s="10">
        <v>0.95</v>
      </c>
      <c r="F205" s="11">
        <f>VLOOKUP(B205,Transcriptome!B:L,11,FALSE)</f>
        <v>5.2742616033756105E-4</v>
      </c>
      <c r="G205" s="10">
        <f t="shared" si="15"/>
        <v>5.0105485232068302E-4</v>
      </c>
      <c r="H205">
        <f t="shared" si="16"/>
        <v>0.85150316455697839</v>
      </c>
      <c r="I205" s="10">
        <f t="shared" si="17"/>
        <v>5.8843569017312199E-4</v>
      </c>
      <c r="J205">
        <f t="shared" si="18"/>
        <v>6.3144019608532415E-3</v>
      </c>
      <c r="K205" s="10">
        <f t="shared" si="19"/>
        <v>8.2281845337371173</v>
      </c>
    </row>
    <row r="206" spans="1:11" ht="15">
      <c r="A206" t="s">
        <v>540</v>
      </c>
      <c r="B206" s="1" t="s">
        <v>262</v>
      </c>
      <c r="C206" s="8" t="s">
        <v>826</v>
      </c>
      <c r="D206" s="10" t="s">
        <v>826</v>
      </c>
      <c r="E206" s="10">
        <v>0.95</v>
      </c>
      <c r="F206" s="11">
        <f>VLOOKUP(B206,Transcriptome!B:L,11,FALSE)</f>
        <v>5.2742616033756105E-4</v>
      </c>
      <c r="G206" s="10">
        <f t="shared" si="15"/>
        <v>5.0105485232068302E-4</v>
      </c>
      <c r="H206">
        <f t="shared" si="16"/>
        <v>0.85150316455697839</v>
      </c>
      <c r="I206" s="10">
        <f t="shared" si="17"/>
        <v>5.8843569017312199E-4</v>
      </c>
      <c r="J206">
        <f t="shared" si="18"/>
        <v>6.3144019608532415E-3</v>
      </c>
      <c r="K206" s="10">
        <f t="shared" si="19"/>
        <v>8.2281845337371173</v>
      </c>
    </row>
    <row r="207" spans="1:11" ht="15">
      <c r="A207" t="s">
        <v>540</v>
      </c>
      <c r="B207" s="1" t="s">
        <v>263</v>
      </c>
      <c r="C207" s="8" t="s">
        <v>827</v>
      </c>
      <c r="D207" s="10" t="s">
        <v>827</v>
      </c>
      <c r="E207" s="10">
        <v>0.95</v>
      </c>
      <c r="F207" s="11">
        <f>VLOOKUP(B207,Transcriptome!B:L,11,FALSE)</f>
        <v>5.2742616033756105E-4</v>
      </c>
      <c r="G207" s="10">
        <f t="shared" si="15"/>
        <v>5.0105485232068302E-4</v>
      </c>
      <c r="H207">
        <f t="shared" si="16"/>
        <v>0.85150316455697839</v>
      </c>
      <c r="I207" s="10">
        <f t="shared" si="17"/>
        <v>5.8843569017312199E-4</v>
      </c>
      <c r="J207">
        <f t="shared" si="18"/>
        <v>6.3144019608532415E-3</v>
      </c>
      <c r="K207" s="10">
        <f t="shared" si="19"/>
        <v>8.2281845337371173</v>
      </c>
    </row>
    <row r="208" spans="1:11" ht="15">
      <c r="A208" t="s">
        <v>541</v>
      </c>
      <c r="B208" s="1" t="s">
        <v>212</v>
      </c>
      <c r="C208" s="8" t="s">
        <v>721</v>
      </c>
      <c r="D208" s="10" t="s">
        <v>721</v>
      </c>
      <c r="E208" s="10">
        <v>0.95</v>
      </c>
      <c r="F208" s="11">
        <f>VLOOKUP(B208,Transcriptome!B:L,11,FALSE)</f>
        <v>3.6919831223629265E-3</v>
      </c>
      <c r="G208" s="10">
        <f t="shared" si="15"/>
        <v>3.5073839662447801E-3</v>
      </c>
      <c r="H208">
        <f t="shared" si="16"/>
        <v>0.85150316455697839</v>
      </c>
      <c r="I208" s="10">
        <f t="shared" si="17"/>
        <v>4.1190498312118524E-3</v>
      </c>
      <c r="J208">
        <f t="shared" si="18"/>
        <v>3.2637178908119534E-2</v>
      </c>
      <c r="K208" s="10">
        <f t="shared" si="19"/>
        <v>8.2281845337371173</v>
      </c>
    </row>
    <row r="209" spans="1:11" ht="15">
      <c r="A209" t="s">
        <v>541</v>
      </c>
      <c r="B209" s="1" t="s">
        <v>213</v>
      </c>
      <c r="C209" s="8" t="s">
        <v>828</v>
      </c>
      <c r="D209" s="10" t="s">
        <v>828</v>
      </c>
      <c r="E209" s="10">
        <v>0.95</v>
      </c>
      <c r="F209" s="11">
        <f>VLOOKUP(B209,Transcriptome!B:L,11,FALSE)</f>
        <v>5.2742616033756105E-4</v>
      </c>
      <c r="G209" s="10">
        <f t="shared" si="15"/>
        <v>5.0105485232068302E-4</v>
      </c>
      <c r="H209">
        <f t="shared" si="16"/>
        <v>0.85150316455697839</v>
      </c>
      <c r="I209" s="10">
        <f t="shared" si="17"/>
        <v>5.8843569017312199E-4</v>
      </c>
      <c r="J209">
        <f t="shared" si="18"/>
        <v>6.3144019608532415E-3</v>
      </c>
      <c r="K209" s="10">
        <f t="shared" si="19"/>
        <v>8.2281845337371173</v>
      </c>
    </row>
    <row r="210" spans="1:11" ht="15">
      <c r="A210" t="s">
        <v>541</v>
      </c>
      <c r="B210" s="1" t="s">
        <v>214</v>
      </c>
      <c r="C210" s="8" t="s">
        <v>905</v>
      </c>
      <c r="D210" s="10" t="s">
        <v>905</v>
      </c>
      <c r="E210" s="10">
        <v>0.95</v>
      </c>
      <c r="F210" s="11">
        <f>VLOOKUP(B210,Transcriptome!B:L,11,FALSE)</f>
        <v>5.2742616033756105E-4</v>
      </c>
      <c r="G210" s="10">
        <f t="shared" si="15"/>
        <v>5.0105485232068302E-4</v>
      </c>
      <c r="H210">
        <f t="shared" si="16"/>
        <v>0.85150316455697839</v>
      </c>
      <c r="I210" s="10">
        <f t="shared" si="17"/>
        <v>5.8843569017312199E-4</v>
      </c>
      <c r="J210">
        <f t="shared" si="18"/>
        <v>6.3144019608532415E-3</v>
      </c>
      <c r="K210" s="10">
        <f t="shared" si="19"/>
        <v>8.2281845337371173</v>
      </c>
    </row>
    <row r="211" spans="1:11" ht="15">
      <c r="A211" t="s">
        <v>541</v>
      </c>
      <c r="B211" s="1" t="s">
        <v>217</v>
      </c>
      <c r="C211" s="8" t="s">
        <v>829</v>
      </c>
      <c r="D211" s="10" t="s">
        <v>829</v>
      </c>
      <c r="E211" s="10">
        <v>0.95</v>
      </c>
      <c r="F211" s="11">
        <f>VLOOKUP(B211,Transcriptome!B:L,11,FALSE)</f>
        <v>5.2742616033756105E-4</v>
      </c>
      <c r="G211" s="10">
        <f t="shared" si="15"/>
        <v>5.0105485232068302E-4</v>
      </c>
      <c r="H211">
        <f t="shared" si="16"/>
        <v>0.85150316455697839</v>
      </c>
      <c r="I211" s="10">
        <f t="shared" si="17"/>
        <v>5.8843569017312199E-4</v>
      </c>
      <c r="J211">
        <f t="shared" si="18"/>
        <v>6.3144019608532415E-3</v>
      </c>
      <c r="K211" s="10">
        <f t="shared" si="19"/>
        <v>8.2281845337371173</v>
      </c>
    </row>
    <row r="212" spans="1:11" ht="15">
      <c r="A212" t="s">
        <v>541</v>
      </c>
      <c r="B212" s="1" t="s">
        <v>218</v>
      </c>
      <c r="C212" s="8" t="s">
        <v>830</v>
      </c>
      <c r="D212" s="10" t="s">
        <v>830</v>
      </c>
      <c r="E212" s="10">
        <v>0.95</v>
      </c>
      <c r="F212" s="11">
        <f>VLOOKUP(B212,Transcriptome!B:L,11,FALSE)</f>
        <v>5.2742616033756105E-4</v>
      </c>
      <c r="G212" s="10">
        <f t="shared" si="15"/>
        <v>5.0105485232068302E-4</v>
      </c>
      <c r="H212">
        <f t="shared" si="16"/>
        <v>0.85150316455697839</v>
      </c>
      <c r="I212" s="10">
        <f t="shared" si="17"/>
        <v>5.8843569017312199E-4</v>
      </c>
      <c r="J212">
        <f t="shared" si="18"/>
        <v>6.3144019608532415E-3</v>
      </c>
      <c r="K212" s="10">
        <f t="shared" si="19"/>
        <v>8.2281845337371173</v>
      </c>
    </row>
    <row r="213" spans="1:11" ht="15">
      <c r="A213" t="s">
        <v>541</v>
      </c>
      <c r="B213" s="1" t="s">
        <v>219</v>
      </c>
      <c r="C213" s="8" t="s">
        <v>831</v>
      </c>
      <c r="D213" s="10" t="s">
        <v>831</v>
      </c>
      <c r="E213" s="10">
        <v>0.95</v>
      </c>
      <c r="F213" s="11">
        <f>VLOOKUP(B213,Transcriptome!B:L,11,FALSE)</f>
        <v>5.2742616033756105E-4</v>
      </c>
      <c r="G213" s="10">
        <f t="shared" si="15"/>
        <v>5.0105485232068302E-4</v>
      </c>
      <c r="H213">
        <f t="shared" si="16"/>
        <v>0.85150316455697839</v>
      </c>
      <c r="I213" s="10">
        <f t="shared" si="17"/>
        <v>5.8843569017312199E-4</v>
      </c>
      <c r="J213">
        <f t="shared" si="18"/>
        <v>6.3144019608532415E-3</v>
      </c>
      <c r="K213" s="10">
        <f t="shared" si="19"/>
        <v>8.2281845337371173</v>
      </c>
    </row>
    <row r="214" spans="1:11" ht="15">
      <c r="A214" t="s">
        <v>541</v>
      </c>
      <c r="B214" s="1" t="s">
        <v>220</v>
      </c>
      <c r="C214" s="8" t="s">
        <v>668</v>
      </c>
      <c r="D214" s="10" t="s">
        <v>668</v>
      </c>
      <c r="E214" s="10">
        <v>0.95</v>
      </c>
      <c r="F214" s="11">
        <f>VLOOKUP(B214,Transcriptome!B:L,11,FALSE)</f>
        <v>5.0105485232068295E-3</v>
      </c>
      <c r="G214" s="10">
        <f t="shared" si="15"/>
        <v>4.7600210970464877E-3</v>
      </c>
      <c r="H214">
        <f t="shared" si="16"/>
        <v>0.85150316455697839</v>
      </c>
      <c r="I214" s="10">
        <f t="shared" si="17"/>
        <v>5.5901390566446578E-3</v>
      </c>
      <c r="J214">
        <f t="shared" si="18"/>
        <v>4.1830452182054029E-2</v>
      </c>
      <c r="K214" s="10">
        <f t="shared" si="19"/>
        <v>8.2281845337371173</v>
      </c>
    </row>
    <row r="215" spans="1:11" ht="15">
      <c r="A215" t="s">
        <v>541</v>
      </c>
      <c r="B215" s="1" t="s">
        <v>222</v>
      </c>
      <c r="C215" s="8" t="s">
        <v>669</v>
      </c>
      <c r="D215" s="10" t="s">
        <v>669</v>
      </c>
      <c r="E215" s="10">
        <v>0.95</v>
      </c>
      <c r="F215" s="11">
        <f>VLOOKUP(B215,Transcriptome!B:L,11,FALSE)</f>
        <v>5.0105485232068295E-3</v>
      </c>
      <c r="G215" s="10">
        <f t="shared" si="15"/>
        <v>4.7600210970464877E-3</v>
      </c>
      <c r="H215">
        <f t="shared" si="16"/>
        <v>0.85150316455697839</v>
      </c>
      <c r="I215" s="10">
        <f t="shared" si="17"/>
        <v>5.5901390566446578E-3</v>
      </c>
      <c r="J215">
        <f t="shared" si="18"/>
        <v>4.1830452182054029E-2</v>
      </c>
      <c r="K215" s="10">
        <f t="shared" si="19"/>
        <v>8.2281845337371173</v>
      </c>
    </row>
    <row r="216" spans="1:11" ht="15">
      <c r="A216" t="s">
        <v>537</v>
      </c>
      <c r="B216" s="1" t="s">
        <v>207</v>
      </c>
      <c r="C216" s="8" t="s">
        <v>670</v>
      </c>
      <c r="D216" s="10" t="s">
        <v>670</v>
      </c>
      <c r="E216" s="10">
        <v>0.95</v>
      </c>
      <c r="F216" s="11">
        <f>VLOOKUP(B216,Transcriptome!B:L,11,FALSE)</f>
        <v>5.0105485232068295E-3</v>
      </c>
      <c r="G216" s="10">
        <f t="shared" si="15"/>
        <v>4.7600210970464877E-3</v>
      </c>
      <c r="H216">
        <f t="shared" si="16"/>
        <v>0.85150316455697839</v>
      </c>
      <c r="I216" s="10">
        <f t="shared" si="17"/>
        <v>5.5901390566446578E-3</v>
      </c>
      <c r="J216">
        <f t="shared" si="18"/>
        <v>4.1830452182054029E-2</v>
      </c>
      <c r="K216" s="10">
        <f t="shared" si="19"/>
        <v>8.2281845337371173</v>
      </c>
    </row>
    <row r="217" spans="1:11" ht="15">
      <c r="A217" t="s">
        <v>543</v>
      </c>
      <c r="B217" s="1" t="s">
        <v>228</v>
      </c>
      <c r="C217" s="8" t="s">
        <v>906</v>
      </c>
      <c r="D217" s="10" t="s">
        <v>906</v>
      </c>
      <c r="E217" s="10">
        <v>0.95</v>
      </c>
      <c r="F217" s="11">
        <f>VLOOKUP(B217,Transcriptome!B:L,11,FALSE)</f>
        <v>5.2742616033756105E-4</v>
      </c>
      <c r="G217" s="10">
        <f t="shared" si="15"/>
        <v>5.0105485232068302E-4</v>
      </c>
      <c r="H217">
        <f t="shared" si="16"/>
        <v>0.85150316455697839</v>
      </c>
      <c r="I217" s="10">
        <f t="shared" si="17"/>
        <v>5.8843569017312199E-4</v>
      </c>
      <c r="J217">
        <f t="shared" si="18"/>
        <v>6.3144019608532415E-3</v>
      </c>
      <c r="K217" s="10">
        <f t="shared" si="19"/>
        <v>8.2281845337371173</v>
      </c>
    </row>
    <row r="218" spans="1:11" ht="15">
      <c r="A218" t="s">
        <v>536</v>
      </c>
      <c r="B218" s="1" t="s">
        <v>440</v>
      </c>
      <c r="C218" s="8" t="s">
        <v>722</v>
      </c>
      <c r="D218" s="10" t="s">
        <v>722</v>
      </c>
      <c r="E218" s="10">
        <v>0.95</v>
      </c>
      <c r="F218" s="11">
        <f>VLOOKUP(B218,Transcriptome!B:L,11,FALSE)</f>
        <v>3.6919831223629265E-3</v>
      </c>
      <c r="G218" s="10">
        <f t="shared" si="15"/>
        <v>3.5073839662447801E-3</v>
      </c>
      <c r="H218">
        <f t="shared" si="16"/>
        <v>0.85150316455697839</v>
      </c>
      <c r="I218" s="10">
        <f t="shared" si="17"/>
        <v>4.1190498312118524E-3</v>
      </c>
      <c r="J218">
        <f t="shared" si="18"/>
        <v>3.2637178908119534E-2</v>
      </c>
      <c r="K218" s="10">
        <f t="shared" si="19"/>
        <v>8.2281845337371173</v>
      </c>
    </row>
    <row r="219" spans="1:11" ht="15">
      <c r="A219" t="s">
        <v>536</v>
      </c>
      <c r="B219" s="1" t="s">
        <v>441</v>
      </c>
      <c r="C219" s="8" t="s">
        <v>723</v>
      </c>
      <c r="D219" s="10" t="s">
        <v>723</v>
      </c>
      <c r="E219" s="10">
        <v>0.95</v>
      </c>
      <c r="F219" s="11">
        <f>VLOOKUP(B219,Transcriptome!B:L,11,FALSE)</f>
        <v>3.6919831223629265E-3</v>
      </c>
      <c r="G219" s="10">
        <f t="shared" si="15"/>
        <v>3.5073839662447801E-3</v>
      </c>
      <c r="H219">
        <f t="shared" si="16"/>
        <v>0.85150316455697839</v>
      </c>
      <c r="I219" s="10">
        <f t="shared" si="17"/>
        <v>4.1190498312118524E-3</v>
      </c>
      <c r="J219">
        <f t="shared" si="18"/>
        <v>3.2637178908119534E-2</v>
      </c>
      <c r="K219" s="10">
        <f t="shared" si="19"/>
        <v>8.2281845337371173</v>
      </c>
    </row>
    <row r="220" spans="1:11" ht="15">
      <c r="A220" t="s">
        <v>540</v>
      </c>
      <c r="B220" s="1" t="s">
        <v>264</v>
      </c>
      <c r="C220" s="8" t="s">
        <v>601</v>
      </c>
      <c r="D220" s="10" t="s">
        <v>601</v>
      </c>
      <c r="E220" s="10">
        <v>0.95</v>
      </c>
      <c r="F220" s="11">
        <f>VLOOKUP(B220,Transcriptome!B:L,11,FALSE)</f>
        <v>5.2742616033756105E-4</v>
      </c>
      <c r="G220" s="10">
        <f t="shared" si="15"/>
        <v>5.0105485232068302E-4</v>
      </c>
      <c r="H220">
        <f t="shared" si="16"/>
        <v>0.85150316455697839</v>
      </c>
      <c r="I220" s="10">
        <f t="shared" si="17"/>
        <v>5.8843569017312199E-4</v>
      </c>
      <c r="J220">
        <f t="shared" si="18"/>
        <v>6.3144019608532415E-3</v>
      </c>
      <c r="K220" s="10">
        <f t="shared" si="19"/>
        <v>8.2281845337371173</v>
      </c>
    </row>
    <row r="221" spans="1:11" ht="15">
      <c r="A221" t="s">
        <v>534</v>
      </c>
      <c r="B221" s="1" t="s">
        <v>97</v>
      </c>
      <c r="C221" s="8" t="s">
        <v>594</v>
      </c>
      <c r="D221" s="10" t="s">
        <v>594</v>
      </c>
      <c r="E221" s="10">
        <v>0.95</v>
      </c>
      <c r="F221" s="11">
        <f>VLOOKUP(B221,Transcriptome!B:L,11,FALSE)</f>
        <v>5.2742616033756105E-4</v>
      </c>
      <c r="G221" s="10">
        <f t="shared" si="15"/>
        <v>5.0105485232068302E-4</v>
      </c>
      <c r="H221">
        <f t="shared" si="16"/>
        <v>0.85150316455697839</v>
      </c>
      <c r="I221" s="10">
        <f t="shared" si="17"/>
        <v>5.8843569017312199E-4</v>
      </c>
      <c r="J221">
        <f t="shared" si="18"/>
        <v>6.3144019608532415E-3</v>
      </c>
      <c r="K221" s="10">
        <f t="shared" si="19"/>
        <v>8.2281845337371173</v>
      </c>
    </row>
    <row r="222" spans="1:11" ht="15">
      <c r="A222" t="s">
        <v>534</v>
      </c>
      <c r="B222" s="1" t="s">
        <v>98</v>
      </c>
      <c r="C222" s="8" t="s">
        <v>553</v>
      </c>
      <c r="D222" s="10" t="s">
        <v>553</v>
      </c>
      <c r="E222" s="10">
        <v>0.95</v>
      </c>
      <c r="F222" s="11">
        <f>VLOOKUP(B222,Transcriptome!B:L,11,FALSE)</f>
        <v>5.0105485232068295E-3</v>
      </c>
      <c r="G222" s="10">
        <f t="shared" si="15"/>
        <v>4.7600210970464877E-3</v>
      </c>
      <c r="H222">
        <f t="shared" si="16"/>
        <v>0.85150316455697839</v>
      </c>
      <c r="I222" s="10">
        <f t="shared" si="17"/>
        <v>5.5901390566446578E-3</v>
      </c>
      <c r="J222">
        <f t="shared" si="18"/>
        <v>4.1830452182054029E-2</v>
      </c>
      <c r="K222" s="10">
        <f t="shared" si="19"/>
        <v>8.2281845337371173</v>
      </c>
    </row>
    <row r="223" spans="1:11" ht="15">
      <c r="A223" t="s">
        <v>540</v>
      </c>
      <c r="B223" s="1" t="s">
        <v>265</v>
      </c>
      <c r="C223" s="8" t="s">
        <v>583</v>
      </c>
      <c r="D223" s="10" t="s">
        <v>583</v>
      </c>
      <c r="E223" s="10">
        <v>0.95</v>
      </c>
      <c r="F223" s="11">
        <f>VLOOKUP(B223,Transcriptome!B:L,11,FALSE)</f>
        <v>3.6919831223629265E-3</v>
      </c>
      <c r="G223" s="10">
        <f t="shared" si="15"/>
        <v>3.5073839662447801E-3</v>
      </c>
      <c r="H223">
        <f t="shared" si="16"/>
        <v>0.85150316455697839</v>
      </c>
      <c r="I223" s="10">
        <f t="shared" si="17"/>
        <v>4.1190498312118524E-3</v>
      </c>
      <c r="J223">
        <f t="shared" si="18"/>
        <v>3.2637178908119534E-2</v>
      </c>
      <c r="K223" s="10">
        <f t="shared" si="19"/>
        <v>8.2281845337371173</v>
      </c>
    </row>
    <row r="224" spans="1:11" ht="15">
      <c r="A224" t="s">
        <v>540</v>
      </c>
      <c r="B224" s="1" t="s">
        <v>266</v>
      </c>
      <c r="C224" s="8" t="s">
        <v>832</v>
      </c>
      <c r="D224" s="10" t="s">
        <v>832</v>
      </c>
      <c r="E224" s="10">
        <v>0.95</v>
      </c>
      <c r="F224" s="11">
        <f>VLOOKUP(B224,Transcriptome!B:L,11,FALSE)</f>
        <v>5.2742616033756105E-4</v>
      </c>
      <c r="G224" s="10">
        <f t="shared" si="15"/>
        <v>5.0105485232068302E-4</v>
      </c>
      <c r="H224">
        <f t="shared" si="16"/>
        <v>0.85150316455697839</v>
      </c>
      <c r="I224" s="10">
        <f t="shared" si="17"/>
        <v>5.8843569017312199E-4</v>
      </c>
      <c r="J224">
        <f t="shared" si="18"/>
        <v>6.3144019608532415E-3</v>
      </c>
      <c r="K224" s="10">
        <f t="shared" si="19"/>
        <v>8.2281845337371173</v>
      </c>
    </row>
    <row r="225" spans="1:11" ht="15">
      <c r="A225" t="s">
        <v>540</v>
      </c>
      <c r="B225" s="1" t="s">
        <v>267</v>
      </c>
      <c r="C225" s="8" t="s">
        <v>558</v>
      </c>
      <c r="D225" s="10" t="s">
        <v>558</v>
      </c>
      <c r="E225" s="10">
        <v>0.95</v>
      </c>
      <c r="F225" s="11">
        <f>VLOOKUP(B225,Transcriptome!B:L,11,FALSE)</f>
        <v>5.0105485232068295E-3</v>
      </c>
      <c r="G225" s="10">
        <f t="shared" si="15"/>
        <v>4.7600210970464877E-3</v>
      </c>
      <c r="H225">
        <f t="shared" si="16"/>
        <v>0.85150316455697839</v>
      </c>
      <c r="I225" s="10">
        <f t="shared" si="17"/>
        <v>5.5901390566446578E-3</v>
      </c>
      <c r="J225">
        <f t="shared" si="18"/>
        <v>4.1830452182054029E-2</v>
      </c>
      <c r="K225" s="10">
        <f t="shared" si="19"/>
        <v>8.2281845337371173</v>
      </c>
    </row>
    <row r="226" spans="1:11" ht="15">
      <c r="A226" t="s">
        <v>540</v>
      </c>
      <c r="B226" s="1" t="s">
        <v>268</v>
      </c>
      <c r="C226" s="8" t="s">
        <v>602</v>
      </c>
      <c r="D226" s="10" t="s">
        <v>602</v>
      </c>
      <c r="E226" s="10">
        <v>0.95</v>
      </c>
      <c r="F226" s="11">
        <f>VLOOKUP(B226,Transcriptome!B:L,11,FALSE)</f>
        <v>5.2742616033756105E-4</v>
      </c>
      <c r="G226" s="10">
        <f t="shared" si="15"/>
        <v>5.0105485232068302E-4</v>
      </c>
      <c r="H226">
        <f t="shared" si="16"/>
        <v>0.85150316455697839</v>
      </c>
      <c r="I226" s="10">
        <f t="shared" si="17"/>
        <v>5.8843569017312199E-4</v>
      </c>
      <c r="J226">
        <f t="shared" si="18"/>
        <v>6.3144019608532415E-3</v>
      </c>
      <c r="K226" s="10">
        <f t="shared" si="19"/>
        <v>8.2281845337371173</v>
      </c>
    </row>
    <row r="227" spans="1:11" ht="15">
      <c r="A227" t="s">
        <v>540</v>
      </c>
      <c r="B227" s="1" t="s">
        <v>269</v>
      </c>
      <c r="C227" s="8" t="s">
        <v>578</v>
      </c>
      <c r="D227" s="10" t="s">
        <v>578</v>
      </c>
      <c r="E227" s="10">
        <v>0.95</v>
      </c>
      <c r="F227" s="11">
        <f>VLOOKUP(B227,Transcriptome!B:L,11,FALSE)</f>
        <v>3.6919831223629265E-3</v>
      </c>
      <c r="G227" s="10">
        <f t="shared" si="15"/>
        <v>3.5073839662447801E-3</v>
      </c>
      <c r="H227">
        <f t="shared" si="16"/>
        <v>0.85150316455697839</v>
      </c>
      <c r="I227" s="10">
        <f t="shared" si="17"/>
        <v>4.1190498312118524E-3</v>
      </c>
      <c r="J227">
        <f t="shared" si="18"/>
        <v>3.2637178908119534E-2</v>
      </c>
      <c r="K227" s="10">
        <f t="shared" si="19"/>
        <v>8.2281845337371173</v>
      </c>
    </row>
    <row r="228" spans="1:11" ht="15">
      <c r="A228" t="s">
        <v>540</v>
      </c>
      <c r="B228" s="1" t="s">
        <v>270</v>
      </c>
      <c r="C228" s="8" t="s">
        <v>724</v>
      </c>
      <c r="D228" s="10" t="s">
        <v>724</v>
      </c>
      <c r="E228" s="10">
        <v>0.95</v>
      </c>
      <c r="F228" s="11">
        <f>VLOOKUP(B228,Transcriptome!B:L,11,FALSE)</f>
        <v>3.6919831223629265E-3</v>
      </c>
      <c r="G228" s="10">
        <f t="shared" si="15"/>
        <v>3.5073839662447801E-3</v>
      </c>
      <c r="H228">
        <f t="shared" si="16"/>
        <v>0.85150316455697839</v>
      </c>
      <c r="I228" s="10">
        <f t="shared" si="17"/>
        <v>4.1190498312118524E-3</v>
      </c>
      <c r="J228">
        <f t="shared" si="18"/>
        <v>3.2637178908119534E-2</v>
      </c>
      <c r="K228" s="10">
        <f t="shared" si="19"/>
        <v>8.2281845337371173</v>
      </c>
    </row>
    <row r="229" spans="1:11" ht="15">
      <c r="A229" t="s">
        <v>536</v>
      </c>
      <c r="B229" s="1" t="s">
        <v>442</v>
      </c>
      <c r="C229" s="8" t="s">
        <v>725</v>
      </c>
      <c r="D229" s="10" t="s">
        <v>725</v>
      </c>
      <c r="E229" s="10">
        <v>0.95</v>
      </c>
      <c r="F229" s="11">
        <f>VLOOKUP(B229,Transcriptome!B:L,11,FALSE)</f>
        <v>3.6919831223629265E-3</v>
      </c>
      <c r="G229" s="10">
        <f t="shared" si="15"/>
        <v>3.5073839662447801E-3</v>
      </c>
      <c r="H229">
        <f t="shared" si="16"/>
        <v>0.85150316455697839</v>
      </c>
      <c r="I229" s="10">
        <f t="shared" si="17"/>
        <v>4.1190498312118524E-3</v>
      </c>
      <c r="J229">
        <f t="shared" si="18"/>
        <v>3.2637178908119534E-2</v>
      </c>
      <c r="K229" s="10">
        <f t="shared" si="19"/>
        <v>8.2281845337371173</v>
      </c>
    </row>
    <row r="230" spans="1:11" ht="15">
      <c r="A230" t="s">
        <v>534</v>
      </c>
      <c r="B230" s="1" t="s">
        <v>100</v>
      </c>
      <c r="C230" s="8" t="s">
        <v>833</v>
      </c>
      <c r="D230" s="10" t="s">
        <v>833</v>
      </c>
      <c r="E230" s="10">
        <v>0.95</v>
      </c>
      <c r="F230" s="11">
        <f>VLOOKUP(B230,Transcriptome!B:L,11,FALSE)</f>
        <v>5.2742616033756105E-4</v>
      </c>
      <c r="G230" s="10">
        <f t="shared" si="15"/>
        <v>5.0105485232068302E-4</v>
      </c>
      <c r="H230">
        <f t="shared" si="16"/>
        <v>0.85150316455697839</v>
      </c>
      <c r="I230" s="10">
        <f t="shared" si="17"/>
        <v>5.8843569017312199E-4</v>
      </c>
      <c r="J230">
        <f t="shared" si="18"/>
        <v>6.3144019608532415E-3</v>
      </c>
      <c r="K230" s="10">
        <f t="shared" si="19"/>
        <v>8.2281845337371173</v>
      </c>
    </row>
    <row r="231" spans="1:11" ht="15">
      <c r="A231" t="s">
        <v>540</v>
      </c>
      <c r="B231" s="1" t="s">
        <v>272</v>
      </c>
      <c r="C231" s="8" t="s">
        <v>671</v>
      </c>
      <c r="D231" s="10" t="s">
        <v>671</v>
      </c>
      <c r="E231" s="10">
        <v>0.95</v>
      </c>
      <c r="F231" s="11">
        <f>VLOOKUP(B231,Transcriptome!B:L,11,FALSE)</f>
        <v>5.0105485232068295E-3</v>
      </c>
      <c r="G231" s="10">
        <f t="shared" si="15"/>
        <v>4.7600210970464877E-3</v>
      </c>
      <c r="H231">
        <f t="shared" si="16"/>
        <v>0.85150316455697839</v>
      </c>
      <c r="I231" s="10">
        <f t="shared" si="17"/>
        <v>5.5901390566446578E-3</v>
      </c>
      <c r="J231">
        <f t="shared" si="18"/>
        <v>4.1830452182054029E-2</v>
      </c>
      <c r="K231" s="10">
        <f t="shared" si="19"/>
        <v>8.2281845337371173</v>
      </c>
    </row>
    <row r="232" spans="1:11" ht="15">
      <c r="A232" t="s">
        <v>535</v>
      </c>
      <c r="B232" s="1" t="s">
        <v>385</v>
      </c>
      <c r="C232" s="8" t="s">
        <v>834</v>
      </c>
      <c r="D232" s="10" t="s">
        <v>834</v>
      </c>
      <c r="E232" s="10">
        <v>0.95</v>
      </c>
      <c r="F232" s="11">
        <f>VLOOKUP(B232,Transcriptome!B:L,11,FALSE)</f>
        <v>5.2742616033756105E-4</v>
      </c>
      <c r="G232" s="10">
        <f t="shared" si="15"/>
        <v>5.0105485232068302E-4</v>
      </c>
      <c r="H232">
        <f t="shared" si="16"/>
        <v>0.85150316455697839</v>
      </c>
      <c r="I232" s="10">
        <f t="shared" si="17"/>
        <v>5.8843569017312199E-4</v>
      </c>
      <c r="J232">
        <f t="shared" si="18"/>
        <v>6.3144019608532415E-3</v>
      </c>
      <c r="K232" s="10">
        <f t="shared" si="19"/>
        <v>8.2281845337371173</v>
      </c>
    </row>
    <row r="233" spans="1:11" ht="15">
      <c r="A233" t="s">
        <v>535</v>
      </c>
      <c r="B233" s="1" t="s">
        <v>386</v>
      </c>
      <c r="C233" s="8" t="s">
        <v>835</v>
      </c>
      <c r="D233" s="10" t="s">
        <v>835</v>
      </c>
      <c r="E233" s="10">
        <v>0.95</v>
      </c>
      <c r="F233" s="11">
        <f>VLOOKUP(B233,Transcriptome!B:L,11,FALSE)</f>
        <v>5.2742616033756105E-4</v>
      </c>
      <c r="G233" s="10">
        <f t="shared" si="15"/>
        <v>5.0105485232068302E-4</v>
      </c>
      <c r="H233">
        <f t="shared" si="16"/>
        <v>0.85150316455697839</v>
      </c>
      <c r="I233" s="10">
        <f t="shared" si="17"/>
        <v>5.8843569017312199E-4</v>
      </c>
      <c r="J233">
        <f t="shared" si="18"/>
        <v>6.3144019608532415E-3</v>
      </c>
      <c r="K233" s="10">
        <f t="shared" si="19"/>
        <v>8.2281845337371173</v>
      </c>
    </row>
    <row r="234" spans="1:11" ht="15">
      <c r="A234" t="s">
        <v>542</v>
      </c>
      <c r="B234" s="1" t="s">
        <v>506</v>
      </c>
      <c r="C234" s="8" t="s">
        <v>550</v>
      </c>
      <c r="D234" s="10" t="s">
        <v>550</v>
      </c>
      <c r="E234" s="10">
        <v>0.95</v>
      </c>
      <c r="F234" s="11">
        <f>VLOOKUP(B234,Transcriptome!B:L,11,FALSE)</f>
        <v>5.0105485232068295E-3</v>
      </c>
      <c r="G234" s="10">
        <f t="shared" si="15"/>
        <v>4.7600210970464877E-3</v>
      </c>
      <c r="H234">
        <f t="shared" si="16"/>
        <v>0.85150316455697839</v>
      </c>
      <c r="I234" s="10">
        <f t="shared" si="17"/>
        <v>5.5901390566446578E-3</v>
      </c>
      <c r="J234">
        <f t="shared" si="18"/>
        <v>4.1830452182054029E-2</v>
      </c>
      <c r="K234" s="10">
        <f t="shared" si="19"/>
        <v>8.2281845337371173</v>
      </c>
    </row>
    <row r="235" spans="1:11" ht="15">
      <c r="A235" t="s">
        <v>542</v>
      </c>
      <c r="B235" s="1" t="s">
        <v>507</v>
      </c>
      <c r="C235" s="8" t="s">
        <v>836</v>
      </c>
      <c r="D235" s="10" t="s">
        <v>836</v>
      </c>
      <c r="E235" s="10">
        <v>0.95</v>
      </c>
      <c r="F235" s="11">
        <f>VLOOKUP(B235,Transcriptome!B:L,11,FALSE)</f>
        <v>5.2742616033756105E-4</v>
      </c>
      <c r="G235" s="10">
        <f t="shared" si="15"/>
        <v>5.0105485232068302E-4</v>
      </c>
      <c r="H235">
        <f t="shared" si="16"/>
        <v>0.85150316455697839</v>
      </c>
      <c r="I235" s="10">
        <f t="shared" si="17"/>
        <v>5.8843569017312199E-4</v>
      </c>
      <c r="J235">
        <f t="shared" si="18"/>
        <v>6.3144019608532415E-3</v>
      </c>
      <c r="K235" s="10">
        <f t="shared" si="19"/>
        <v>8.2281845337371173</v>
      </c>
    </row>
    <row r="236" spans="1:11" ht="15">
      <c r="A236" t="s">
        <v>542</v>
      </c>
      <c r="B236" s="1" t="s">
        <v>508</v>
      </c>
      <c r="C236" s="8" t="s">
        <v>582</v>
      </c>
      <c r="D236" s="10" t="s">
        <v>582</v>
      </c>
      <c r="E236" s="10">
        <v>0.95</v>
      </c>
      <c r="F236" s="11">
        <f>VLOOKUP(B236,Transcriptome!B:L,11,FALSE)</f>
        <v>3.6919831223629265E-3</v>
      </c>
      <c r="G236" s="10">
        <f t="shared" si="15"/>
        <v>3.5073839662447801E-3</v>
      </c>
      <c r="H236">
        <f t="shared" si="16"/>
        <v>0.85150316455697839</v>
      </c>
      <c r="I236" s="10">
        <f t="shared" si="17"/>
        <v>4.1190498312118524E-3</v>
      </c>
      <c r="J236">
        <f t="shared" si="18"/>
        <v>3.2637178908119534E-2</v>
      </c>
      <c r="K236" s="10">
        <f t="shared" si="19"/>
        <v>8.2281845337371173</v>
      </c>
    </row>
    <row r="237" spans="1:11" ht="15">
      <c r="A237" t="s">
        <v>542</v>
      </c>
      <c r="B237" s="1" t="s">
        <v>509</v>
      </c>
      <c r="C237" s="8" t="s">
        <v>837</v>
      </c>
      <c r="D237" s="10" t="s">
        <v>837</v>
      </c>
      <c r="E237" s="10">
        <v>0.95</v>
      </c>
      <c r="F237" s="11">
        <f>VLOOKUP(B237,Transcriptome!B:L,11,FALSE)</f>
        <v>5.2742616033756105E-4</v>
      </c>
      <c r="G237" s="10">
        <f t="shared" si="15"/>
        <v>5.0105485232068302E-4</v>
      </c>
      <c r="H237">
        <f t="shared" si="16"/>
        <v>0.85150316455697839</v>
      </c>
      <c r="I237" s="10">
        <f t="shared" si="17"/>
        <v>5.8843569017312199E-4</v>
      </c>
      <c r="J237">
        <f t="shared" si="18"/>
        <v>6.3144019608532415E-3</v>
      </c>
      <c r="K237" s="10">
        <f t="shared" si="19"/>
        <v>8.2281845337371173</v>
      </c>
    </row>
    <row r="238" spans="1:11" ht="15">
      <c r="A238" t="s">
        <v>524</v>
      </c>
      <c r="B238" s="1" t="s">
        <v>22</v>
      </c>
      <c r="C238" s="8" t="s">
        <v>672</v>
      </c>
      <c r="D238" s="10" t="s">
        <v>672</v>
      </c>
      <c r="E238" s="10">
        <v>0.95</v>
      </c>
      <c r="F238" s="11">
        <f>VLOOKUP(B238,Transcriptome!B:L,11,FALSE)</f>
        <v>5.0105485232068295E-3</v>
      </c>
      <c r="G238" s="10">
        <f t="shared" si="15"/>
        <v>4.7600210970464877E-3</v>
      </c>
      <c r="H238">
        <f t="shared" si="16"/>
        <v>0.85150316455697839</v>
      </c>
      <c r="I238" s="10">
        <f t="shared" si="17"/>
        <v>5.5901390566446578E-3</v>
      </c>
      <c r="J238">
        <f t="shared" si="18"/>
        <v>4.1830452182054029E-2</v>
      </c>
      <c r="K238" s="10">
        <f t="shared" si="19"/>
        <v>8.2281845337371173</v>
      </c>
    </row>
    <row r="239" spans="1:11" ht="15">
      <c r="A239" t="s">
        <v>542</v>
      </c>
      <c r="B239" s="1" t="s">
        <v>513</v>
      </c>
      <c r="C239" s="8" t="s">
        <v>575</v>
      </c>
      <c r="D239" s="10" t="s">
        <v>575</v>
      </c>
      <c r="E239" s="10">
        <v>0.95</v>
      </c>
      <c r="F239" s="11">
        <f>VLOOKUP(B239,Transcriptome!B:L,11,FALSE)</f>
        <v>5.0105485232068295E-3</v>
      </c>
      <c r="G239" s="10">
        <f t="shared" si="15"/>
        <v>4.7600210970464877E-3</v>
      </c>
      <c r="H239">
        <f t="shared" si="16"/>
        <v>0.85150316455697839</v>
      </c>
      <c r="I239" s="10">
        <f t="shared" si="17"/>
        <v>5.5901390566446578E-3</v>
      </c>
      <c r="J239">
        <f t="shared" si="18"/>
        <v>4.1830452182054029E-2</v>
      </c>
      <c r="K239" s="10">
        <f t="shared" si="19"/>
        <v>8.2281845337371173</v>
      </c>
    </row>
    <row r="240" spans="1:11" ht="15">
      <c r="A240" t="s">
        <v>536</v>
      </c>
      <c r="B240" s="1" t="s">
        <v>445</v>
      </c>
      <c r="C240" s="8" t="s">
        <v>838</v>
      </c>
      <c r="D240" s="10" t="s">
        <v>838</v>
      </c>
      <c r="E240" s="10">
        <v>0.95</v>
      </c>
      <c r="F240" s="11">
        <f>VLOOKUP(B240,Transcriptome!B:L,11,FALSE)</f>
        <v>5.2742616033756105E-4</v>
      </c>
      <c r="G240" s="10">
        <f t="shared" si="15"/>
        <v>5.0105485232068302E-4</v>
      </c>
      <c r="H240">
        <f t="shared" si="16"/>
        <v>0.85150316455697839</v>
      </c>
      <c r="I240" s="10">
        <f t="shared" si="17"/>
        <v>5.8843569017312199E-4</v>
      </c>
      <c r="J240">
        <f t="shared" si="18"/>
        <v>6.3144019608532415E-3</v>
      </c>
      <c r="K240" s="10">
        <f t="shared" si="19"/>
        <v>8.2281845337371173</v>
      </c>
    </row>
    <row r="241" spans="1:11" ht="15">
      <c r="A241" t="s">
        <v>534</v>
      </c>
      <c r="B241" s="1" t="s">
        <v>104</v>
      </c>
      <c r="C241" s="8" t="s">
        <v>839</v>
      </c>
      <c r="D241" s="10" t="s">
        <v>839</v>
      </c>
      <c r="E241" s="10">
        <v>0.95</v>
      </c>
      <c r="F241" s="11">
        <f>VLOOKUP(B241,Transcriptome!B:L,11,FALSE)</f>
        <v>5.2742616033756105E-4</v>
      </c>
      <c r="G241" s="10">
        <f t="shared" si="15"/>
        <v>5.0105485232068302E-4</v>
      </c>
      <c r="H241">
        <f t="shared" si="16"/>
        <v>0.85150316455697839</v>
      </c>
      <c r="I241" s="10">
        <f t="shared" si="17"/>
        <v>5.8843569017312199E-4</v>
      </c>
      <c r="J241">
        <f t="shared" si="18"/>
        <v>6.3144019608532415E-3</v>
      </c>
      <c r="K241" s="10">
        <f t="shared" si="19"/>
        <v>8.2281845337371173</v>
      </c>
    </row>
    <row r="242" spans="1:11" ht="15">
      <c r="A242" t="s">
        <v>536</v>
      </c>
      <c r="B242" s="1" t="s">
        <v>446</v>
      </c>
      <c r="C242" s="8" t="s">
        <v>607</v>
      </c>
      <c r="D242" s="10" t="s">
        <v>607</v>
      </c>
      <c r="E242" s="10">
        <v>0.95</v>
      </c>
      <c r="F242" s="11">
        <f>VLOOKUP(B242,Transcriptome!B:L,11,FALSE)</f>
        <v>5.2742616033756105E-4</v>
      </c>
      <c r="G242" s="10">
        <f t="shared" si="15"/>
        <v>5.0105485232068302E-4</v>
      </c>
      <c r="H242">
        <f t="shared" si="16"/>
        <v>0.85150316455697839</v>
      </c>
      <c r="I242" s="10">
        <f t="shared" si="17"/>
        <v>5.8843569017312199E-4</v>
      </c>
      <c r="J242">
        <f t="shared" si="18"/>
        <v>6.3144019608532415E-3</v>
      </c>
      <c r="K242" s="10">
        <f t="shared" si="19"/>
        <v>8.2281845337371173</v>
      </c>
    </row>
    <row r="243" spans="1:11" ht="15">
      <c r="A243" t="s">
        <v>536</v>
      </c>
      <c r="B243" s="1" t="s">
        <v>448</v>
      </c>
      <c r="C243" s="8" t="s">
        <v>673</v>
      </c>
      <c r="D243" s="10" t="s">
        <v>673</v>
      </c>
      <c r="E243" s="10">
        <v>0.95</v>
      </c>
      <c r="F243" s="11">
        <f>VLOOKUP(B243,Transcriptome!B:L,11,FALSE)</f>
        <v>5.0105485232068295E-3</v>
      </c>
      <c r="G243" s="10">
        <f t="shared" si="15"/>
        <v>4.7600210970464877E-3</v>
      </c>
      <c r="H243">
        <f t="shared" si="16"/>
        <v>0.85150316455697839</v>
      </c>
      <c r="I243" s="10">
        <f t="shared" si="17"/>
        <v>5.5901390566446578E-3</v>
      </c>
      <c r="J243">
        <f t="shared" si="18"/>
        <v>4.1830452182054029E-2</v>
      </c>
      <c r="K243" s="10">
        <f t="shared" si="19"/>
        <v>8.2281845337371173</v>
      </c>
    </row>
    <row r="244" spans="1:11" ht="15">
      <c r="A244" t="s">
        <v>524</v>
      </c>
      <c r="B244" s="1" t="s">
        <v>24</v>
      </c>
      <c r="C244" s="8" t="s">
        <v>840</v>
      </c>
      <c r="D244" s="10" t="s">
        <v>840</v>
      </c>
      <c r="E244" s="10">
        <v>0.95</v>
      </c>
      <c r="F244" s="11">
        <f>VLOOKUP(B244,Transcriptome!B:L,11,FALSE)</f>
        <v>5.2742616033756105E-4</v>
      </c>
      <c r="G244" s="10">
        <f t="shared" si="15"/>
        <v>5.0105485232068302E-4</v>
      </c>
      <c r="H244">
        <f t="shared" si="16"/>
        <v>0.85150316455697839</v>
      </c>
      <c r="I244" s="10">
        <f t="shared" si="17"/>
        <v>5.8843569017312199E-4</v>
      </c>
      <c r="J244">
        <f t="shared" si="18"/>
        <v>6.3144019608532415E-3</v>
      </c>
      <c r="K244" s="10">
        <f t="shared" si="19"/>
        <v>8.2281845337371173</v>
      </c>
    </row>
    <row r="245" spans="1:11" ht="15">
      <c r="A245" t="s">
        <v>524</v>
      </c>
      <c r="B245" s="1" t="s">
        <v>25</v>
      </c>
      <c r="C245" s="8" t="s">
        <v>571</v>
      </c>
      <c r="D245" s="10" t="s">
        <v>571</v>
      </c>
      <c r="E245" s="10">
        <v>0.95</v>
      </c>
      <c r="F245" s="11">
        <f>VLOOKUP(B245,Transcriptome!B:L,11,FALSE)</f>
        <v>5.0105485232068295E-3</v>
      </c>
      <c r="G245" s="10">
        <f t="shared" si="15"/>
        <v>4.7600210970464877E-3</v>
      </c>
      <c r="H245">
        <f t="shared" si="16"/>
        <v>0.85150316455697839</v>
      </c>
      <c r="I245" s="10">
        <f t="shared" si="17"/>
        <v>5.5901390566446578E-3</v>
      </c>
      <c r="J245">
        <f t="shared" si="18"/>
        <v>4.1830452182054029E-2</v>
      </c>
      <c r="K245" s="10">
        <f t="shared" si="19"/>
        <v>8.2281845337371173</v>
      </c>
    </row>
    <row r="246" spans="1:11" ht="15">
      <c r="A246" t="s">
        <v>524</v>
      </c>
      <c r="B246" s="1" t="s">
        <v>26</v>
      </c>
      <c r="C246" s="8" t="s">
        <v>841</v>
      </c>
      <c r="D246" s="10" t="s">
        <v>841</v>
      </c>
      <c r="E246" s="10">
        <v>0.95</v>
      </c>
      <c r="F246" s="11">
        <f>VLOOKUP(B246,Transcriptome!B:L,11,FALSE)</f>
        <v>5.2742616033756105E-4</v>
      </c>
      <c r="G246" s="10">
        <f t="shared" si="15"/>
        <v>5.0105485232068302E-4</v>
      </c>
      <c r="H246">
        <f t="shared" si="16"/>
        <v>0.85150316455697839</v>
      </c>
      <c r="I246" s="10">
        <f t="shared" si="17"/>
        <v>5.8843569017312199E-4</v>
      </c>
      <c r="J246">
        <f t="shared" si="18"/>
        <v>6.3144019608532415E-3</v>
      </c>
      <c r="K246" s="10">
        <f t="shared" si="19"/>
        <v>8.2281845337371173</v>
      </c>
    </row>
    <row r="247" spans="1:11" ht="15">
      <c r="A247" t="s">
        <v>536</v>
      </c>
      <c r="B247" s="1" t="s">
        <v>449</v>
      </c>
      <c r="C247" s="8" t="s">
        <v>674</v>
      </c>
      <c r="D247" s="10" t="s">
        <v>674</v>
      </c>
      <c r="E247" s="10">
        <v>0.95</v>
      </c>
      <c r="F247" s="11">
        <f>VLOOKUP(B247,Transcriptome!B:L,11,FALSE)</f>
        <v>5.0105485232068295E-3</v>
      </c>
      <c r="G247" s="10">
        <f t="shared" si="15"/>
        <v>4.7600210970464877E-3</v>
      </c>
      <c r="H247">
        <f t="shared" si="16"/>
        <v>0.85150316455697839</v>
      </c>
      <c r="I247" s="10">
        <f t="shared" si="17"/>
        <v>5.5901390566446578E-3</v>
      </c>
      <c r="J247">
        <f t="shared" si="18"/>
        <v>4.1830452182054029E-2</v>
      </c>
      <c r="K247" s="10">
        <f t="shared" si="19"/>
        <v>8.2281845337371173</v>
      </c>
    </row>
    <row r="248" spans="1:11" ht="15">
      <c r="A248" t="s">
        <v>536</v>
      </c>
      <c r="B248" s="1" t="s">
        <v>450</v>
      </c>
      <c r="C248" s="8" t="s">
        <v>675</v>
      </c>
      <c r="D248" s="10" t="s">
        <v>675</v>
      </c>
      <c r="E248" s="10">
        <v>0.95</v>
      </c>
      <c r="F248" s="11">
        <f>VLOOKUP(B248,Transcriptome!B:L,11,FALSE)</f>
        <v>5.0105485232068295E-3</v>
      </c>
      <c r="G248" s="10">
        <f t="shared" si="15"/>
        <v>4.7600210970464877E-3</v>
      </c>
      <c r="H248">
        <f t="shared" si="16"/>
        <v>0.85150316455697839</v>
      </c>
      <c r="I248" s="10">
        <f t="shared" si="17"/>
        <v>5.5901390566446578E-3</v>
      </c>
      <c r="J248">
        <f t="shared" si="18"/>
        <v>4.1830452182054029E-2</v>
      </c>
      <c r="K248" s="10">
        <f t="shared" si="19"/>
        <v>8.2281845337371173</v>
      </c>
    </row>
    <row r="249" spans="1:11" ht="15">
      <c r="A249" t="s">
        <v>536</v>
      </c>
      <c r="B249" s="1" t="s">
        <v>451</v>
      </c>
      <c r="C249" s="8" t="s">
        <v>842</v>
      </c>
      <c r="D249" s="10" t="s">
        <v>842</v>
      </c>
      <c r="E249" s="10">
        <v>0.95</v>
      </c>
      <c r="F249" s="11">
        <f>VLOOKUP(B249,Transcriptome!B:L,11,FALSE)</f>
        <v>5.2742616033756105E-4</v>
      </c>
      <c r="G249" s="10">
        <f t="shared" si="15"/>
        <v>5.0105485232068302E-4</v>
      </c>
      <c r="H249">
        <f t="shared" si="16"/>
        <v>0.85150316455697839</v>
      </c>
      <c r="I249" s="10">
        <f t="shared" si="17"/>
        <v>5.8843569017312199E-4</v>
      </c>
      <c r="J249">
        <f t="shared" si="18"/>
        <v>6.3144019608532415E-3</v>
      </c>
      <c r="K249" s="10">
        <f t="shared" si="19"/>
        <v>8.2281845337371173</v>
      </c>
    </row>
    <row r="250" spans="1:11" ht="15">
      <c r="A250" t="s">
        <v>536</v>
      </c>
      <c r="B250" s="1" t="s">
        <v>453</v>
      </c>
      <c r="C250" s="8" t="s">
        <v>843</v>
      </c>
      <c r="D250" s="10" t="s">
        <v>843</v>
      </c>
      <c r="E250" s="10">
        <v>0.95</v>
      </c>
      <c r="F250" s="11">
        <f>VLOOKUP(B250,Transcriptome!B:L,11,FALSE)</f>
        <v>5.2742616033756105E-4</v>
      </c>
      <c r="G250" s="10">
        <f t="shared" si="15"/>
        <v>5.0105485232068302E-4</v>
      </c>
      <c r="H250">
        <f t="shared" si="16"/>
        <v>0.85150316455697839</v>
      </c>
      <c r="I250" s="10">
        <f t="shared" si="17"/>
        <v>5.8843569017312199E-4</v>
      </c>
      <c r="J250">
        <f t="shared" si="18"/>
        <v>6.3144019608532415E-3</v>
      </c>
      <c r="K250" s="10">
        <f t="shared" si="19"/>
        <v>8.2281845337371173</v>
      </c>
    </row>
    <row r="251" spans="1:11" ht="15">
      <c r="A251" t="s">
        <v>534</v>
      </c>
      <c r="B251" s="1" t="s">
        <v>107</v>
      </c>
      <c r="C251" s="8" t="s">
        <v>844</v>
      </c>
      <c r="D251" s="10" t="s">
        <v>844</v>
      </c>
      <c r="E251" s="10">
        <v>0.95</v>
      </c>
      <c r="F251" s="11">
        <f>VLOOKUP(B251,Transcriptome!B:L,11,FALSE)</f>
        <v>5.2742616033756105E-4</v>
      </c>
      <c r="G251" s="10">
        <f t="shared" si="15"/>
        <v>5.0105485232068302E-4</v>
      </c>
      <c r="H251">
        <f t="shared" si="16"/>
        <v>0.85150316455697839</v>
      </c>
      <c r="I251" s="10">
        <f t="shared" si="17"/>
        <v>5.8843569017312199E-4</v>
      </c>
      <c r="J251">
        <f t="shared" si="18"/>
        <v>6.3144019608532415E-3</v>
      </c>
      <c r="K251" s="10">
        <f t="shared" si="19"/>
        <v>8.2281845337371173</v>
      </c>
    </row>
    <row r="252" spans="1:11" ht="15">
      <c r="A252" t="s">
        <v>534</v>
      </c>
      <c r="B252" s="1" t="s">
        <v>108</v>
      </c>
      <c r="C252" s="8" t="s">
        <v>845</v>
      </c>
      <c r="D252" s="10" t="s">
        <v>845</v>
      </c>
      <c r="E252" s="10">
        <v>0.95</v>
      </c>
      <c r="F252" s="11">
        <f>VLOOKUP(B252,Transcriptome!B:L,11,FALSE)</f>
        <v>5.2742616033756105E-4</v>
      </c>
      <c r="G252" s="10">
        <f t="shared" si="15"/>
        <v>5.0105485232068302E-4</v>
      </c>
      <c r="H252">
        <f t="shared" si="16"/>
        <v>0.85150316455697839</v>
      </c>
      <c r="I252" s="10">
        <f t="shared" si="17"/>
        <v>5.8843569017312199E-4</v>
      </c>
      <c r="J252">
        <f t="shared" si="18"/>
        <v>6.3144019608532415E-3</v>
      </c>
      <c r="K252" s="10">
        <f t="shared" si="19"/>
        <v>8.2281845337371173</v>
      </c>
    </row>
    <row r="253" spans="1:11" ht="15">
      <c r="A253" t="s">
        <v>524</v>
      </c>
      <c r="B253" s="1" t="s">
        <v>27</v>
      </c>
      <c r="C253" s="8" t="s">
        <v>559</v>
      </c>
      <c r="D253" s="10" t="s">
        <v>559</v>
      </c>
      <c r="E253" s="10">
        <v>0.95</v>
      </c>
      <c r="F253" s="11">
        <f>VLOOKUP(B253,Transcriptome!B:L,11,FALSE)</f>
        <v>5.0105485232068295E-3</v>
      </c>
      <c r="G253" s="10">
        <f t="shared" si="15"/>
        <v>4.7600210970464877E-3</v>
      </c>
      <c r="H253">
        <f t="shared" si="16"/>
        <v>0.85150316455697839</v>
      </c>
      <c r="I253" s="10">
        <f t="shared" si="17"/>
        <v>5.5901390566446578E-3</v>
      </c>
      <c r="J253">
        <f t="shared" si="18"/>
        <v>4.1830452182054029E-2</v>
      </c>
      <c r="K253" s="10">
        <f t="shared" si="19"/>
        <v>8.2281845337371173</v>
      </c>
    </row>
    <row r="254" spans="1:11" ht="15">
      <c r="A254" t="s">
        <v>524</v>
      </c>
      <c r="B254" s="1" t="s">
        <v>28</v>
      </c>
      <c r="C254" s="8" t="s">
        <v>569</v>
      </c>
      <c r="D254" s="10" t="s">
        <v>569</v>
      </c>
      <c r="E254" s="10">
        <v>0.95</v>
      </c>
      <c r="F254" s="11">
        <f>VLOOKUP(B254,Transcriptome!B:L,11,FALSE)</f>
        <v>5.0105485232068295E-3</v>
      </c>
      <c r="G254" s="10">
        <f t="shared" si="15"/>
        <v>4.7600210970464877E-3</v>
      </c>
      <c r="H254">
        <f t="shared" si="16"/>
        <v>0.85150316455697839</v>
      </c>
      <c r="I254" s="10">
        <f t="shared" si="17"/>
        <v>5.5901390566446578E-3</v>
      </c>
      <c r="J254">
        <f t="shared" si="18"/>
        <v>4.1830452182054029E-2</v>
      </c>
      <c r="K254" s="10">
        <f t="shared" si="19"/>
        <v>8.2281845337371173</v>
      </c>
    </row>
    <row r="255" spans="1:11" ht="15">
      <c r="A255" t="s">
        <v>524</v>
      </c>
      <c r="B255" s="1" t="s">
        <v>30</v>
      </c>
      <c r="C255" s="8" t="s">
        <v>596</v>
      </c>
      <c r="D255" s="10" t="s">
        <v>596</v>
      </c>
      <c r="E255" s="10">
        <v>0.95</v>
      </c>
      <c r="F255" s="11">
        <f>VLOOKUP(B255,Transcriptome!B:L,11,FALSE)</f>
        <v>5.2742616033756105E-4</v>
      </c>
      <c r="G255" s="10">
        <f t="shared" si="15"/>
        <v>5.0105485232068302E-4</v>
      </c>
      <c r="H255">
        <f t="shared" si="16"/>
        <v>0.85150316455697839</v>
      </c>
      <c r="I255" s="10">
        <f t="shared" si="17"/>
        <v>5.8843569017312199E-4</v>
      </c>
      <c r="J255">
        <f t="shared" si="18"/>
        <v>6.3144019608532415E-3</v>
      </c>
      <c r="K255" s="10">
        <f t="shared" si="19"/>
        <v>8.2281845337371173</v>
      </c>
    </row>
    <row r="256" spans="1:11" ht="15">
      <c r="A256" t="s">
        <v>524</v>
      </c>
      <c r="B256" s="1" t="s">
        <v>31</v>
      </c>
      <c r="C256" s="8" t="s">
        <v>846</v>
      </c>
      <c r="D256" s="10" t="s">
        <v>846</v>
      </c>
      <c r="E256" s="10">
        <v>0.95</v>
      </c>
      <c r="F256" s="11">
        <f>VLOOKUP(B256,Transcriptome!B:L,11,FALSE)</f>
        <v>5.2742616033756105E-4</v>
      </c>
      <c r="G256" s="10">
        <f t="shared" si="15"/>
        <v>5.0105485232068302E-4</v>
      </c>
      <c r="H256">
        <f t="shared" si="16"/>
        <v>0.85150316455697839</v>
      </c>
      <c r="I256" s="10">
        <f t="shared" si="17"/>
        <v>5.8843569017312199E-4</v>
      </c>
      <c r="J256">
        <f t="shared" si="18"/>
        <v>6.3144019608532415E-3</v>
      </c>
      <c r="K256" s="10">
        <f t="shared" si="19"/>
        <v>8.2281845337371173</v>
      </c>
    </row>
    <row r="257" spans="1:11" ht="15">
      <c r="A257" t="s">
        <v>524</v>
      </c>
      <c r="B257" s="1" t="s">
        <v>32</v>
      </c>
      <c r="C257" s="8" t="s">
        <v>565</v>
      </c>
      <c r="D257" s="10" t="s">
        <v>565</v>
      </c>
      <c r="E257" s="10">
        <v>0.95</v>
      </c>
      <c r="F257" s="11">
        <f>VLOOKUP(B257,Transcriptome!B:L,11,FALSE)</f>
        <v>5.0105485232068295E-3</v>
      </c>
      <c r="G257" s="10">
        <f t="shared" si="15"/>
        <v>4.7600210970464877E-3</v>
      </c>
      <c r="H257">
        <f t="shared" si="16"/>
        <v>0.85150316455697839</v>
      </c>
      <c r="I257" s="10">
        <f t="shared" si="17"/>
        <v>5.5901390566446578E-3</v>
      </c>
      <c r="J257">
        <f t="shared" si="18"/>
        <v>4.1830452182054029E-2</v>
      </c>
      <c r="K257" s="10">
        <f t="shared" si="19"/>
        <v>8.2281845337371173</v>
      </c>
    </row>
    <row r="258" spans="1:11" ht="15">
      <c r="A258" t="s">
        <v>524</v>
      </c>
      <c r="B258" s="1" t="s">
        <v>33</v>
      </c>
      <c r="C258" s="8" t="s">
        <v>847</v>
      </c>
      <c r="D258" s="10" t="s">
        <v>847</v>
      </c>
      <c r="E258" s="10">
        <v>0.95</v>
      </c>
      <c r="F258" s="11">
        <f>VLOOKUP(B258,Transcriptome!B:L,11,FALSE)</f>
        <v>5.2742616033756105E-4</v>
      </c>
      <c r="G258" s="10">
        <f t="shared" ref="G258:G321" si="20">E258*F258</f>
        <v>5.0105485232068302E-4</v>
      </c>
      <c r="H258">
        <f t="shared" ref="H258:H321" si="21">SUM($G$2:$G$522)</f>
        <v>0.85150316455697839</v>
      </c>
      <c r="I258" s="10">
        <f t="shared" ref="I258:I321" si="22">G258/H258</f>
        <v>5.8843569017312199E-4</v>
      </c>
      <c r="J258">
        <f t="shared" ref="J258:J321" si="23">-I258*LOG(I258,2)</f>
        <v>6.3144019608532415E-3</v>
      </c>
      <c r="K258" s="10">
        <f t="shared" ref="K258:K321" si="24">SUM($J$2:$J$522)</f>
        <v>8.2281845337371173</v>
      </c>
    </row>
    <row r="259" spans="1:11" ht="15">
      <c r="A259" t="s">
        <v>524</v>
      </c>
      <c r="B259" s="1" t="s">
        <v>34</v>
      </c>
      <c r="C259" s="8" t="s">
        <v>848</v>
      </c>
      <c r="D259" s="10" t="s">
        <v>848</v>
      </c>
      <c r="E259" s="10">
        <v>0.95</v>
      </c>
      <c r="F259" s="11">
        <f>VLOOKUP(B259,Transcriptome!B:L,11,FALSE)</f>
        <v>5.2742616033756105E-4</v>
      </c>
      <c r="G259" s="10">
        <f t="shared" si="20"/>
        <v>5.0105485232068302E-4</v>
      </c>
      <c r="H259">
        <f t="shared" si="21"/>
        <v>0.85150316455697839</v>
      </c>
      <c r="I259" s="10">
        <f t="shared" si="22"/>
        <v>5.8843569017312199E-4</v>
      </c>
      <c r="J259">
        <f t="shared" si="23"/>
        <v>6.3144019608532415E-3</v>
      </c>
      <c r="K259" s="10">
        <f t="shared" si="24"/>
        <v>8.2281845337371173</v>
      </c>
    </row>
    <row r="260" spans="1:11" ht="15">
      <c r="A260" t="s">
        <v>524</v>
      </c>
      <c r="B260" s="1" t="s">
        <v>35</v>
      </c>
      <c r="C260" s="8" t="s">
        <v>849</v>
      </c>
      <c r="D260" s="10" t="s">
        <v>849</v>
      </c>
      <c r="E260" s="10">
        <v>0.95</v>
      </c>
      <c r="F260" s="11">
        <f>VLOOKUP(B260,Transcriptome!B:L,11,FALSE)</f>
        <v>5.2742616033756105E-4</v>
      </c>
      <c r="G260" s="10">
        <f t="shared" si="20"/>
        <v>5.0105485232068302E-4</v>
      </c>
      <c r="H260">
        <f t="shared" si="21"/>
        <v>0.85150316455697839</v>
      </c>
      <c r="I260" s="10">
        <f t="shared" si="22"/>
        <v>5.8843569017312199E-4</v>
      </c>
      <c r="J260">
        <f t="shared" si="23"/>
        <v>6.3144019608532415E-3</v>
      </c>
      <c r="K260" s="10">
        <f t="shared" si="24"/>
        <v>8.2281845337371173</v>
      </c>
    </row>
    <row r="261" spans="1:11" ht="15">
      <c r="A261" t="s">
        <v>524</v>
      </c>
      <c r="B261" s="1" t="s">
        <v>36</v>
      </c>
      <c r="C261" s="8" t="s">
        <v>545</v>
      </c>
      <c r="D261" s="10" t="s">
        <v>545</v>
      </c>
      <c r="E261" s="10">
        <v>0.95</v>
      </c>
      <c r="F261" s="11">
        <f>VLOOKUP(B261,Transcriptome!B:L,11,FALSE)</f>
        <v>5.0105485232068295E-3</v>
      </c>
      <c r="G261" s="10">
        <f t="shared" si="20"/>
        <v>4.7600210970464877E-3</v>
      </c>
      <c r="H261">
        <f t="shared" si="21"/>
        <v>0.85150316455697839</v>
      </c>
      <c r="I261" s="10">
        <f t="shared" si="22"/>
        <v>5.5901390566446578E-3</v>
      </c>
      <c r="J261">
        <f t="shared" si="23"/>
        <v>4.1830452182054029E-2</v>
      </c>
      <c r="K261" s="10">
        <f t="shared" si="24"/>
        <v>8.2281845337371173</v>
      </c>
    </row>
    <row r="262" spans="1:11" ht="15">
      <c r="A262" t="s">
        <v>524</v>
      </c>
      <c r="B262" s="1" t="s">
        <v>37</v>
      </c>
      <c r="C262" s="8" t="s">
        <v>850</v>
      </c>
      <c r="D262" s="10" t="s">
        <v>850</v>
      </c>
      <c r="E262" s="10">
        <v>0.95</v>
      </c>
      <c r="F262" s="11">
        <f>VLOOKUP(B262,Transcriptome!B:L,11,FALSE)</f>
        <v>5.2742616033756105E-4</v>
      </c>
      <c r="G262" s="10">
        <f t="shared" si="20"/>
        <v>5.0105485232068302E-4</v>
      </c>
      <c r="H262">
        <f t="shared" si="21"/>
        <v>0.85150316455697839</v>
      </c>
      <c r="I262" s="10">
        <f t="shared" si="22"/>
        <v>5.8843569017312199E-4</v>
      </c>
      <c r="J262">
        <f t="shared" si="23"/>
        <v>6.3144019608532415E-3</v>
      </c>
      <c r="K262" s="10">
        <f t="shared" si="24"/>
        <v>8.2281845337371173</v>
      </c>
    </row>
    <row r="263" spans="1:11" ht="15">
      <c r="A263" t="s">
        <v>524</v>
      </c>
      <c r="B263" s="1" t="s">
        <v>38</v>
      </c>
      <c r="C263" s="8" t="s">
        <v>851</v>
      </c>
      <c r="D263" s="10" t="s">
        <v>851</v>
      </c>
      <c r="E263" s="10">
        <v>0.95</v>
      </c>
      <c r="F263" s="11">
        <f>VLOOKUP(B263,Transcriptome!B:L,11,FALSE)</f>
        <v>5.2742616033756105E-4</v>
      </c>
      <c r="G263" s="10">
        <f t="shared" si="20"/>
        <v>5.0105485232068302E-4</v>
      </c>
      <c r="H263">
        <f t="shared" si="21"/>
        <v>0.85150316455697839</v>
      </c>
      <c r="I263" s="10">
        <f t="shared" si="22"/>
        <v>5.8843569017312199E-4</v>
      </c>
      <c r="J263">
        <f t="shared" si="23"/>
        <v>6.3144019608532415E-3</v>
      </c>
      <c r="K263" s="10">
        <f t="shared" si="24"/>
        <v>8.2281845337371173</v>
      </c>
    </row>
    <row r="264" spans="1:11" ht="15">
      <c r="A264" t="s">
        <v>534</v>
      </c>
      <c r="B264" s="1" t="s">
        <v>110</v>
      </c>
      <c r="C264" s="8" t="s">
        <v>852</v>
      </c>
      <c r="D264" s="10" t="s">
        <v>852</v>
      </c>
      <c r="E264" s="10">
        <v>0.95</v>
      </c>
      <c r="F264" s="11">
        <f>VLOOKUP(B264,Transcriptome!B:L,11,FALSE)</f>
        <v>5.2742616033756105E-4</v>
      </c>
      <c r="G264" s="10">
        <f t="shared" si="20"/>
        <v>5.0105485232068302E-4</v>
      </c>
      <c r="H264">
        <f t="shared" si="21"/>
        <v>0.85150316455697839</v>
      </c>
      <c r="I264" s="10">
        <f t="shared" si="22"/>
        <v>5.8843569017312199E-4</v>
      </c>
      <c r="J264">
        <f t="shared" si="23"/>
        <v>6.3144019608532415E-3</v>
      </c>
      <c r="K264" s="10">
        <f t="shared" si="24"/>
        <v>8.2281845337371173</v>
      </c>
    </row>
    <row r="265" spans="1:11" ht="15">
      <c r="A265" t="s">
        <v>534</v>
      </c>
      <c r="B265" s="1" t="s">
        <v>111</v>
      </c>
      <c r="C265" s="8" t="s">
        <v>853</v>
      </c>
      <c r="D265" s="10" t="s">
        <v>853</v>
      </c>
      <c r="E265" s="10">
        <v>0.95</v>
      </c>
      <c r="F265" s="11">
        <f>VLOOKUP(B265,Transcriptome!B:L,11,FALSE)</f>
        <v>5.2742616033756105E-4</v>
      </c>
      <c r="G265" s="10">
        <f t="shared" si="20"/>
        <v>5.0105485232068302E-4</v>
      </c>
      <c r="H265">
        <f t="shared" si="21"/>
        <v>0.85150316455697839</v>
      </c>
      <c r="I265" s="10">
        <f t="shared" si="22"/>
        <v>5.8843569017312199E-4</v>
      </c>
      <c r="J265">
        <f t="shared" si="23"/>
        <v>6.3144019608532415E-3</v>
      </c>
      <c r="K265" s="10">
        <f t="shared" si="24"/>
        <v>8.2281845337371173</v>
      </c>
    </row>
    <row r="266" spans="1:11" ht="15">
      <c r="A266" t="s">
        <v>542</v>
      </c>
      <c r="B266" s="1" t="s">
        <v>515</v>
      </c>
      <c r="C266" s="8" t="s">
        <v>585</v>
      </c>
      <c r="D266" s="10" t="s">
        <v>585</v>
      </c>
      <c r="E266" s="10">
        <v>0.95</v>
      </c>
      <c r="F266" s="11">
        <f>VLOOKUP(B266,Transcriptome!B:L,11,FALSE)</f>
        <v>3.6919831223629265E-3</v>
      </c>
      <c r="G266" s="10">
        <f t="shared" si="20"/>
        <v>3.5073839662447801E-3</v>
      </c>
      <c r="H266">
        <f t="shared" si="21"/>
        <v>0.85150316455697839</v>
      </c>
      <c r="I266" s="10">
        <f t="shared" si="22"/>
        <v>4.1190498312118524E-3</v>
      </c>
      <c r="J266">
        <f t="shared" si="23"/>
        <v>3.2637178908119534E-2</v>
      </c>
      <c r="K266" s="10">
        <f t="shared" si="24"/>
        <v>8.2281845337371173</v>
      </c>
    </row>
    <row r="267" spans="1:11" ht="15">
      <c r="A267" t="s">
        <v>524</v>
      </c>
      <c r="B267" s="1" t="s">
        <v>40</v>
      </c>
      <c r="C267" s="8" t="s">
        <v>854</v>
      </c>
      <c r="D267" s="10" t="s">
        <v>854</v>
      </c>
      <c r="E267" s="10">
        <v>0.95</v>
      </c>
      <c r="F267" s="11">
        <f>VLOOKUP(B267,Transcriptome!B:L,11,FALSE)</f>
        <v>5.2742616033756105E-4</v>
      </c>
      <c r="G267" s="10">
        <f t="shared" si="20"/>
        <v>5.0105485232068302E-4</v>
      </c>
      <c r="H267">
        <f t="shared" si="21"/>
        <v>0.85150316455697839</v>
      </c>
      <c r="I267" s="10">
        <f t="shared" si="22"/>
        <v>5.8843569017312199E-4</v>
      </c>
      <c r="J267">
        <f t="shared" si="23"/>
        <v>6.3144019608532415E-3</v>
      </c>
      <c r="K267" s="10">
        <f t="shared" si="24"/>
        <v>8.2281845337371173</v>
      </c>
    </row>
    <row r="268" spans="1:11" ht="15">
      <c r="A268" t="s">
        <v>537</v>
      </c>
      <c r="B268" s="1" t="s">
        <v>208</v>
      </c>
      <c r="C268" s="8" t="s">
        <v>572</v>
      </c>
      <c r="D268" s="10" t="s">
        <v>572</v>
      </c>
      <c r="E268" s="10">
        <v>0.95</v>
      </c>
      <c r="F268" s="11">
        <f>VLOOKUP(B268,Transcriptome!B:L,11,FALSE)</f>
        <v>5.0105485232068295E-3</v>
      </c>
      <c r="G268" s="10">
        <f t="shared" si="20"/>
        <v>4.7600210970464877E-3</v>
      </c>
      <c r="H268">
        <f t="shared" si="21"/>
        <v>0.85150316455697839</v>
      </c>
      <c r="I268" s="10">
        <f t="shared" si="22"/>
        <v>5.5901390566446578E-3</v>
      </c>
      <c r="J268">
        <f t="shared" si="23"/>
        <v>4.1830452182054029E-2</v>
      </c>
      <c r="K268" s="10">
        <f t="shared" si="24"/>
        <v>8.2281845337371173</v>
      </c>
    </row>
    <row r="269" spans="1:11" ht="15">
      <c r="A269" t="s">
        <v>535</v>
      </c>
      <c r="B269" s="1" t="s">
        <v>387</v>
      </c>
      <c r="C269" s="8" t="s">
        <v>676</v>
      </c>
      <c r="D269" s="10" t="s">
        <v>676</v>
      </c>
      <c r="E269" s="10">
        <v>0.95</v>
      </c>
      <c r="F269" s="11">
        <f>VLOOKUP(B269,Transcriptome!B:L,11,FALSE)</f>
        <v>5.0105485232068295E-3</v>
      </c>
      <c r="G269" s="10">
        <f t="shared" si="20"/>
        <v>4.7600210970464877E-3</v>
      </c>
      <c r="H269">
        <f t="shared" si="21"/>
        <v>0.85150316455697839</v>
      </c>
      <c r="I269" s="10">
        <f t="shared" si="22"/>
        <v>5.5901390566446578E-3</v>
      </c>
      <c r="J269">
        <f t="shared" si="23"/>
        <v>4.1830452182054029E-2</v>
      </c>
      <c r="K269" s="10">
        <f t="shared" si="24"/>
        <v>8.2281845337371173</v>
      </c>
    </row>
    <row r="270" spans="1:11" ht="15">
      <c r="A270" t="s">
        <v>535</v>
      </c>
      <c r="B270" s="1" t="s">
        <v>388</v>
      </c>
      <c r="C270" s="8" t="s">
        <v>855</v>
      </c>
      <c r="D270" s="10" t="s">
        <v>855</v>
      </c>
      <c r="E270" s="10">
        <v>0.95</v>
      </c>
      <c r="F270" s="11">
        <f>VLOOKUP(B270,Transcriptome!B:L,11,FALSE)</f>
        <v>5.2742616033756105E-4</v>
      </c>
      <c r="G270" s="10">
        <f t="shared" si="20"/>
        <v>5.0105485232068302E-4</v>
      </c>
      <c r="H270">
        <f t="shared" si="21"/>
        <v>0.85150316455697839</v>
      </c>
      <c r="I270" s="10">
        <f t="shared" si="22"/>
        <v>5.8843569017312199E-4</v>
      </c>
      <c r="J270">
        <f t="shared" si="23"/>
        <v>6.3144019608532415E-3</v>
      </c>
      <c r="K270" s="10">
        <f t="shared" si="24"/>
        <v>8.2281845337371173</v>
      </c>
    </row>
    <row r="271" spans="1:11" ht="15">
      <c r="A271" t="s">
        <v>535</v>
      </c>
      <c r="B271" s="1" t="s">
        <v>389</v>
      </c>
      <c r="C271" s="8" t="s">
        <v>856</v>
      </c>
      <c r="D271" s="10" t="s">
        <v>856</v>
      </c>
      <c r="E271" s="10">
        <v>0.95</v>
      </c>
      <c r="F271" s="11">
        <f>VLOOKUP(B271,Transcriptome!B:L,11,FALSE)</f>
        <v>5.2742616033756105E-4</v>
      </c>
      <c r="G271" s="10">
        <f t="shared" si="20"/>
        <v>5.0105485232068302E-4</v>
      </c>
      <c r="H271">
        <f t="shared" si="21"/>
        <v>0.85150316455697839</v>
      </c>
      <c r="I271" s="10">
        <f t="shared" si="22"/>
        <v>5.8843569017312199E-4</v>
      </c>
      <c r="J271">
        <f t="shared" si="23"/>
        <v>6.3144019608532415E-3</v>
      </c>
      <c r="K271" s="10">
        <f t="shared" si="24"/>
        <v>8.2281845337371173</v>
      </c>
    </row>
    <row r="272" spans="1:11" ht="15">
      <c r="A272" t="s">
        <v>535</v>
      </c>
      <c r="B272" s="1" t="s">
        <v>390</v>
      </c>
      <c r="C272" s="8" t="s">
        <v>595</v>
      </c>
      <c r="D272" s="10" t="s">
        <v>595</v>
      </c>
      <c r="E272" s="10">
        <v>0.95</v>
      </c>
      <c r="F272" s="11">
        <f>VLOOKUP(B272,Transcriptome!B:L,11,FALSE)</f>
        <v>5.2742616033756105E-4</v>
      </c>
      <c r="G272" s="10">
        <f t="shared" si="20"/>
        <v>5.0105485232068302E-4</v>
      </c>
      <c r="H272">
        <f t="shared" si="21"/>
        <v>0.85150316455697839</v>
      </c>
      <c r="I272" s="10">
        <f t="shared" si="22"/>
        <v>5.8843569017312199E-4</v>
      </c>
      <c r="J272">
        <f t="shared" si="23"/>
        <v>6.3144019608532415E-3</v>
      </c>
      <c r="K272" s="10">
        <f t="shared" si="24"/>
        <v>8.2281845337371173</v>
      </c>
    </row>
    <row r="273" spans="1:11" ht="15">
      <c r="A273" t="s">
        <v>536</v>
      </c>
      <c r="B273" s="1" t="s">
        <v>455</v>
      </c>
      <c r="C273" s="8" t="s">
        <v>726</v>
      </c>
      <c r="D273" s="10" t="s">
        <v>726</v>
      </c>
      <c r="E273" s="10">
        <v>0.95</v>
      </c>
      <c r="F273" s="11">
        <f>VLOOKUP(B273,Transcriptome!B:L,11,FALSE)</f>
        <v>3.6919831223629265E-3</v>
      </c>
      <c r="G273" s="10">
        <f t="shared" si="20"/>
        <v>3.5073839662447801E-3</v>
      </c>
      <c r="H273">
        <f t="shared" si="21"/>
        <v>0.85150316455697839</v>
      </c>
      <c r="I273" s="10">
        <f t="shared" si="22"/>
        <v>4.1190498312118524E-3</v>
      </c>
      <c r="J273">
        <f t="shared" si="23"/>
        <v>3.2637178908119534E-2</v>
      </c>
      <c r="K273" s="10">
        <f t="shared" si="24"/>
        <v>8.2281845337371173</v>
      </c>
    </row>
    <row r="274" spans="1:11" ht="15">
      <c r="A274" t="s">
        <v>539</v>
      </c>
      <c r="B274" s="1" t="s">
        <v>310</v>
      </c>
      <c r="C274" s="8" t="s">
        <v>677</v>
      </c>
      <c r="D274" s="10" t="s">
        <v>677</v>
      </c>
      <c r="E274" s="10">
        <v>0.95</v>
      </c>
      <c r="F274" s="11">
        <f>VLOOKUP(B274,Transcriptome!B:L,11,FALSE)</f>
        <v>5.0105485232068295E-3</v>
      </c>
      <c r="G274" s="10">
        <f t="shared" si="20"/>
        <v>4.7600210970464877E-3</v>
      </c>
      <c r="H274">
        <f t="shared" si="21"/>
        <v>0.85150316455697839</v>
      </c>
      <c r="I274" s="10">
        <f t="shared" si="22"/>
        <v>5.5901390566446578E-3</v>
      </c>
      <c r="J274">
        <f t="shared" si="23"/>
        <v>4.1830452182054029E-2</v>
      </c>
      <c r="K274" s="10">
        <f t="shared" si="24"/>
        <v>8.2281845337371173</v>
      </c>
    </row>
    <row r="275" spans="1:11" ht="15">
      <c r="A275" t="s">
        <v>535</v>
      </c>
      <c r="B275" s="1" t="s">
        <v>391</v>
      </c>
      <c r="C275" s="8" t="s">
        <v>857</v>
      </c>
      <c r="D275" s="10" t="s">
        <v>857</v>
      </c>
      <c r="E275" s="10">
        <v>0.95</v>
      </c>
      <c r="F275" s="11">
        <f>VLOOKUP(B275,Transcriptome!B:L,11,FALSE)</f>
        <v>5.2742616033756105E-4</v>
      </c>
      <c r="G275" s="10">
        <f t="shared" si="20"/>
        <v>5.0105485232068302E-4</v>
      </c>
      <c r="H275">
        <f t="shared" si="21"/>
        <v>0.85150316455697839</v>
      </c>
      <c r="I275" s="10">
        <f t="shared" si="22"/>
        <v>5.8843569017312199E-4</v>
      </c>
      <c r="J275">
        <f t="shared" si="23"/>
        <v>6.3144019608532415E-3</v>
      </c>
      <c r="K275" s="10">
        <f t="shared" si="24"/>
        <v>8.2281845337371173</v>
      </c>
    </row>
    <row r="276" spans="1:11" ht="15">
      <c r="A276" t="s">
        <v>542</v>
      </c>
      <c r="B276" s="1" t="s">
        <v>517</v>
      </c>
      <c r="C276" s="8" t="s">
        <v>858</v>
      </c>
      <c r="D276" s="10" t="s">
        <v>858</v>
      </c>
      <c r="E276" s="10">
        <v>0.95</v>
      </c>
      <c r="F276" s="11">
        <f>VLOOKUP(B276,Transcriptome!B:L,11,FALSE)</f>
        <v>5.2742616033756105E-4</v>
      </c>
      <c r="G276" s="10">
        <f t="shared" si="20"/>
        <v>5.0105485232068302E-4</v>
      </c>
      <c r="H276">
        <f t="shared" si="21"/>
        <v>0.85150316455697839</v>
      </c>
      <c r="I276" s="10">
        <f t="shared" si="22"/>
        <v>5.8843569017312199E-4</v>
      </c>
      <c r="J276">
        <f t="shared" si="23"/>
        <v>6.3144019608532415E-3</v>
      </c>
      <c r="K276" s="10">
        <f t="shared" si="24"/>
        <v>8.2281845337371173</v>
      </c>
    </row>
    <row r="277" spans="1:11" ht="15">
      <c r="A277" t="s">
        <v>542</v>
      </c>
      <c r="B277" s="1" t="s">
        <v>519</v>
      </c>
      <c r="C277" s="8" t="s">
        <v>678</v>
      </c>
      <c r="D277" s="10" t="s">
        <v>678</v>
      </c>
      <c r="E277" s="10">
        <v>0.95</v>
      </c>
      <c r="F277" s="11">
        <f>VLOOKUP(B277,Transcriptome!B:L,11,FALSE)</f>
        <v>5.0105485232068295E-3</v>
      </c>
      <c r="G277" s="10">
        <f t="shared" si="20"/>
        <v>4.7600210970464877E-3</v>
      </c>
      <c r="H277">
        <f t="shared" si="21"/>
        <v>0.85150316455697839</v>
      </c>
      <c r="I277" s="10">
        <f t="shared" si="22"/>
        <v>5.5901390566446578E-3</v>
      </c>
      <c r="J277">
        <f t="shared" si="23"/>
        <v>4.1830452182054029E-2</v>
      </c>
      <c r="K277" s="10">
        <f t="shared" si="24"/>
        <v>8.2281845337371173</v>
      </c>
    </row>
    <row r="278" spans="1:11" ht="15">
      <c r="A278" t="s">
        <v>539</v>
      </c>
      <c r="B278" s="1" t="s">
        <v>311</v>
      </c>
      <c r="C278" s="8" t="s">
        <v>727</v>
      </c>
      <c r="D278" s="10" t="s">
        <v>727</v>
      </c>
      <c r="E278" s="10">
        <v>0.95</v>
      </c>
      <c r="F278" s="11">
        <f>VLOOKUP(B278,Transcriptome!B:L,11,FALSE)</f>
        <v>3.6919831223629265E-3</v>
      </c>
      <c r="G278" s="10">
        <f t="shared" si="20"/>
        <v>3.5073839662447801E-3</v>
      </c>
      <c r="H278">
        <f t="shared" si="21"/>
        <v>0.85150316455697839</v>
      </c>
      <c r="I278" s="10">
        <f t="shared" si="22"/>
        <v>4.1190498312118524E-3</v>
      </c>
      <c r="J278">
        <f t="shared" si="23"/>
        <v>3.2637178908119534E-2</v>
      </c>
      <c r="K278" s="10">
        <f t="shared" si="24"/>
        <v>8.2281845337371173</v>
      </c>
    </row>
    <row r="279" spans="1:11" ht="15">
      <c r="A279" t="s">
        <v>536</v>
      </c>
      <c r="B279" s="1" t="s">
        <v>456</v>
      </c>
      <c r="C279" s="8" t="s">
        <v>859</v>
      </c>
      <c r="D279" s="10" t="s">
        <v>859</v>
      </c>
      <c r="E279" s="10">
        <v>0.95</v>
      </c>
      <c r="F279" s="11">
        <f>VLOOKUP(B279,Transcriptome!B:L,11,FALSE)</f>
        <v>5.2742616033756105E-4</v>
      </c>
      <c r="G279" s="10">
        <f t="shared" si="20"/>
        <v>5.0105485232068302E-4</v>
      </c>
      <c r="H279">
        <f t="shared" si="21"/>
        <v>0.85150316455697839</v>
      </c>
      <c r="I279" s="10">
        <f t="shared" si="22"/>
        <v>5.8843569017312199E-4</v>
      </c>
      <c r="J279">
        <f t="shared" si="23"/>
        <v>6.3144019608532415E-3</v>
      </c>
      <c r="K279" s="10">
        <f t="shared" si="24"/>
        <v>8.2281845337371173</v>
      </c>
    </row>
    <row r="280" spans="1:11" ht="15">
      <c r="A280" t="s">
        <v>524</v>
      </c>
      <c r="B280" s="1" t="s">
        <v>43</v>
      </c>
      <c r="C280" s="8" t="s">
        <v>679</v>
      </c>
      <c r="D280" s="10" t="s">
        <v>679</v>
      </c>
      <c r="E280" s="10">
        <v>0.95</v>
      </c>
      <c r="F280" s="11">
        <f>VLOOKUP(B280,Transcriptome!B:L,11,FALSE)</f>
        <v>5.0105485232068295E-3</v>
      </c>
      <c r="G280" s="10">
        <f t="shared" si="20"/>
        <v>4.7600210970464877E-3</v>
      </c>
      <c r="H280">
        <f t="shared" si="21"/>
        <v>0.85150316455697839</v>
      </c>
      <c r="I280" s="10">
        <f t="shared" si="22"/>
        <v>5.5901390566446578E-3</v>
      </c>
      <c r="J280">
        <f t="shared" si="23"/>
        <v>4.1830452182054029E-2</v>
      </c>
      <c r="K280" s="10">
        <f t="shared" si="24"/>
        <v>8.2281845337371173</v>
      </c>
    </row>
    <row r="281" spans="1:11" ht="15">
      <c r="A281" t="s">
        <v>524</v>
      </c>
      <c r="B281" s="1" t="s">
        <v>44</v>
      </c>
      <c r="C281" s="8" t="s">
        <v>573</v>
      </c>
      <c r="D281" s="10" t="s">
        <v>573</v>
      </c>
      <c r="E281" s="10">
        <v>0.95</v>
      </c>
      <c r="F281" s="11">
        <f>VLOOKUP(B281,Transcriptome!B:L,11,FALSE)</f>
        <v>5.0105485232068295E-3</v>
      </c>
      <c r="G281" s="10">
        <f t="shared" si="20"/>
        <v>4.7600210970464877E-3</v>
      </c>
      <c r="H281">
        <f t="shared" si="21"/>
        <v>0.85150316455697839</v>
      </c>
      <c r="I281" s="10">
        <f t="shared" si="22"/>
        <v>5.5901390566446578E-3</v>
      </c>
      <c r="J281">
        <f t="shared" si="23"/>
        <v>4.1830452182054029E-2</v>
      </c>
      <c r="K281" s="10">
        <f t="shared" si="24"/>
        <v>8.2281845337371173</v>
      </c>
    </row>
    <row r="282" spans="1:11" ht="15">
      <c r="A282" t="s">
        <v>535</v>
      </c>
      <c r="B282" s="1" t="s">
        <v>392</v>
      </c>
      <c r="C282" s="8" t="s">
        <v>860</v>
      </c>
      <c r="D282" s="10" t="s">
        <v>860</v>
      </c>
      <c r="E282" s="10">
        <v>0.95</v>
      </c>
      <c r="F282" s="11">
        <f>VLOOKUP(B282,Transcriptome!B:L,11,FALSE)</f>
        <v>5.2742616033756105E-4</v>
      </c>
      <c r="G282" s="10">
        <f t="shared" si="20"/>
        <v>5.0105485232068302E-4</v>
      </c>
      <c r="H282">
        <f t="shared" si="21"/>
        <v>0.85150316455697839</v>
      </c>
      <c r="I282" s="10">
        <f t="shared" si="22"/>
        <v>5.8843569017312199E-4</v>
      </c>
      <c r="J282">
        <f t="shared" si="23"/>
        <v>6.3144019608532415E-3</v>
      </c>
      <c r="K282" s="10">
        <f t="shared" si="24"/>
        <v>8.2281845337371173</v>
      </c>
    </row>
    <row r="283" spans="1:11" ht="15">
      <c r="A283" t="s">
        <v>524</v>
      </c>
      <c r="B283" s="1" t="s">
        <v>45</v>
      </c>
      <c r="C283" s="8" t="s">
        <v>563</v>
      </c>
      <c r="D283" s="10" t="s">
        <v>563</v>
      </c>
      <c r="E283" s="10">
        <v>0.95</v>
      </c>
      <c r="F283" s="11">
        <f>VLOOKUP(B283,Transcriptome!B:L,11,FALSE)</f>
        <v>5.0105485232068295E-3</v>
      </c>
      <c r="G283" s="10">
        <f t="shared" si="20"/>
        <v>4.7600210970464877E-3</v>
      </c>
      <c r="H283">
        <f t="shared" si="21"/>
        <v>0.85150316455697839</v>
      </c>
      <c r="I283" s="10">
        <f t="shared" si="22"/>
        <v>5.5901390566446578E-3</v>
      </c>
      <c r="J283">
        <f t="shared" si="23"/>
        <v>4.1830452182054029E-2</v>
      </c>
      <c r="K283" s="10">
        <f t="shared" si="24"/>
        <v>8.2281845337371173</v>
      </c>
    </row>
    <row r="284" spans="1:11" ht="15">
      <c r="A284" t="s">
        <v>524</v>
      </c>
      <c r="B284" s="1" t="s">
        <v>46</v>
      </c>
      <c r="C284" s="8" t="s">
        <v>861</v>
      </c>
      <c r="D284" s="10" t="s">
        <v>861</v>
      </c>
      <c r="E284" s="10">
        <v>0.95</v>
      </c>
      <c r="F284" s="11">
        <f>VLOOKUP(B284,Transcriptome!B:L,11,FALSE)</f>
        <v>5.2742616033756105E-4</v>
      </c>
      <c r="G284" s="10">
        <f t="shared" si="20"/>
        <v>5.0105485232068302E-4</v>
      </c>
      <c r="H284">
        <f t="shared" si="21"/>
        <v>0.85150316455697839</v>
      </c>
      <c r="I284" s="10">
        <f t="shared" si="22"/>
        <v>5.8843569017312199E-4</v>
      </c>
      <c r="J284">
        <f t="shared" si="23"/>
        <v>6.3144019608532415E-3</v>
      </c>
      <c r="K284" s="10">
        <f t="shared" si="24"/>
        <v>8.2281845337371173</v>
      </c>
    </row>
    <row r="285" spans="1:11" ht="15">
      <c r="A285" t="s">
        <v>524</v>
      </c>
      <c r="B285" s="1" t="s">
        <v>47</v>
      </c>
      <c r="C285" s="8" t="s">
        <v>597</v>
      </c>
      <c r="D285" s="10" t="s">
        <v>597</v>
      </c>
      <c r="E285" s="10">
        <v>0.95</v>
      </c>
      <c r="F285" s="11">
        <f>VLOOKUP(B285,Transcriptome!B:L,11,FALSE)</f>
        <v>5.2742616033756105E-4</v>
      </c>
      <c r="G285" s="10">
        <f t="shared" si="20"/>
        <v>5.0105485232068302E-4</v>
      </c>
      <c r="H285">
        <f t="shared" si="21"/>
        <v>0.85150316455697839</v>
      </c>
      <c r="I285" s="10">
        <f t="shared" si="22"/>
        <v>5.8843569017312199E-4</v>
      </c>
      <c r="J285">
        <f t="shared" si="23"/>
        <v>6.3144019608532415E-3</v>
      </c>
      <c r="K285" s="10">
        <f t="shared" si="24"/>
        <v>8.2281845337371173</v>
      </c>
    </row>
    <row r="286" spans="1:11" ht="15">
      <c r="A286" t="s">
        <v>524</v>
      </c>
      <c r="B286" s="1" t="s">
        <v>48</v>
      </c>
      <c r="C286" s="8" t="s">
        <v>680</v>
      </c>
      <c r="D286" s="10" t="s">
        <v>680</v>
      </c>
      <c r="E286" s="10">
        <v>0.95</v>
      </c>
      <c r="F286" s="11">
        <f>VLOOKUP(B286,Transcriptome!B:L,11,FALSE)</f>
        <v>5.0105485232068295E-3</v>
      </c>
      <c r="G286" s="10">
        <f t="shared" si="20"/>
        <v>4.7600210970464877E-3</v>
      </c>
      <c r="H286">
        <f t="shared" si="21"/>
        <v>0.85150316455697839</v>
      </c>
      <c r="I286" s="10">
        <f t="shared" si="22"/>
        <v>5.5901390566446578E-3</v>
      </c>
      <c r="J286">
        <f t="shared" si="23"/>
        <v>4.1830452182054029E-2</v>
      </c>
      <c r="K286" s="10">
        <f t="shared" si="24"/>
        <v>8.2281845337371173</v>
      </c>
    </row>
    <row r="287" spans="1:11" ht="15">
      <c r="A287" t="s">
        <v>524</v>
      </c>
      <c r="B287" s="1" t="s">
        <v>49</v>
      </c>
      <c r="C287" s="8" t="s">
        <v>862</v>
      </c>
      <c r="D287" s="10" t="s">
        <v>862</v>
      </c>
      <c r="E287" s="10">
        <v>0.95</v>
      </c>
      <c r="F287" s="11">
        <f>VLOOKUP(B287,Transcriptome!B:L,11,FALSE)</f>
        <v>5.2742616033756105E-4</v>
      </c>
      <c r="G287" s="10">
        <f t="shared" si="20"/>
        <v>5.0105485232068302E-4</v>
      </c>
      <c r="H287">
        <f t="shared" si="21"/>
        <v>0.85150316455697839</v>
      </c>
      <c r="I287" s="10">
        <f t="shared" si="22"/>
        <v>5.8843569017312199E-4</v>
      </c>
      <c r="J287">
        <f t="shared" si="23"/>
        <v>6.3144019608532415E-3</v>
      </c>
      <c r="K287" s="10">
        <f t="shared" si="24"/>
        <v>8.2281845337371173</v>
      </c>
    </row>
    <row r="288" spans="1:11" ht="15">
      <c r="A288" t="s">
        <v>524</v>
      </c>
      <c r="B288" s="1" t="s">
        <v>50</v>
      </c>
      <c r="C288" s="8" t="s">
        <v>863</v>
      </c>
      <c r="D288" s="10" t="s">
        <v>863</v>
      </c>
      <c r="E288" s="10">
        <v>0.95</v>
      </c>
      <c r="F288" s="11">
        <f>VLOOKUP(B288,Transcriptome!B:L,11,FALSE)</f>
        <v>5.2742616033756105E-4</v>
      </c>
      <c r="G288" s="10">
        <f t="shared" si="20"/>
        <v>5.0105485232068302E-4</v>
      </c>
      <c r="H288">
        <f t="shared" si="21"/>
        <v>0.85150316455697839</v>
      </c>
      <c r="I288" s="10">
        <f t="shared" si="22"/>
        <v>5.8843569017312199E-4</v>
      </c>
      <c r="J288">
        <f t="shared" si="23"/>
        <v>6.3144019608532415E-3</v>
      </c>
      <c r="K288" s="10">
        <f t="shared" si="24"/>
        <v>8.2281845337371173</v>
      </c>
    </row>
    <row r="289" spans="1:11" ht="15">
      <c r="A289" t="s">
        <v>524</v>
      </c>
      <c r="B289" s="1" t="s">
        <v>51</v>
      </c>
      <c r="C289" s="8" t="s">
        <v>728</v>
      </c>
      <c r="D289" s="10" t="s">
        <v>728</v>
      </c>
      <c r="E289" s="10">
        <v>0.95</v>
      </c>
      <c r="F289" s="11">
        <f>VLOOKUP(B289,Transcriptome!B:L,11,FALSE)</f>
        <v>3.6919831223629265E-3</v>
      </c>
      <c r="G289" s="10">
        <f t="shared" si="20"/>
        <v>3.5073839662447801E-3</v>
      </c>
      <c r="H289">
        <f t="shared" si="21"/>
        <v>0.85150316455697839</v>
      </c>
      <c r="I289" s="10">
        <f t="shared" si="22"/>
        <v>4.1190498312118524E-3</v>
      </c>
      <c r="J289">
        <f t="shared" si="23"/>
        <v>3.2637178908119534E-2</v>
      </c>
      <c r="K289" s="10">
        <f t="shared" si="24"/>
        <v>8.2281845337371173</v>
      </c>
    </row>
    <row r="290" spans="1:11" ht="15">
      <c r="A290" t="s">
        <v>524</v>
      </c>
      <c r="B290" s="1" t="s">
        <v>52</v>
      </c>
      <c r="C290" s="8" t="s">
        <v>592</v>
      </c>
      <c r="D290" s="10" t="s">
        <v>592</v>
      </c>
      <c r="E290" s="10">
        <v>0.95</v>
      </c>
      <c r="F290" s="11">
        <f>VLOOKUP(B290,Transcriptome!B:L,11,FALSE)</f>
        <v>5.2742616033756105E-4</v>
      </c>
      <c r="G290" s="10">
        <f t="shared" si="20"/>
        <v>5.0105485232068302E-4</v>
      </c>
      <c r="H290">
        <f t="shared" si="21"/>
        <v>0.85150316455697839</v>
      </c>
      <c r="I290" s="10">
        <f t="shared" si="22"/>
        <v>5.8843569017312199E-4</v>
      </c>
      <c r="J290">
        <f t="shared" si="23"/>
        <v>6.3144019608532415E-3</v>
      </c>
      <c r="K290" s="10">
        <f t="shared" si="24"/>
        <v>8.2281845337371173</v>
      </c>
    </row>
    <row r="291" spans="1:11" ht="15">
      <c r="A291" t="s">
        <v>536</v>
      </c>
      <c r="B291" s="1" t="s">
        <v>457</v>
      </c>
      <c r="C291" s="8" t="s">
        <v>907</v>
      </c>
      <c r="D291" s="10" t="s">
        <v>907</v>
      </c>
      <c r="E291" s="10">
        <v>0.95</v>
      </c>
      <c r="F291" s="11">
        <f>VLOOKUP(B291,Transcriptome!B:L,11,FALSE)</f>
        <v>5.2742616033756105E-4</v>
      </c>
      <c r="G291" s="10">
        <f t="shared" si="20"/>
        <v>5.0105485232068302E-4</v>
      </c>
      <c r="H291">
        <f t="shared" si="21"/>
        <v>0.85150316455697839</v>
      </c>
      <c r="I291" s="10">
        <f t="shared" si="22"/>
        <v>5.8843569017312199E-4</v>
      </c>
      <c r="J291">
        <f t="shared" si="23"/>
        <v>6.3144019608532415E-3</v>
      </c>
      <c r="K291" s="10">
        <f t="shared" si="24"/>
        <v>8.2281845337371173</v>
      </c>
    </row>
    <row r="292" spans="1:11" ht="15">
      <c r="A292" t="s">
        <v>536</v>
      </c>
      <c r="B292" s="1" t="s">
        <v>461</v>
      </c>
      <c r="C292" s="8" t="s">
        <v>729</v>
      </c>
      <c r="D292" s="10" t="s">
        <v>729</v>
      </c>
      <c r="E292" s="10">
        <v>0.95</v>
      </c>
      <c r="F292" s="11">
        <f>VLOOKUP(B292,Transcriptome!B:L,11,FALSE)</f>
        <v>3.6919831223629265E-3</v>
      </c>
      <c r="G292" s="10">
        <f t="shared" si="20"/>
        <v>3.5073839662447801E-3</v>
      </c>
      <c r="H292">
        <f t="shared" si="21"/>
        <v>0.85150316455697839</v>
      </c>
      <c r="I292" s="10">
        <f t="shared" si="22"/>
        <v>4.1190498312118524E-3</v>
      </c>
      <c r="J292">
        <f t="shared" si="23"/>
        <v>3.2637178908119534E-2</v>
      </c>
      <c r="K292" s="10">
        <f t="shared" si="24"/>
        <v>8.2281845337371173</v>
      </c>
    </row>
    <row r="293" spans="1:11" ht="15">
      <c r="A293" t="s">
        <v>536</v>
      </c>
      <c r="B293" s="1" t="s">
        <v>462</v>
      </c>
      <c r="C293" s="8" t="s">
        <v>864</v>
      </c>
      <c r="D293" s="10" t="s">
        <v>864</v>
      </c>
      <c r="E293" s="10">
        <v>0.95</v>
      </c>
      <c r="F293" s="11">
        <f>VLOOKUP(B293,Transcriptome!B:L,11,FALSE)</f>
        <v>5.2742616033756105E-4</v>
      </c>
      <c r="G293" s="10">
        <f t="shared" si="20"/>
        <v>5.0105485232068302E-4</v>
      </c>
      <c r="H293">
        <f t="shared" si="21"/>
        <v>0.85150316455697839</v>
      </c>
      <c r="I293" s="10">
        <f t="shared" si="22"/>
        <v>5.8843569017312199E-4</v>
      </c>
      <c r="J293">
        <f t="shared" si="23"/>
        <v>6.3144019608532415E-3</v>
      </c>
      <c r="K293" s="10">
        <f t="shared" si="24"/>
        <v>8.2281845337371173</v>
      </c>
    </row>
    <row r="294" spans="1:11" ht="15">
      <c r="A294" t="s">
        <v>536</v>
      </c>
      <c r="B294" s="1" t="s">
        <v>463</v>
      </c>
      <c r="C294" s="8" t="s">
        <v>865</v>
      </c>
      <c r="D294" s="10" t="s">
        <v>865</v>
      </c>
      <c r="E294" s="10">
        <v>0.95</v>
      </c>
      <c r="F294" s="11">
        <f>VLOOKUP(B294,Transcriptome!B:L,11,FALSE)</f>
        <v>5.2742616033756105E-4</v>
      </c>
      <c r="G294" s="10">
        <f t="shared" si="20"/>
        <v>5.0105485232068302E-4</v>
      </c>
      <c r="H294">
        <f t="shared" si="21"/>
        <v>0.85150316455697839</v>
      </c>
      <c r="I294" s="10">
        <f t="shared" si="22"/>
        <v>5.8843569017312199E-4</v>
      </c>
      <c r="J294">
        <f t="shared" si="23"/>
        <v>6.3144019608532415E-3</v>
      </c>
      <c r="K294" s="10">
        <f t="shared" si="24"/>
        <v>8.2281845337371173</v>
      </c>
    </row>
    <row r="295" spans="1:11" ht="15">
      <c r="A295" t="s">
        <v>524</v>
      </c>
      <c r="B295" s="1" t="s">
        <v>530</v>
      </c>
      <c r="C295" s="8" t="s">
        <v>866</v>
      </c>
      <c r="D295" s="10" t="s">
        <v>866</v>
      </c>
      <c r="E295" s="10">
        <v>0.95</v>
      </c>
      <c r="F295" s="11">
        <f>VLOOKUP(B295,Transcriptome!B:L,11,FALSE)</f>
        <v>5.2742616033756105E-4</v>
      </c>
      <c r="G295" s="10">
        <f t="shared" si="20"/>
        <v>5.0105485232068302E-4</v>
      </c>
      <c r="H295">
        <f t="shared" si="21"/>
        <v>0.85150316455697839</v>
      </c>
      <c r="I295" s="10">
        <f t="shared" si="22"/>
        <v>5.8843569017312199E-4</v>
      </c>
      <c r="J295">
        <f t="shared" si="23"/>
        <v>6.3144019608532415E-3</v>
      </c>
      <c r="K295" s="10">
        <f t="shared" si="24"/>
        <v>8.2281845337371173</v>
      </c>
    </row>
    <row r="296" spans="1:11" ht="15">
      <c r="A296" t="s">
        <v>534</v>
      </c>
      <c r="B296" s="1" t="s">
        <v>115</v>
      </c>
      <c r="C296" s="8" t="s">
        <v>867</v>
      </c>
      <c r="D296" s="10" t="s">
        <v>867</v>
      </c>
      <c r="E296" s="10">
        <v>0.95</v>
      </c>
      <c r="F296" s="11">
        <f>VLOOKUP(B296,Transcriptome!B:L,11,FALSE)</f>
        <v>5.2742616033756105E-4</v>
      </c>
      <c r="G296" s="10">
        <f t="shared" si="20"/>
        <v>5.0105485232068302E-4</v>
      </c>
      <c r="H296">
        <f t="shared" si="21"/>
        <v>0.85150316455697839</v>
      </c>
      <c r="I296" s="10">
        <f t="shared" si="22"/>
        <v>5.8843569017312199E-4</v>
      </c>
      <c r="J296">
        <f t="shared" si="23"/>
        <v>6.3144019608532415E-3</v>
      </c>
      <c r="K296" s="10">
        <f t="shared" si="24"/>
        <v>8.2281845337371173</v>
      </c>
    </row>
    <row r="297" spans="1:11" ht="15">
      <c r="A297" t="s">
        <v>534</v>
      </c>
      <c r="B297" s="1" t="s">
        <v>116</v>
      </c>
      <c r="C297" s="8" t="s">
        <v>868</v>
      </c>
      <c r="D297" s="10" t="s">
        <v>868</v>
      </c>
      <c r="E297" s="10">
        <v>0.95</v>
      </c>
      <c r="F297" s="11">
        <f>VLOOKUP(B297,Transcriptome!B:L,11,FALSE)</f>
        <v>5.2742616033756105E-4</v>
      </c>
      <c r="G297" s="10">
        <f t="shared" si="20"/>
        <v>5.0105485232068302E-4</v>
      </c>
      <c r="H297">
        <f t="shared" si="21"/>
        <v>0.85150316455697839</v>
      </c>
      <c r="I297" s="10">
        <f t="shared" si="22"/>
        <v>5.8843569017312199E-4</v>
      </c>
      <c r="J297">
        <f t="shared" si="23"/>
        <v>6.3144019608532415E-3</v>
      </c>
      <c r="K297" s="10">
        <f t="shared" si="24"/>
        <v>8.2281845337371173</v>
      </c>
    </row>
    <row r="298" spans="1:11" ht="15">
      <c r="A298" t="s">
        <v>540</v>
      </c>
      <c r="B298" s="1" t="s">
        <v>273</v>
      </c>
      <c r="C298" s="8" t="s">
        <v>552</v>
      </c>
      <c r="D298" s="10" t="s">
        <v>552</v>
      </c>
      <c r="E298" s="10">
        <v>0.95</v>
      </c>
      <c r="F298" s="11">
        <f>VLOOKUP(B298,Transcriptome!B:L,11,FALSE)</f>
        <v>5.0105485232068295E-3</v>
      </c>
      <c r="G298" s="10">
        <f t="shared" si="20"/>
        <v>4.7600210970464877E-3</v>
      </c>
      <c r="H298">
        <f t="shared" si="21"/>
        <v>0.85150316455697839</v>
      </c>
      <c r="I298" s="10">
        <f t="shared" si="22"/>
        <v>5.5901390566446578E-3</v>
      </c>
      <c r="J298">
        <f t="shared" si="23"/>
        <v>4.1830452182054029E-2</v>
      </c>
      <c r="K298" s="10">
        <f t="shared" si="24"/>
        <v>8.2281845337371173</v>
      </c>
    </row>
    <row r="299" spans="1:11" ht="15">
      <c r="A299" t="s">
        <v>542</v>
      </c>
      <c r="B299" s="1" t="s">
        <v>516</v>
      </c>
      <c r="C299" s="8" t="s">
        <v>869</v>
      </c>
      <c r="D299" s="10" t="s">
        <v>869</v>
      </c>
      <c r="E299" s="10">
        <v>0.95</v>
      </c>
      <c r="F299" s="11">
        <f>VLOOKUP(B299,Transcriptome!B:L,11,FALSE)</f>
        <v>5.2742616033756105E-4</v>
      </c>
      <c r="G299" s="10">
        <f t="shared" si="20"/>
        <v>5.0105485232068302E-4</v>
      </c>
      <c r="H299">
        <f t="shared" si="21"/>
        <v>0.85150316455697839</v>
      </c>
      <c r="I299" s="10">
        <f t="shared" si="22"/>
        <v>5.8843569017312199E-4</v>
      </c>
      <c r="J299">
        <f t="shared" si="23"/>
        <v>6.3144019608532415E-3</v>
      </c>
      <c r="K299" s="10">
        <f t="shared" si="24"/>
        <v>8.2281845337371173</v>
      </c>
    </row>
    <row r="300" spans="1:11" ht="15">
      <c r="A300" t="s">
        <v>534</v>
      </c>
      <c r="B300" s="1" t="s">
        <v>117</v>
      </c>
      <c r="C300" s="8" t="s">
        <v>584</v>
      </c>
      <c r="D300" s="10" t="s">
        <v>584</v>
      </c>
      <c r="E300" s="10">
        <v>0.95</v>
      </c>
      <c r="F300" s="11">
        <f>VLOOKUP(B300,Transcriptome!B:L,11,FALSE)</f>
        <v>3.6919831223629265E-3</v>
      </c>
      <c r="G300" s="10">
        <f t="shared" si="20"/>
        <v>3.5073839662447801E-3</v>
      </c>
      <c r="H300">
        <f t="shared" si="21"/>
        <v>0.85150316455697839</v>
      </c>
      <c r="I300" s="10">
        <f t="shared" si="22"/>
        <v>4.1190498312118524E-3</v>
      </c>
      <c r="J300">
        <f t="shared" si="23"/>
        <v>3.2637178908119534E-2</v>
      </c>
      <c r="K300" s="10">
        <f t="shared" si="24"/>
        <v>8.2281845337371173</v>
      </c>
    </row>
    <row r="301" spans="1:11" ht="15">
      <c r="A301" t="s">
        <v>534</v>
      </c>
      <c r="B301" s="1" t="s">
        <v>118</v>
      </c>
      <c r="C301" s="8" t="s">
        <v>870</v>
      </c>
      <c r="D301" s="10" t="s">
        <v>870</v>
      </c>
      <c r="E301" s="10">
        <v>0.95</v>
      </c>
      <c r="F301" s="11">
        <f>VLOOKUP(B301,Transcriptome!B:L,11,FALSE)</f>
        <v>5.2742616033756105E-4</v>
      </c>
      <c r="G301" s="10">
        <f t="shared" si="20"/>
        <v>5.0105485232068302E-4</v>
      </c>
      <c r="H301">
        <f t="shared" si="21"/>
        <v>0.85150316455697839</v>
      </c>
      <c r="I301" s="10">
        <f t="shared" si="22"/>
        <v>5.8843569017312199E-4</v>
      </c>
      <c r="J301">
        <f t="shared" si="23"/>
        <v>6.3144019608532415E-3</v>
      </c>
      <c r="K301" s="10">
        <f t="shared" si="24"/>
        <v>8.2281845337371173</v>
      </c>
    </row>
    <row r="302" spans="1:11" ht="15">
      <c r="A302" t="s">
        <v>535</v>
      </c>
      <c r="B302" s="1" t="s">
        <v>396</v>
      </c>
      <c r="C302" s="8" t="s">
        <v>871</v>
      </c>
      <c r="D302" s="10" t="s">
        <v>871</v>
      </c>
      <c r="E302" s="10">
        <v>0.95</v>
      </c>
      <c r="F302" s="11">
        <f>VLOOKUP(B302,Transcriptome!B:L,11,FALSE)</f>
        <v>5.2742616033756105E-4</v>
      </c>
      <c r="G302" s="10">
        <f t="shared" si="20"/>
        <v>5.0105485232068302E-4</v>
      </c>
      <c r="H302">
        <f t="shared" si="21"/>
        <v>0.85150316455697839</v>
      </c>
      <c r="I302" s="10">
        <f t="shared" si="22"/>
        <v>5.8843569017312199E-4</v>
      </c>
      <c r="J302">
        <f t="shared" si="23"/>
        <v>6.3144019608532415E-3</v>
      </c>
      <c r="K302" s="10">
        <f t="shared" si="24"/>
        <v>8.2281845337371173</v>
      </c>
    </row>
    <row r="303" spans="1:11" ht="15">
      <c r="A303" t="s">
        <v>535</v>
      </c>
      <c r="B303" s="1" t="s">
        <v>397</v>
      </c>
      <c r="C303" s="8" t="s">
        <v>872</v>
      </c>
      <c r="D303" s="10" t="s">
        <v>872</v>
      </c>
      <c r="E303" s="10">
        <v>0.95</v>
      </c>
      <c r="F303" s="11">
        <f>VLOOKUP(B303,Transcriptome!B:L,11,FALSE)</f>
        <v>5.2742616033756105E-4</v>
      </c>
      <c r="G303" s="10">
        <f t="shared" si="20"/>
        <v>5.0105485232068302E-4</v>
      </c>
      <c r="H303">
        <f t="shared" si="21"/>
        <v>0.85150316455697839</v>
      </c>
      <c r="I303" s="10">
        <f t="shared" si="22"/>
        <v>5.8843569017312199E-4</v>
      </c>
      <c r="J303">
        <f t="shared" si="23"/>
        <v>6.3144019608532415E-3</v>
      </c>
      <c r="K303" s="10">
        <f t="shared" si="24"/>
        <v>8.2281845337371173</v>
      </c>
    </row>
    <row r="304" spans="1:11" ht="15">
      <c r="A304" t="s">
        <v>537</v>
      </c>
      <c r="B304" s="1" t="s">
        <v>209</v>
      </c>
      <c r="C304" s="8" t="s">
        <v>681</v>
      </c>
      <c r="D304" s="10" t="s">
        <v>681</v>
      </c>
      <c r="E304" s="10">
        <v>0.95</v>
      </c>
      <c r="F304" s="11">
        <f>VLOOKUP(B304,Transcriptome!B:L,11,FALSE)</f>
        <v>5.0105485232068295E-3</v>
      </c>
      <c r="G304" s="10">
        <f t="shared" si="20"/>
        <v>4.7600210970464877E-3</v>
      </c>
      <c r="H304">
        <f t="shared" si="21"/>
        <v>0.85150316455697839</v>
      </c>
      <c r="I304" s="10">
        <f t="shared" si="22"/>
        <v>5.5901390566446578E-3</v>
      </c>
      <c r="J304">
        <f t="shared" si="23"/>
        <v>4.1830452182054029E-2</v>
      </c>
      <c r="K304" s="10">
        <f t="shared" si="24"/>
        <v>8.2281845337371173</v>
      </c>
    </row>
    <row r="305" spans="1:11" ht="15">
      <c r="A305" t="s">
        <v>537</v>
      </c>
      <c r="B305" s="1" t="s">
        <v>210</v>
      </c>
      <c r="C305" s="8" t="s">
        <v>873</v>
      </c>
      <c r="D305" s="10" t="s">
        <v>873</v>
      </c>
      <c r="E305" s="10">
        <v>0.95</v>
      </c>
      <c r="F305" s="11">
        <f>VLOOKUP(B305,Transcriptome!B:L,11,FALSE)</f>
        <v>5.2742616033756105E-4</v>
      </c>
      <c r="G305" s="10">
        <f t="shared" si="20"/>
        <v>5.0105485232068302E-4</v>
      </c>
      <c r="H305">
        <f t="shared" si="21"/>
        <v>0.85150316455697839</v>
      </c>
      <c r="I305" s="10">
        <f t="shared" si="22"/>
        <v>5.8843569017312199E-4</v>
      </c>
      <c r="J305">
        <f t="shared" si="23"/>
        <v>6.3144019608532415E-3</v>
      </c>
      <c r="K305" s="10">
        <f t="shared" si="24"/>
        <v>8.2281845337371173</v>
      </c>
    </row>
    <row r="306" spans="1:11" ht="15">
      <c r="A306" t="s">
        <v>537</v>
      </c>
      <c r="B306" s="1" t="s">
        <v>211</v>
      </c>
      <c r="C306" s="8" t="s">
        <v>874</v>
      </c>
      <c r="D306" s="10" t="s">
        <v>874</v>
      </c>
      <c r="E306" s="10">
        <v>0.95</v>
      </c>
      <c r="F306" s="11">
        <f>VLOOKUP(B306,Transcriptome!B:L,11,FALSE)</f>
        <v>5.2742616033756105E-4</v>
      </c>
      <c r="G306" s="10">
        <f t="shared" si="20"/>
        <v>5.0105485232068302E-4</v>
      </c>
      <c r="H306">
        <f t="shared" si="21"/>
        <v>0.85150316455697839</v>
      </c>
      <c r="I306" s="10">
        <f t="shared" si="22"/>
        <v>5.8843569017312199E-4</v>
      </c>
      <c r="J306">
        <f t="shared" si="23"/>
        <v>6.3144019608532415E-3</v>
      </c>
      <c r="K306" s="10">
        <f t="shared" si="24"/>
        <v>8.2281845337371173</v>
      </c>
    </row>
    <row r="307" spans="1:11" ht="15">
      <c r="A307" t="s">
        <v>540</v>
      </c>
      <c r="B307" s="1" t="s">
        <v>274</v>
      </c>
      <c r="C307" s="8" t="s">
        <v>875</v>
      </c>
      <c r="D307" s="10" t="s">
        <v>875</v>
      </c>
      <c r="E307" s="10">
        <v>0.95</v>
      </c>
      <c r="F307" s="11">
        <f>VLOOKUP(B307,Transcriptome!B:L,11,FALSE)</f>
        <v>5.2742616033756105E-4</v>
      </c>
      <c r="G307" s="10">
        <f t="shared" si="20"/>
        <v>5.0105485232068302E-4</v>
      </c>
      <c r="H307">
        <f t="shared" si="21"/>
        <v>0.85150316455697839</v>
      </c>
      <c r="I307" s="10">
        <f t="shared" si="22"/>
        <v>5.8843569017312199E-4</v>
      </c>
      <c r="J307">
        <f t="shared" si="23"/>
        <v>6.3144019608532415E-3</v>
      </c>
      <c r="K307" s="10">
        <f t="shared" si="24"/>
        <v>8.2281845337371173</v>
      </c>
    </row>
    <row r="308" spans="1:11" ht="15">
      <c r="A308" t="s">
        <v>534</v>
      </c>
      <c r="B308" s="1" t="s">
        <v>119</v>
      </c>
      <c r="C308" s="8" t="s">
        <v>682</v>
      </c>
      <c r="D308" s="10" t="s">
        <v>682</v>
      </c>
      <c r="E308" s="10">
        <v>0.95</v>
      </c>
      <c r="F308" s="11">
        <f>VLOOKUP(B308,Transcriptome!B:L,11,FALSE)</f>
        <v>5.0105485232068295E-3</v>
      </c>
      <c r="G308" s="10">
        <f t="shared" si="20"/>
        <v>4.7600210970464877E-3</v>
      </c>
      <c r="H308">
        <f t="shared" si="21"/>
        <v>0.85150316455697839</v>
      </c>
      <c r="I308" s="10">
        <f t="shared" si="22"/>
        <v>5.5901390566446578E-3</v>
      </c>
      <c r="J308">
        <f t="shared" si="23"/>
        <v>4.1830452182054029E-2</v>
      </c>
      <c r="K308" s="10">
        <f t="shared" si="24"/>
        <v>8.2281845337371173</v>
      </c>
    </row>
    <row r="309" spans="1:11" ht="15">
      <c r="A309" t="s">
        <v>536</v>
      </c>
      <c r="B309" s="1" t="s">
        <v>468</v>
      </c>
      <c r="C309" s="8" t="s">
        <v>876</v>
      </c>
      <c r="D309" s="10" t="s">
        <v>876</v>
      </c>
      <c r="E309" s="10">
        <v>0.95</v>
      </c>
      <c r="F309" s="11">
        <f>VLOOKUP(B309,Transcriptome!B:L,11,FALSE)</f>
        <v>5.2742616033756105E-4</v>
      </c>
      <c r="G309" s="10">
        <f t="shared" si="20"/>
        <v>5.0105485232068302E-4</v>
      </c>
      <c r="H309">
        <f t="shared" si="21"/>
        <v>0.85150316455697839</v>
      </c>
      <c r="I309" s="10">
        <f t="shared" si="22"/>
        <v>5.8843569017312199E-4</v>
      </c>
      <c r="J309">
        <f t="shared" si="23"/>
        <v>6.3144019608532415E-3</v>
      </c>
      <c r="K309" s="10">
        <f t="shared" si="24"/>
        <v>8.2281845337371173</v>
      </c>
    </row>
    <row r="310" spans="1:11" ht="15">
      <c r="A310" t="s">
        <v>540</v>
      </c>
      <c r="B310" s="1" t="s">
        <v>275</v>
      </c>
      <c r="C310" s="8" t="s">
        <v>554</v>
      </c>
      <c r="D310" s="10" t="s">
        <v>554</v>
      </c>
      <c r="E310" s="10">
        <v>0.95</v>
      </c>
      <c r="F310" s="11">
        <f>VLOOKUP(B310,Transcriptome!B:L,11,FALSE)</f>
        <v>5.0105485232068295E-3</v>
      </c>
      <c r="G310" s="10">
        <f t="shared" si="20"/>
        <v>4.7600210970464877E-3</v>
      </c>
      <c r="H310">
        <f t="shared" si="21"/>
        <v>0.85150316455697839</v>
      </c>
      <c r="I310" s="10">
        <f t="shared" si="22"/>
        <v>5.5901390566446578E-3</v>
      </c>
      <c r="J310">
        <f t="shared" si="23"/>
        <v>4.1830452182054029E-2</v>
      </c>
      <c r="K310" s="10">
        <f t="shared" si="24"/>
        <v>8.2281845337371173</v>
      </c>
    </row>
    <row r="311" spans="1:11" ht="15">
      <c r="A311" t="s">
        <v>540</v>
      </c>
      <c r="B311" s="1" t="s">
        <v>276</v>
      </c>
      <c r="C311" s="8" t="s">
        <v>683</v>
      </c>
      <c r="D311" s="10" t="s">
        <v>683</v>
      </c>
      <c r="E311" s="10">
        <v>0.95</v>
      </c>
      <c r="F311" s="11">
        <f>VLOOKUP(B311,Transcriptome!B:L,11,FALSE)</f>
        <v>5.0105485232068295E-3</v>
      </c>
      <c r="G311" s="10">
        <f t="shared" si="20"/>
        <v>4.7600210970464877E-3</v>
      </c>
      <c r="H311">
        <f t="shared" si="21"/>
        <v>0.85150316455697839</v>
      </c>
      <c r="I311" s="10">
        <f t="shared" si="22"/>
        <v>5.5901390566446578E-3</v>
      </c>
      <c r="J311">
        <f t="shared" si="23"/>
        <v>4.1830452182054029E-2</v>
      </c>
      <c r="K311" s="10">
        <f t="shared" si="24"/>
        <v>8.2281845337371173</v>
      </c>
    </row>
    <row r="312" spans="1:11" ht="15">
      <c r="A312" t="s">
        <v>540</v>
      </c>
      <c r="B312" s="1" t="s">
        <v>277</v>
      </c>
      <c r="C312" s="8" t="s">
        <v>684</v>
      </c>
      <c r="D312" s="10" t="s">
        <v>684</v>
      </c>
      <c r="E312" s="10">
        <v>0.95</v>
      </c>
      <c r="F312" s="11">
        <f>VLOOKUP(B312,Transcriptome!B:L,11,FALSE)</f>
        <v>5.0105485232068295E-3</v>
      </c>
      <c r="G312" s="10">
        <f t="shared" si="20"/>
        <v>4.7600210970464877E-3</v>
      </c>
      <c r="H312">
        <f t="shared" si="21"/>
        <v>0.85150316455697839</v>
      </c>
      <c r="I312" s="10">
        <f t="shared" si="22"/>
        <v>5.5901390566446578E-3</v>
      </c>
      <c r="J312">
        <f t="shared" si="23"/>
        <v>4.1830452182054029E-2</v>
      </c>
      <c r="K312" s="10">
        <f t="shared" si="24"/>
        <v>8.2281845337371173</v>
      </c>
    </row>
    <row r="313" spans="1:11" ht="15">
      <c r="A313" t="s">
        <v>524</v>
      </c>
      <c r="B313" s="1" t="s">
        <v>55</v>
      </c>
      <c r="C313" s="8" t="s">
        <v>685</v>
      </c>
      <c r="D313" s="10" t="s">
        <v>685</v>
      </c>
      <c r="E313" s="10">
        <v>0.95</v>
      </c>
      <c r="F313" s="11">
        <f>VLOOKUP(B313,Transcriptome!B:L,11,FALSE)</f>
        <v>5.0105485232068295E-3</v>
      </c>
      <c r="G313" s="10">
        <f t="shared" si="20"/>
        <v>4.7600210970464877E-3</v>
      </c>
      <c r="H313">
        <f t="shared" si="21"/>
        <v>0.85150316455697839</v>
      </c>
      <c r="I313" s="10">
        <f t="shared" si="22"/>
        <v>5.5901390566446578E-3</v>
      </c>
      <c r="J313">
        <f t="shared" si="23"/>
        <v>4.1830452182054029E-2</v>
      </c>
      <c r="K313" s="10">
        <f t="shared" si="24"/>
        <v>8.2281845337371173</v>
      </c>
    </row>
    <row r="314" spans="1:11" ht="15">
      <c r="A314" t="s">
        <v>524</v>
      </c>
      <c r="B314" s="1" t="s">
        <v>56</v>
      </c>
      <c r="C314" s="8" t="s">
        <v>877</v>
      </c>
      <c r="D314" s="10" t="s">
        <v>877</v>
      </c>
      <c r="E314" s="10">
        <v>0.95</v>
      </c>
      <c r="F314" s="11">
        <f>VLOOKUP(B314,Transcriptome!B:L,11,FALSE)</f>
        <v>5.2742616033756105E-4</v>
      </c>
      <c r="G314" s="10">
        <f t="shared" si="20"/>
        <v>5.0105485232068302E-4</v>
      </c>
      <c r="H314">
        <f t="shared" si="21"/>
        <v>0.85150316455697839</v>
      </c>
      <c r="I314" s="10">
        <f t="shared" si="22"/>
        <v>5.8843569017312199E-4</v>
      </c>
      <c r="J314">
        <f t="shared" si="23"/>
        <v>6.3144019608532415E-3</v>
      </c>
      <c r="K314" s="10">
        <f t="shared" si="24"/>
        <v>8.2281845337371173</v>
      </c>
    </row>
    <row r="315" spans="1:11" ht="15">
      <c r="A315" t="s">
        <v>540</v>
      </c>
      <c r="B315" s="1" t="s">
        <v>279</v>
      </c>
      <c r="C315" s="8" t="s">
        <v>686</v>
      </c>
      <c r="D315" s="10" t="s">
        <v>686</v>
      </c>
      <c r="E315" s="10">
        <v>0.95</v>
      </c>
      <c r="F315" s="11">
        <f>VLOOKUP(B315,Transcriptome!B:L,11,FALSE)</f>
        <v>5.0105485232068295E-3</v>
      </c>
      <c r="G315" s="10">
        <f t="shared" si="20"/>
        <v>4.7600210970464877E-3</v>
      </c>
      <c r="H315">
        <f t="shared" si="21"/>
        <v>0.85150316455697839</v>
      </c>
      <c r="I315" s="10">
        <f t="shared" si="22"/>
        <v>5.5901390566446578E-3</v>
      </c>
      <c r="J315">
        <f t="shared" si="23"/>
        <v>4.1830452182054029E-2</v>
      </c>
      <c r="K315" s="10">
        <f t="shared" si="24"/>
        <v>8.2281845337371173</v>
      </c>
    </row>
    <row r="316" spans="1:11" ht="15">
      <c r="A316" t="s">
        <v>535</v>
      </c>
      <c r="B316" s="1" t="s">
        <v>398</v>
      </c>
      <c r="C316" s="8" t="s">
        <v>588</v>
      </c>
      <c r="D316" s="10" t="s">
        <v>588</v>
      </c>
      <c r="E316" s="10">
        <v>0.95</v>
      </c>
      <c r="F316" s="11">
        <f>VLOOKUP(B316,Transcriptome!B:L,11,FALSE)</f>
        <v>5.2742616033756105E-4</v>
      </c>
      <c r="G316" s="10">
        <f t="shared" si="20"/>
        <v>5.0105485232068302E-4</v>
      </c>
      <c r="H316">
        <f t="shared" si="21"/>
        <v>0.85150316455697839</v>
      </c>
      <c r="I316" s="10">
        <f t="shared" si="22"/>
        <v>5.8843569017312199E-4</v>
      </c>
      <c r="J316">
        <f t="shared" si="23"/>
        <v>6.3144019608532415E-3</v>
      </c>
      <c r="K316" s="10">
        <f t="shared" si="24"/>
        <v>8.2281845337371173</v>
      </c>
    </row>
    <row r="317" spans="1:11" ht="15">
      <c r="A317" t="s">
        <v>535</v>
      </c>
      <c r="B317" s="1" t="s">
        <v>399</v>
      </c>
      <c r="C317" s="8" t="s">
        <v>878</v>
      </c>
      <c r="D317" s="10" t="s">
        <v>878</v>
      </c>
      <c r="E317" s="10">
        <v>0.95</v>
      </c>
      <c r="F317" s="11">
        <f>VLOOKUP(B317,Transcriptome!B:L,11,FALSE)</f>
        <v>5.2742616033756105E-4</v>
      </c>
      <c r="G317" s="10">
        <f t="shared" si="20"/>
        <v>5.0105485232068302E-4</v>
      </c>
      <c r="H317">
        <f t="shared" si="21"/>
        <v>0.85150316455697839</v>
      </c>
      <c r="I317" s="10">
        <f t="shared" si="22"/>
        <v>5.8843569017312199E-4</v>
      </c>
      <c r="J317">
        <f t="shared" si="23"/>
        <v>6.3144019608532415E-3</v>
      </c>
      <c r="K317" s="10">
        <f t="shared" si="24"/>
        <v>8.2281845337371173</v>
      </c>
    </row>
    <row r="318" spans="1:11" ht="15">
      <c r="A318" t="s">
        <v>540</v>
      </c>
      <c r="B318" s="1" t="s">
        <v>282</v>
      </c>
      <c r="C318" s="8" t="s">
        <v>687</v>
      </c>
      <c r="D318" s="10" t="s">
        <v>687</v>
      </c>
      <c r="E318" s="10">
        <v>0.95</v>
      </c>
      <c r="F318" s="11">
        <f>VLOOKUP(B318,Transcriptome!B:L,11,FALSE)</f>
        <v>5.0105485232068295E-3</v>
      </c>
      <c r="G318" s="10">
        <f t="shared" si="20"/>
        <v>4.7600210970464877E-3</v>
      </c>
      <c r="H318">
        <f t="shared" si="21"/>
        <v>0.85150316455697839</v>
      </c>
      <c r="I318" s="10">
        <f t="shared" si="22"/>
        <v>5.5901390566446578E-3</v>
      </c>
      <c r="J318">
        <f t="shared" si="23"/>
        <v>4.1830452182054029E-2</v>
      </c>
      <c r="K318" s="10">
        <f t="shared" si="24"/>
        <v>8.2281845337371173</v>
      </c>
    </row>
    <row r="319" spans="1:11" ht="15">
      <c r="A319" t="s">
        <v>540</v>
      </c>
      <c r="B319" s="1" t="s">
        <v>283</v>
      </c>
      <c r="C319" s="8" t="s">
        <v>879</v>
      </c>
      <c r="D319" s="10" t="s">
        <v>879</v>
      </c>
      <c r="E319" s="10">
        <v>0.95</v>
      </c>
      <c r="F319" s="11">
        <f>VLOOKUP(B319,Transcriptome!B:L,11,FALSE)</f>
        <v>5.2742616033756105E-4</v>
      </c>
      <c r="G319" s="10">
        <f t="shared" si="20"/>
        <v>5.0105485232068302E-4</v>
      </c>
      <c r="H319">
        <f t="shared" si="21"/>
        <v>0.85150316455697839</v>
      </c>
      <c r="I319" s="10">
        <f t="shared" si="22"/>
        <v>5.8843569017312199E-4</v>
      </c>
      <c r="J319">
        <f t="shared" si="23"/>
        <v>6.3144019608532415E-3</v>
      </c>
      <c r="K319" s="10">
        <f t="shared" si="24"/>
        <v>8.2281845337371173</v>
      </c>
    </row>
    <row r="320" spans="1:11" ht="15">
      <c r="A320" t="s">
        <v>540</v>
      </c>
      <c r="B320" s="1" t="s">
        <v>284</v>
      </c>
      <c r="C320" s="8" t="s">
        <v>880</v>
      </c>
      <c r="D320" s="10" t="s">
        <v>880</v>
      </c>
      <c r="E320" s="10">
        <v>0.95</v>
      </c>
      <c r="F320" s="11">
        <f>VLOOKUP(B320,Transcriptome!B:L,11,FALSE)</f>
        <v>5.2742616033756105E-4</v>
      </c>
      <c r="G320" s="10">
        <f t="shared" si="20"/>
        <v>5.0105485232068302E-4</v>
      </c>
      <c r="H320">
        <f t="shared" si="21"/>
        <v>0.85150316455697839</v>
      </c>
      <c r="I320" s="10">
        <f t="shared" si="22"/>
        <v>5.8843569017312199E-4</v>
      </c>
      <c r="J320">
        <f t="shared" si="23"/>
        <v>6.3144019608532415E-3</v>
      </c>
      <c r="K320" s="10">
        <f t="shared" si="24"/>
        <v>8.2281845337371173</v>
      </c>
    </row>
    <row r="321" spans="1:11" ht="15">
      <c r="A321" t="s">
        <v>536</v>
      </c>
      <c r="B321" s="1" t="s">
        <v>476</v>
      </c>
      <c r="C321" s="8" t="s">
        <v>688</v>
      </c>
      <c r="D321" s="10" t="s">
        <v>688</v>
      </c>
      <c r="E321" s="10">
        <v>0.95</v>
      </c>
      <c r="F321" s="11">
        <f>VLOOKUP(B321,Transcriptome!B:L,11,FALSE)</f>
        <v>5.0105485232068295E-3</v>
      </c>
      <c r="G321" s="10">
        <f t="shared" si="20"/>
        <v>4.7600210970464877E-3</v>
      </c>
      <c r="H321">
        <f t="shared" si="21"/>
        <v>0.85150316455697839</v>
      </c>
      <c r="I321" s="10">
        <f t="shared" si="22"/>
        <v>5.5901390566446578E-3</v>
      </c>
      <c r="J321">
        <f t="shared" si="23"/>
        <v>4.1830452182054029E-2</v>
      </c>
      <c r="K321" s="10">
        <f t="shared" si="24"/>
        <v>8.2281845337371173</v>
      </c>
    </row>
    <row r="322" spans="1:11" ht="15">
      <c r="A322" t="s">
        <v>535</v>
      </c>
      <c r="B322" s="1" t="s">
        <v>403</v>
      </c>
      <c r="C322" s="8" t="s">
        <v>881</v>
      </c>
      <c r="D322" s="10" t="s">
        <v>881</v>
      </c>
      <c r="E322" s="10">
        <v>0.95</v>
      </c>
      <c r="F322" s="11">
        <f>VLOOKUP(B322,Transcriptome!B:L,11,FALSE)</f>
        <v>5.2742616033756105E-4</v>
      </c>
      <c r="G322" s="10">
        <f t="shared" ref="G322:G385" si="25">E322*F322</f>
        <v>5.0105485232068302E-4</v>
      </c>
      <c r="H322">
        <f t="shared" ref="H322:H385" si="26">SUM($G$2:$G$522)</f>
        <v>0.85150316455697839</v>
      </c>
      <c r="I322" s="10">
        <f t="shared" ref="I322:I385" si="27">G322/H322</f>
        <v>5.8843569017312199E-4</v>
      </c>
      <c r="J322">
        <f t="shared" ref="J322:J385" si="28">-I322*LOG(I322,2)</f>
        <v>6.3144019608532415E-3</v>
      </c>
      <c r="K322" s="10">
        <f t="shared" ref="K322:K385" si="29">SUM($J$2:$J$522)</f>
        <v>8.2281845337371173</v>
      </c>
    </row>
    <row r="323" spans="1:11" ht="15">
      <c r="A323" t="s">
        <v>535</v>
      </c>
      <c r="B323" s="1" t="s">
        <v>404</v>
      </c>
      <c r="C323" s="8" t="s">
        <v>882</v>
      </c>
      <c r="D323" s="10" t="s">
        <v>882</v>
      </c>
      <c r="E323" s="10">
        <v>0.95</v>
      </c>
      <c r="F323" s="11">
        <f>VLOOKUP(B323,Transcriptome!B:L,11,FALSE)</f>
        <v>5.2742616033756105E-4</v>
      </c>
      <c r="G323" s="10">
        <f t="shared" si="25"/>
        <v>5.0105485232068302E-4</v>
      </c>
      <c r="H323">
        <f t="shared" si="26"/>
        <v>0.85150316455697839</v>
      </c>
      <c r="I323" s="10">
        <f t="shared" si="27"/>
        <v>5.8843569017312199E-4</v>
      </c>
      <c r="J323">
        <f t="shared" si="28"/>
        <v>6.3144019608532415E-3</v>
      </c>
      <c r="K323" s="10">
        <f t="shared" si="29"/>
        <v>8.2281845337371173</v>
      </c>
    </row>
    <row r="324" spans="1:11" ht="15">
      <c r="A324" t="s">
        <v>539</v>
      </c>
      <c r="B324" s="1" t="s">
        <v>315</v>
      </c>
      <c r="C324" s="8" t="s">
        <v>883</v>
      </c>
      <c r="D324" s="10" t="s">
        <v>883</v>
      </c>
      <c r="E324" s="10">
        <v>0.95</v>
      </c>
      <c r="F324" s="11">
        <f>VLOOKUP(B324,Transcriptome!B:L,11,FALSE)</f>
        <v>5.2742616033756105E-4</v>
      </c>
      <c r="G324" s="10">
        <f t="shared" si="25"/>
        <v>5.0105485232068302E-4</v>
      </c>
      <c r="H324">
        <f t="shared" si="26"/>
        <v>0.85150316455697839</v>
      </c>
      <c r="I324" s="10">
        <f t="shared" si="27"/>
        <v>5.8843569017312199E-4</v>
      </c>
      <c r="J324">
        <f t="shared" si="28"/>
        <v>6.3144019608532415E-3</v>
      </c>
      <c r="K324" s="10">
        <f t="shared" si="29"/>
        <v>8.2281845337371173</v>
      </c>
    </row>
    <row r="325" spans="1:11" ht="15">
      <c r="A325" t="s">
        <v>539</v>
      </c>
      <c r="B325" s="1" t="s">
        <v>316</v>
      </c>
      <c r="C325" s="8" t="s">
        <v>884</v>
      </c>
      <c r="D325" s="10" t="s">
        <v>884</v>
      </c>
      <c r="E325" s="10">
        <v>0.95</v>
      </c>
      <c r="F325" s="11">
        <f>VLOOKUP(B325,Transcriptome!B:L,11,FALSE)</f>
        <v>5.2742616033756105E-4</v>
      </c>
      <c r="G325" s="10">
        <f t="shared" si="25"/>
        <v>5.0105485232068302E-4</v>
      </c>
      <c r="H325">
        <f t="shared" si="26"/>
        <v>0.85150316455697839</v>
      </c>
      <c r="I325" s="10">
        <f t="shared" si="27"/>
        <v>5.8843569017312199E-4</v>
      </c>
      <c r="J325">
        <f t="shared" si="28"/>
        <v>6.3144019608532415E-3</v>
      </c>
      <c r="K325" s="10">
        <f t="shared" si="29"/>
        <v>8.2281845337371173</v>
      </c>
    </row>
    <row r="326" spans="1:11" ht="15">
      <c r="A326" t="s">
        <v>535</v>
      </c>
      <c r="B326" s="1" t="s">
        <v>405</v>
      </c>
      <c r="C326" s="8" t="s">
        <v>885</v>
      </c>
      <c r="D326" s="10" t="s">
        <v>885</v>
      </c>
      <c r="E326" s="10">
        <v>0.95</v>
      </c>
      <c r="F326" s="11">
        <f>VLOOKUP(B326,Transcriptome!B:L,11,FALSE)</f>
        <v>5.2742616033756105E-4</v>
      </c>
      <c r="G326" s="10">
        <f t="shared" si="25"/>
        <v>5.0105485232068302E-4</v>
      </c>
      <c r="H326">
        <f t="shared" si="26"/>
        <v>0.85150316455697839</v>
      </c>
      <c r="I326" s="10">
        <f t="shared" si="27"/>
        <v>5.8843569017312199E-4</v>
      </c>
      <c r="J326">
        <f t="shared" si="28"/>
        <v>6.3144019608532415E-3</v>
      </c>
      <c r="K326" s="10">
        <f t="shared" si="29"/>
        <v>8.2281845337371173</v>
      </c>
    </row>
    <row r="327" spans="1:11" ht="15">
      <c r="A327" t="s">
        <v>536</v>
      </c>
      <c r="B327" s="1" t="s">
        <v>478</v>
      </c>
      <c r="C327" s="8" t="s">
        <v>689</v>
      </c>
      <c r="D327" s="10" t="s">
        <v>689</v>
      </c>
      <c r="E327" s="10">
        <v>0.95</v>
      </c>
      <c r="F327" s="11">
        <f>VLOOKUP(B327,Transcriptome!B:L,11,FALSE)</f>
        <v>5.0105485232068295E-3</v>
      </c>
      <c r="G327" s="10">
        <f t="shared" si="25"/>
        <v>4.7600210970464877E-3</v>
      </c>
      <c r="H327">
        <f t="shared" si="26"/>
        <v>0.85150316455697839</v>
      </c>
      <c r="I327" s="10">
        <f t="shared" si="27"/>
        <v>5.5901390566446578E-3</v>
      </c>
      <c r="J327">
        <f t="shared" si="28"/>
        <v>4.1830452182054029E-2</v>
      </c>
      <c r="K327" s="10">
        <f t="shared" si="29"/>
        <v>8.2281845337371173</v>
      </c>
    </row>
    <row r="328" spans="1:11" ht="15">
      <c r="A328" t="s">
        <v>536</v>
      </c>
      <c r="B328" s="1" t="s">
        <v>479</v>
      </c>
      <c r="C328" s="8" t="s">
        <v>690</v>
      </c>
      <c r="D328" s="10" t="s">
        <v>690</v>
      </c>
      <c r="E328" s="10">
        <v>0.95</v>
      </c>
      <c r="F328" s="11">
        <f>VLOOKUP(B328,Transcriptome!B:L,11,FALSE)</f>
        <v>5.0105485232068295E-3</v>
      </c>
      <c r="G328" s="10">
        <f t="shared" si="25"/>
        <v>4.7600210970464877E-3</v>
      </c>
      <c r="H328">
        <f t="shared" si="26"/>
        <v>0.85150316455697839</v>
      </c>
      <c r="I328" s="10">
        <f t="shared" si="27"/>
        <v>5.5901390566446578E-3</v>
      </c>
      <c r="J328">
        <f t="shared" si="28"/>
        <v>4.1830452182054029E-2</v>
      </c>
      <c r="K328" s="10">
        <f t="shared" si="29"/>
        <v>8.2281845337371173</v>
      </c>
    </row>
    <row r="329" spans="1:11" ht="15">
      <c r="A329" t="s">
        <v>540</v>
      </c>
      <c r="B329" s="1" t="s">
        <v>285</v>
      </c>
      <c r="C329" s="8" t="s">
        <v>886</v>
      </c>
      <c r="D329" s="10" t="s">
        <v>886</v>
      </c>
      <c r="E329" s="10">
        <v>0.95</v>
      </c>
      <c r="F329" s="11">
        <f>VLOOKUP(B329,Transcriptome!B:L,11,FALSE)</f>
        <v>5.2742616033756105E-4</v>
      </c>
      <c r="G329" s="10">
        <f t="shared" si="25"/>
        <v>5.0105485232068302E-4</v>
      </c>
      <c r="H329">
        <f t="shared" si="26"/>
        <v>0.85150316455697839</v>
      </c>
      <c r="I329" s="10">
        <f t="shared" si="27"/>
        <v>5.8843569017312199E-4</v>
      </c>
      <c r="J329">
        <f t="shared" si="28"/>
        <v>6.3144019608532415E-3</v>
      </c>
      <c r="K329" s="10">
        <f t="shared" si="29"/>
        <v>8.2281845337371173</v>
      </c>
    </row>
    <row r="330" spans="1:11" ht="15">
      <c r="A330" t="s">
        <v>534</v>
      </c>
      <c r="B330" s="1" t="s">
        <v>129</v>
      </c>
      <c r="C330" s="8" t="s">
        <v>908</v>
      </c>
      <c r="D330" s="10" t="s">
        <v>908</v>
      </c>
      <c r="E330" s="10">
        <v>0.95</v>
      </c>
      <c r="F330" s="11">
        <f>VLOOKUP(B330,Transcriptome!B:L,11,FALSE)</f>
        <v>5.2742616033756105E-4</v>
      </c>
      <c r="G330" s="10">
        <f t="shared" si="25"/>
        <v>5.0105485232068302E-4</v>
      </c>
      <c r="H330">
        <f t="shared" si="26"/>
        <v>0.85150316455697839</v>
      </c>
      <c r="I330" s="10">
        <f t="shared" si="27"/>
        <v>5.8843569017312199E-4</v>
      </c>
      <c r="J330">
        <f t="shared" si="28"/>
        <v>6.3144019608532415E-3</v>
      </c>
      <c r="K330" s="10">
        <f t="shared" si="29"/>
        <v>8.2281845337371173</v>
      </c>
    </row>
    <row r="331" spans="1:11" ht="15">
      <c r="A331" t="s">
        <v>534</v>
      </c>
      <c r="B331" s="1" t="s">
        <v>130</v>
      </c>
      <c r="C331" s="8" t="s">
        <v>557</v>
      </c>
      <c r="D331" s="10" t="s">
        <v>557</v>
      </c>
      <c r="E331" s="10">
        <v>0.95</v>
      </c>
      <c r="F331" s="11">
        <f>VLOOKUP(B331,Transcriptome!B:L,11,FALSE)</f>
        <v>5.0105485232068295E-3</v>
      </c>
      <c r="G331" s="10">
        <f t="shared" si="25"/>
        <v>4.7600210970464877E-3</v>
      </c>
      <c r="H331">
        <f t="shared" si="26"/>
        <v>0.85150316455697839</v>
      </c>
      <c r="I331" s="10">
        <f t="shared" si="27"/>
        <v>5.5901390566446578E-3</v>
      </c>
      <c r="J331">
        <f t="shared" si="28"/>
        <v>4.1830452182054029E-2</v>
      </c>
      <c r="K331" s="10">
        <f t="shared" si="29"/>
        <v>8.2281845337371173</v>
      </c>
    </row>
    <row r="332" spans="1:11" ht="15">
      <c r="A332" t="s">
        <v>542</v>
      </c>
      <c r="B332" s="1" t="s">
        <v>502</v>
      </c>
      <c r="C332" s="8" t="s">
        <v>609</v>
      </c>
      <c r="D332" s="10" t="s">
        <v>609</v>
      </c>
      <c r="E332" s="10">
        <v>0.95</v>
      </c>
      <c r="F332" s="11">
        <f>VLOOKUP(B332,Transcriptome!B:L,11,FALSE)</f>
        <v>5.2742616033756105E-4</v>
      </c>
      <c r="G332" s="10">
        <f t="shared" si="25"/>
        <v>5.0105485232068302E-4</v>
      </c>
      <c r="H332">
        <f t="shared" si="26"/>
        <v>0.85150316455697839</v>
      </c>
      <c r="I332" s="10">
        <f t="shared" si="27"/>
        <v>5.8843569017312199E-4</v>
      </c>
      <c r="J332">
        <f t="shared" si="28"/>
        <v>6.3144019608532415E-3</v>
      </c>
      <c r="K332" s="10">
        <f t="shared" si="29"/>
        <v>8.2281845337371173</v>
      </c>
    </row>
    <row r="333" spans="1:11" ht="15">
      <c r="A333" t="s">
        <v>542</v>
      </c>
      <c r="B333" s="1" t="s">
        <v>503</v>
      </c>
      <c r="C333" s="8" t="s">
        <v>564</v>
      </c>
      <c r="D333" s="10" t="s">
        <v>564</v>
      </c>
      <c r="E333" s="10">
        <v>0.95</v>
      </c>
      <c r="F333" s="11">
        <f>VLOOKUP(B333,Transcriptome!B:L,11,FALSE)</f>
        <v>5.0105485232068295E-3</v>
      </c>
      <c r="G333" s="10">
        <f t="shared" si="25"/>
        <v>4.7600210970464877E-3</v>
      </c>
      <c r="H333">
        <f t="shared" si="26"/>
        <v>0.85150316455697839</v>
      </c>
      <c r="I333" s="10">
        <f t="shared" si="27"/>
        <v>5.5901390566446578E-3</v>
      </c>
      <c r="J333">
        <f t="shared" si="28"/>
        <v>4.1830452182054029E-2</v>
      </c>
      <c r="K333" s="10">
        <f t="shared" si="29"/>
        <v>8.2281845337371173</v>
      </c>
    </row>
    <row r="334" spans="1:11" ht="15">
      <c r="A334" t="s">
        <v>534</v>
      </c>
      <c r="B334" s="1" t="s">
        <v>135</v>
      </c>
      <c r="C334" s="8" t="s">
        <v>599</v>
      </c>
      <c r="D334" s="10" t="s">
        <v>599</v>
      </c>
      <c r="E334" s="10">
        <v>0.95</v>
      </c>
      <c r="F334" s="11">
        <f>VLOOKUP(B334,Transcriptome!B:L,11,FALSE)</f>
        <v>5.2742616033756105E-4</v>
      </c>
      <c r="G334" s="10">
        <f t="shared" si="25"/>
        <v>5.0105485232068302E-4</v>
      </c>
      <c r="H334">
        <f t="shared" si="26"/>
        <v>0.85150316455697839</v>
      </c>
      <c r="I334" s="10">
        <f t="shared" si="27"/>
        <v>5.8843569017312199E-4</v>
      </c>
      <c r="J334">
        <f t="shared" si="28"/>
        <v>6.3144019608532415E-3</v>
      </c>
      <c r="K334" s="10">
        <f t="shared" si="29"/>
        <v>8.2281845337371173</v>
      </c>
    </row>
    <row r="335" spans="1:11" ht="15">
      <c r="A335" t="s">
        <v>538</v>
      </c>
      <c r="B335" s="1" t="s">
        <v>146</v>
      </c>
      <c r="C335" s="8" t="s">
        <v>887</v>
      </c>
      <c r="D335" s="10" t="s">
        <v>887</v>
      </c>
      <c r="E335" s="10">
        <v>0.95</v>
      </c>
      <c r="F335" s="11">
        <f>VLOOKUP(B335,Transcriptome!B:L,11,FALSE)</f>
        <v>5.2742616033756105E-4</v>
      </c>
      <c r="G335" s="10">
        <f t="shared" si="25"/>
        <v>5.0105485232068302E-4</v>
      </c>
      <c r="H335">
        <f t="shared" si="26"/>
        <v>0.85150316455697839</v>
      </c>
      <c r="I335" s="10">
        <f t="shared" si="27"/>
        <v>5.8843569017312199E-4</v>
      </c>
      <c r="J335">
        <f t="shared" si="28"/>
        <v>6.3144019608532415E-3</v>
      </c>
      <c r="K335" s="10">
        <f t="shared" si="29"/>
        <v>8.2281845337371173</v>
      </c>
    </row>
    <row r="336" spans="1:11" ht="15">
      <c r="A336" t="s">
        <v>534</v>
      </c>
      <c r="B336" s="1" t="s">
        <v>136</v>
      </c>
      <c r="C336" s="8" t="s">
        <v>600</v>
      </c>
      <c r="D336" s="10" t="s">
        <v>600</v>
      </c>
      <c r="E336" s="10">
        <v>0.95</v>
      </c>
      <c r="F336" s="11">
        <f>VLOOKUP(B336,Transcriptome!B:L,11,FALSE)</f>
        <v>5.2742616033756105E-4</v>
      </c>
      <c r="G336" s="10">
        <f t="shared" si="25"/>
        <v>5.0105485232068302E-4</v>
      </c>
      <c r="H336">
        <f t="shared" si="26"/>
        <v>0.85150316455697839</v>
      </c>
      <c r="I336" s="10">
        <f t="shared" si="27"/>
        <v>5.8843569017312199E-4</v>
      </c>
      <c r="J336">
        <f t="shared" si="28"/>
        <v>6.3144019608532415E-3</v>
      </c>
      <c r="K336" s="10">
        <f t="shared" si="29"/>
        <v>8.2281845337371173</v>
      </c>
    </row>
    <row r="337" spans="1:11" ht="15">
      <c r="A337" t="s">
        <v>535</v>
      </c>
      <c r="B337" s="1" t="s">
        <v>409</v>
      </c>
      <c r="C337" s="8" t="s">
        <v>888</v>
      </c>
      <c r="D337" s="10" t="s">
        <v>888</v>
      </c>
      <c r="E337" s="10">
        <v>0.95</v>
      </c>
      <c r="F337" s="11">
        <f>VLOOKUP(B337,Transcriptome!B:L,11,FALSE)</f>
        <v>5.2742616033756105E-4</v>
      </c>
      <c r="G337" s="10">
        <f t="shared" si="25"/>
        <v>5.0105485232068302E-4</v>
      </c>
      <c r="H337">
        <f t="shared" si="26"/>
        <v>0.85150316455697839</v>
      </c>
      <c r="I337" s="10">
        <f t="shared" si="27"/>
        <v>5.8843569017312199E-4</v>
      </c>
      <c r="J337">
        <f t="shared" si="28"/>
        <v>6.3144019608532415E-3</v>
      </c>
      <c r="K337" s="10">
        <f t="shared" si="29"/>
        <v>8.2281845337371173</v>
      </c>
    </row>
    <row r="338" spans="1:11" ht="15">
      <c r="A338" t="s">
        <v>536</v>
      </c>
      <c r="B338" s="1" t="s">
        <v>482</v>
      </c>
      <c r="C338" s="8" t="s">
        <v>889</v>
      </c>
      <c r="D338" s="10" t="s">
        <v>889</v>
      </c>
      <c r="E338" s="10">
        <v>0.95</v>
      </c>
      <c r="F338" s="11">
        <f>VLOOKUP(B338,Transcriptome!B:L,11,FALSE)</f>
        <v>5.2742616033756105E-4</v>
      </c>
      <c r="G338" s="10">
        <f t="shared" si="25"/>
        <v>5.0105485232068302E-4</v>
      </c>
      <c r="H338">
        <f t="shared" si="26"/>
        <v>0.85150316455697839</v>
      </c>
      <c r="I338" s="10">
        <f t="shared" si="27"/>
        <v>5.8843569017312199E-4</v>
      </c>
      <c r="J338">
        <f t="shared" si="28"/>
        <v>6.3144019608532415E-3</v>
      </c>
      <c r="K338" s="10">
        <f t="shared" si="29"/>
        <v>8.2281845337371173</v>
      </c>
    </row>
    <row r="339" spans="1:11" ht="15">
      <c r="A339" t="s">
        <v>536</v>
      </c>
      <c r="B339" s="1" t="s">
        <v>483</v>
      </c>
      <c r="C339" s="8" t="s">
        <v>581</v>
      </c>
      <c r="D339" s="10" t="s">
        <v>581</v>
      </c>
      <c r="E339" s="10">
        <v>0.95</v>
      </c>
      <c r="F339" s="11">
        <f>VLOOKUP(B339,Transcriptome!B:L,11,FALSE)</f>
        <v>3.6919831223629265E-3</v>
      </c>
      <c r="G339" s="10">
        <f t="shared" si="25"/>
        <v>3.5073839662447801E-3</v>
      </c>
      <c r="H339">
        <f t="shared" si="26"/>
        <v>0.85150316455697839</v>
      </c>
      <c r="I339" s="10">
        <f t="shared" si="27"/>
        <v>4.1190498312118524E-3</v>
      </c>
      <c r="J339">
        <f t="shared" si="28"/>
        <v>3.2637178908119534E-2</v>
      </c>
      <c r="K339" s="10">
        <f t="shared" si="29"/>
        <v>8.2281845337371173</v>
      </c>
    </row>
    <row r="340" spans="1:11" ht="15">
      <c r="A340" t="s">
        <v>536</v>
      </c>
      <c r="B340" s="1" t="s">
        <v>484</v>
      </c>
      <c r="C340" s="8" t="s">
        <v>890</v>
      </c>
      <c r="D340" s="10" t="s">
        <v>890</v>
      </c>
      <c r="E340" s="10">
        <v>0.95</v>
      </c>
      <c r="F340" s="11">
        <f>VLOOKUP(B340,Transcriptome!B:L,11,FALSE)</f>
        <v>5.2742616033756105E-4</v>
      </c>
      <c r="G340" s="10">
        <f t="shared" si="25"/>
        <v>5.0105485232068302E-4</v>
      </c>
      <c r="H340">
        <f t="shared" si="26"/>
        <v>0.85150316455697839</v>
      </c>
      <c r="I340" s="10">
        <f t="shared" si="27"/>
        <v>5.8843569017312199E-4</v>
      </c>
      <c r="J340">
        <f t="shared" si="28"/>
        <v>6.3144019608532415E-3</v>
      </c>
      <c r="K340" s="10">
        <f t="shared" si="29"/>
        <v>8.2281845337371173</v>
      </c>
    </row>
    <row r="341" spans="1:11" ht="15">
      <c r="A341" t="s">
        <v>538</v>
      </c>
      <c r="B341" s="1" t="s">
        <v>147</v>
      </c>
      <c r="C341" s="8" t="s">
        <v>691</v>
      </c>
      <c r="D341" s="10" t="s">
        <v>691</v>
      </c>
      <c r="E341" s="10">
        <v>0.95</v>
      </c>
      <c r="F341" s="11">
        <f>VLOOKUP(B341,Transcriptome!B:L,11,FALSE)</f>
        <v>5.0105485232068295E-3</v>
      </c>
      <c r="G341" s="10">
        <f t="shared" si="25"/>
        <v>4.7600210970464877E-3</v>
      </c>
      <c r="H341">
        <f t="shared" si="26"/>
        <v>0.85150316455697839</v>
      </c>
      <c r="I341" s="10">
        <f t="shared" si="27"/>
        <v>5.5901390566446578E-3</v>
      </c>
      <c r="J341">
        <f t="shared" si="28"/>
        <v>4.1830452182054029E-2</v>
      </c>
      <c r="K341" s="10">
        <f t="shared" si="29"/>
        <v>8.2281845337371173</v>
      </c>
    </row>
    <row r="342" spans="1:11" ht="15">
      <c r="A342" t="s">
        <v>538</v>
      </c>
      <c r="B342" s="1" t="s">
        <v>148</v>
      </c>
      <c r="C342" s="8" t="s">
        <v>891</v>
      </c>
      <c r="D342" s="10" t="s">
        <v>891</v>
      </c>
      <c r="E342" s="10">
        <v>0.95</v>
      </c>
      <c r="F342" s="11">
        <f>VLOOKUP(B342,Transcriptome!B:L,11,FALSE)</f>
        <v>5.2742616033756105E-4</v>
      </c>
      <c r="G342" s="10">
        <f t="shared" si="25"/>
        <v>5.0105485232068302E-4</v>
      </c>
      <c r="H342">
        <f t="shared" si="26"/>
        <v>0.85150316455697839</v>
      </c>
      <c r="I342" s="10">
        <f t="shared" si="27"/>
        <v>5.8843569017312199E-4</v>
      </c>
      <c r="J342">
        <f t="shared" si="28"/>
        <v>6.3144019608532415E-3</v>
      </c>
      <c r="K342" s="10">
        <f t="shared" si="29"/>
        <v>8.2281845337371173</v>
      </c>
    </row>
    <row r="343" spans="1:11" ht="15">
      <c r="A343" t="s">
        <v>538</v>
      </c>
      <c r="B343" s="1" t="s">
        <v>149</v>
      </c>
      <c r="C343" s="8" t="s">
        <v>692</v>
      </c>
      <c r="D343" s="10" t="s">
        <v>692</v>
      </c>
      <c r="E343" s="10">
        <v>0.95</v>
      </c>
      <c r="F343" s="11">
        <f>VLOOKUP(B343,Transcriptome!B:L,11,FALSE)</f>
        <v>5.0105485232068295E-3</v>
      </c>
      <c r="G343" s="10">
        <f t="shared" si="25"/>
        <v>4.7600210970464877E-3</v>
      </c>
      <c r="H343">
        <f t="shared" si="26"/>
        <v>0.85150316455697839</v>
      </c>
      <c r="I343" s="10">
        <f t="shared" si="27"/>
        <v>5.5901390566446578E-3</v>
      </c>
      <c r="J343">
        <f t="shared" si="28"/>
        <v>4.1830452182054029E-2</v>
      </c>
      <c r="K343" s="10">
        <f t="shared" si="29"/>
        <v>8.2281845337371173</v>
      </c>
    </row>
    <row r="344" spans="1:11" ht="15">
      <c r="A344" t="s">
        <v>536</v>
      </c>
      <c r="B344" s="1" t="s">
        <v>488</v>
      </c>
      <c r="C344" s="8" t="s">
        <v>892</v>
      </c>
      <c r="D344" s="10" t="s">
        <v>892</v>
      </c>
      <c r="E344" s="10">
        <v>0.95</v>
      </c>
      <c r="F344" s="11">
        <f>VLOOKUP(B344,Transcriptome!B:L,11,FALSE)</f>
        <v>5.2742616033756105E-4</v>
      </c>
      <c r="G344" s="10">
        <f t="shared" si="25"/>
        <v>5.0105485232068302E-4</v>
      </c>
      <c r="H344">
        <f t="shared" si="26"/>
        <v>0.85150316455697839</v>
      </c>
      <c r="I344" s="10">
        <f t="shared" si="27"/>
        <v>5.8843569017312199E-4</v>
      </c>
      <c r="J344">
        <f t="shared" si="28"/>
        <v>6.3144019608532415E-3</v>
      </c>
      <c r="K344" s="10">
        <f t="shared" si="29"/>
        <v>8.2281845337371173</v>
      </c>
    </row>
    <row r="345" spans="1:11" ht="15">
      <c r="A345" t="s">
        <v>536</v>
      </c>
      <c r="B345" s="1" t="s">
        <v>489</v>
      </c>
      <c r="C345" s="8" t="s">
        <v>546</v>
      </c>
      <c r="D345" s="10" t="s">
        <v>546</v>
      </c>
      <c r="E345" s="10">
        <v>0.95</v>
      </c>
      <c r="F345" s="11">
        <f>VLOOKUP(B345,Transcriptome!B:L,11,FALSE)</f>
        <v>5.0105485232068295E-3</v>
      </c>
      <c r="G345" s="10">
        <f t="shared" si="25"/>
        <v>4.7600210970464877E-3</v>
      </c>
      <c r="H345">
        <f t="shared" si="26"/>
        <v>0.85150316455697839</v>
      </c>
      <c r="I345" s="10">
        <f t="shared" si="27"/>
        <v>5.5901390566446578E-3</v>
      </c>
      <c r="J345">
        <f t="shared" si="28"/>
        <v>4.1830452182054029E-2</v>
      </c>
      <c r="K345" s="10">
        <f t="shared" si="29"/>
        <v>8.2281845337371173</v>
      </c>
    </row>
    <row r="346" spans="1:11" ht="15">
      <c r="A346" t="s">
        <v>536</v>
      </c>
      <c r="B346" s="1" t="s">
        <v>490</v>
      </c>
      <c r="C346" s="8" t="s">
        <v>893</v>
      </c>
      <c r="D346" s="10" t="s">
        <v>893</v>
      </c>
      <c r="E346" s="10">
        <v>0.95</v>
      </c>
      <c r="F346" s="11">
        <f>VLOOKUP(B346,Transcriptome!B:L,11,FALSE)</f>
        <v>5.2742616033756105E-4</v>
      </c>
      <c r="G346" s="10">
        <f t="shared" si="25"/>
        <v>5.0105485232068302E-4</v>
      </c>
      <c r="H346">
        <f t="shared" si="26"/>
        <v>0.85150316455697839</v>
      </c>
      <c r="I346" s="10">
        <f t="shared" si="27"/>
        <v>5.8843569017312199E-4</v>
      </c>
      <c r="J346">
        <f t="shared" si="28"/>
        <v>6.3144019608532415E-3</v>
      </c>
      <c r="K346" s="10">
        <f t="shared" si="29"/>
        <v>8.2281845337371173</v>
      </c>
    </row>
    <row r="347" spans="1:11" ht="15">
      <c r="A347" t="s">
        <v>536</v>
      </c>
      <c r="B347" s="1" t="s">
        <v>491</v>
      </c>
      <c r="C347" s="8" t="s">
        <v>909</v>
      </c>
      <c r="D347" s="10" t="s">
        <v>909</v>
      </c>
      <c r="E347" s="10">
        <v>0.95</v>
      </c>
      <c r="F347" s="11">
        <f>VLOOKUP(B347,Transcriptome!B:L,11,FALSE)</f>
        <v>5.2742616033756105E-4</v>
      </c>
      <c r="G347" s="10">
        <f t="shared" si="25"/>
        <v>5.0105485232068302E-4</v>
      </c>
      <c r="H347">
        <f t="shared" si="26"/>
        <v>0.85150316455697839</v>
      </c>
      <c r="I347" s="10">
        <f t="shared" si="27"/>
        <v>5.8843569017312199E-4</v>
      </c>
      <c r="J347">
        <f t="shared" si="28"/>
        <v>6.3144019608532415E-3</v>
      </c>
      <c r="K347" s="10">
        <f t="shared" si="29"/>
        <v>8.2281845337371173</v>
      </c>
    </row>
    <row r="348" spans="1:11" ht="15">
      <c r="A348" t="s">
        <v>536</v>
      </c>
      <c r="B348" s="1" t="s">
        <v>492</v>
      </c>
      <c r="C348" s="8" t="s">
        <v>577</v>
      </c>
      <c r="D348" s="10" t="s">
        <v>577</v>
      </c>
      <c r="E348" s="10">
        <v>0.95</v>
      </c>
      <c r="F348" s="11">
        <f>VLOOKUP(B348,Transcriptome!B:L,11,FALSE)</f>
        <v>3.6919831223629265E-3</v>
      </c>
      <c r="G348" s="10">
        <f t="shared" si="25"/>
        <v>3.5073839662447801E-3</v>
      </c>
      <c r="H348">
        <f t="shared" si="26"/>
        <v>0.85150316455697839</v>
      </c>
      <c r="I348" s="10">
        <f t="shared" si="27"/>
        <v>4.1190498312118524E-3</v>
      </c>
      <c r="J348">
        <f t="shared" si="28"/>
        <v>3.2637178908119534E-2</v>
      </c>
      <c r="K348" s="10">
        <f t="shared" si="29"/>
        <v>8.2281845337371173</v>
      </c>
    </row>
    <row r="349" spans="1:11" ht="15">
      <c r="A349" t="s">
        <v>535</v>
      </c>
      <c r="B349" s="1" t="s">
        <v>411</v>
      </c>
      <c r="C349" s="8" t="s">
        <v>894</v>
      </c>
      <c r="D349" s="10" t="s">
        <v>894</v>
      </c>
      <c r="E349" s="10">
        <v>0.95</v>
      </c>
      <c r="F349" s="11">
        <f>VLOOKUP(B349,Transcriptome!B:L,11,FALSE)</f>
        <v>5.2742616033756105E-4</v>
      </c>
      <c r="G349" s="10">
        <f t="shared" si="25"/>
        <v>5.0105485232068302E-4</v>
      </c>
      <c r="H349">
        <f t="shared" si="26"/>
        <v>0.85150316455697839</v>
      </c>
      <c r="I349" s="10">
        <f t="shared" si="27"/>
        <v>5.8843569017312199E-4</v>
      </c>
      <c r="J349">
        <f t="shared" si="28"/>
        <v>6.3144019608532415E-3</v>
      </c>
      <c r="K349" s="10">
        <f t="shared" si="29"/>
        <v>8.2281845337371173</v>
      </c>
    </row>
    <row r="350" spans="1:11" ht="15">
      <c r="A350" t="s">
        <v>535</v>
      </c>
      <c r="B350" s="1" t="s">
        <v>320</v>
      </c>
      <c r="C350" s="8" t="e">
        <v>#N/A</v>
      </c>
      <c r="D350" s="10" t="e">
        <v>#N/A</v>
      </c>
      <c r="E350" s="10">
        <v>0.5</v>
      </c>
      <c r="F350" s="11">
        <f>VLOOKUP(B350,Transcriptome!B:L,11,FALSE)</f>
        <v>5.2742616033756105E-4</v>
      </c>
      <c r="G350" s="10">
        <f t="shared" si="25"/>
        <v>2.6371308016878052E-4</v>
      </c>
      <c r="H350">
        <f t="shared" si="26"/>
        <v>0.85150316455697839</v>
      </c>
      <c r="I350" s="10">
        <f t="shared" si="27"/>
        <v>3.0970299482795891E-4</v>
      </c>
      <c r="J350">
        <f t="shared" si="28"/>
        <v>3.6101542462164639E-3</v>
      </c>
      <c r="K350" s="10">
        <f t="shared" si="29"/>
        <v>8.2281845337371173</v>
      </c>
    </row>
    <row r="351" spans="1:11" ht="15">
      <c r="A351" t="s">
        <v>539</v>
      </c>
      <c r="B351" s="1" t="s">
        <v>286</v>
      </c>
      <c r="C351" s="8" t="e">
        <v>#N/A</v>
      </c>
      <c r="D351" s="10" t="e">
        <v>#N/A</v>
      </c>
      <c r="E351" s="10">
        <v>0.5</v>
      </c>
      <c r="F351" s="11">
        <f>VLOOKUP(B351,Transcriptome!B:L,11,FALSE)</f>
        <v>5.2742616033756105E-4</v>
      </c>
      <c r="G351" s="10">
        <f t="shared" si="25"/>
        <v>2.6371308016878052E-4</v>
      </c>
      <c r="H351">
        <f t="shared" si="26"/>
        <v>0.85150316455697839</v>
      </c>
      <c r="I351" s="10">
        <f t="shared" si="27"/>
        <v>3.0970299482795891E-4</v>
      </c>
      <c r="J351">
        <f t="shared" si="28"/>
        <v>3.6101542462164639E-3</v>
      </c>
      <c r="K351" s="10">
        <f t="shared" si="29"/>
        <v>8.2281845337371173</v>
      </c>
    </row>
    <row r="352" spans="1:11" ht="15">
      <c r="A352" t="s">
        <v>539</v>
      </c>
      <c r="B352" s="1" t="s">
        <v>287</v>
      </c>
      <c r="C352" s="8" t="e">
        <v>#N/A</v>
      </c>
      <c r="D352" s="10" t="e">
        <v>#N/A</v>
      </c>
      <c r="E352" s="10">
        <v>0.5</v>
      </c>
      <c r="F352" s="11">
        <f>VLOOKUP(B352,Transcriptome!B:L,11,FALSE)</f>
        <v>5.0105485232068295E-3</v>
      </c>
      <c r="G352" s="10">
        <f t="shared" si="25"/>
        <v>2.5052742616034148E-3</v>
      </c>
      <c r="H352">
        <f t="shared" si="26"/>
        <v>0.85150316455697839</v>
      </c>
      <c r="I352" s="10">
        <f t="shared" si="27"/>
        <v>2.9421784508656093E-3</v>
      </c>
      <c r="J352">
        <f t="shared" si="28"/>
        <v>2.4740482999029159E-2</v>
      </c>
      <c r="K352" s="10">
        <f t="shared" si="29"/>
        <v>8.2281845337371173</v>
      </c>
    </row>
    <row r="353" spans="1:11" ht="15">
      <c r="A353" t="s">
        <v>539</v>
      </c>
      <c r="B353" s="1" t="s">
        <v>288</v>
      </c>
      <c r="C353" s="8" t="e">
        <v>#N/A</v>
      </c>
      <c r="D353" s="10" t="e">
        <v>#N/A</v>
      </c>
      <c r="E353" s="10">
        <v>0.5</v>
      </c>
      <c r="F353" s="11">
        <f>VLOOKUP(B353,Transcriptome!B:L,11,FALSE)</f>
        <v>5.2742616033756105E-4</v>
      </c>
      <c r="G353" s="10">
        <f t="shared" si="25"/>
        <v>2.6371308016878052E-4</v>
      </c>
      <c r="H353">
        <f t="shared" si="26"/>
        <v>0.85150316455697839</v>
      </c>
      <c r="I353" s="10">
        <f t="shared" si="27"/>
        <v>3.0970299482795891E-4</v>
      </c>
      <c r="J353">
        <f t="shared" si="28"/>
        <v>3.6101542462164639E-3</v>
      </c>
      <c r="K353" s="10">
        <f t="shared" si="29"/>
        <v>8.2281845337371173</v>
      </c>
    </row>
    <row r="354" spans="1:11" ht="15">
      <c r="A354" t="s">
        <v>539</v>
      </c>
      <c r="B354" s="1" t="s">
        <v>290</v>
      </c>
      <c r="C354" s="8" t="e">
        <v>#N/A</v>
      </c>
      <c r="D354" s="10" t="e">
        <v>#N/A</v>
      </c>
      <c r="E354" s="10">
        <v>0.5</v>
      </c>
      <c r="F354" s="11">
        <f>VLOOKUP(B354,Transcriptome!B:L,11,FALSE)</f>
        <v>5.2742616033756105E-4</v>
      </c>
      <c r="G354" s="10">
        <f t="shared" si="25"/>
        <v>2.6371308016878052E-4</v>
      </c>
      <c r="H354">
        <f t="shared" si="26"/>
        <v>0.85150316455697839</v>
      </c>
      <c r="I354" s="10">
        <f t="shared" si="27"/>
        <v>3.0970299482795891E-4</v>
      </c>
      <c r="J354">
        <f t="shared" si="28"/>
        <v>3.6101542462164639E-3</v>
      </c>
      <c r="K354" s="10">
        <f t="shared" si="29"/>
        <v>8.2281845337371173</v>
      </c>
    </row>
    <row r="355" spans="1:11" ht="15">
      <c r="A355" t="s">
        <v>539</v>
      </c>
      <c r="B355" s="1" t="s">
        <v>291</v>
      </c>
      <c r="C355" s="8" t="e">
        <v>#N/A</v>
      </c>
      <c r="D355" s="10" t="e">
        <v>#N/A</v>
      </c>
      <c r="E355" s="10">
        <v>0.5</v>
      </c>
      <c r="F355" s="11">
        <f>VLOOKUP(B355,Transcriptome!B:L,11,FALSE)</f>
        <v>5.2742616033756105E-4</v>
      </c>
      <c r="G355" s="10">
        <f t="shared" si="25"/>
        <v>2.6371308016878052E-4</v>
      </c>
      <c r="H355">
        <f t="shared" si="26"/>
        <v>0.85150316455697839</v>
      </c>
      <c r="I355" s="10">
        <f t="shared" si="27"/>
        <v>3.0970299482795891E-4</v>
      </c>
      <c r="J355">
        <f t="shared" si="28"/>
        <v>3.6101542462164639E-3</v>
      </c>
      <c r="K355" s="10">
        <f t="shared" si="29"/>
        <v>8.2281845337371173</v>
      </c>
    </row>
    <row r="356" spans="1:11" ht="15">
      <c r="A356" t="s">
        <v>542</v>
      </c>
      <c r="B356" s="1" t="s">
        <v>494</v>
      </c>
      <c r="C356" s="8" t="e">
        <v>#N/A</v>
      </c>
      <c r="D356" s="10" t="e">
        <v>#N/A</v>
      </c>
      <c r="E356" s="10">
        <v>0.5</v>
      </c>
      <c r="F356" s="11">
        <f>VLOOKUP(B356,Transcriptome!B:L,11,FALSE)</f>
        <v>5.2742616033756105E-4</v>
      </c>
      <c r="G356" s="10">
        <f t="shared" si="25"/>
        <v>2.6371308016878052E-4</v>
      </c>
      <c r="H356">
        <f t="shared" si="26"/>
        <v>0.85150316455697839</v>
      </c>
      <c r="I356" s="10">
        <f t="shared" si="27"/>
        <v>3.0970299482795891E-4</v>
      </c>
      <c r="J356">
        <f t="shared" si="28"/>
        <v>3.6101542462164639E-3</v>
      </c>
      <c r="K356" s="10">
        <f t="shared" si="29"/>
        <v>8.2281845337371173</v>
      </c>
    </row>
    <row r="357" spans="1:11" ht="15">
      <c r="A357" t="s">
        <v>542</v>
      </c>
      <c r="B357" s="1" t="s">
        <v>495</v>
      </c>
      <c r="C357" s="8" t="e">
        <v>#N/A</v>
      </c>
      <c r="D357" s="10" t="e">
        <v>#N/A</v>
      </c>
      <c r="E357" s="10">
        <v>0.5</v>
      </c>
      <c r="F357" s="11">
        <f>VLOOKUP(B357,Transcriptome!B:L,11,FALSE)</f>
        <v>5.2742616033756105E-4</v>
      </c>
      <c r="G357" s="10">
        <f t="shared" si="25"/>
        <v>2.6371308016878052E-4</v>
      </c>
      <c r="H357">
        <f t="shared" si="26"/>
        <v>0.85150316455697839</v>
      </c>
      <c r="I357" s="10">
        <f t="shared" si="27"/>
        <v>3.0970299482795891E-4</v>
      </c>
      <c r="J357">
        <f t="shared" si="28"/>
        <v>3.6101542462164639E-3</v>
      </c>
      <c r="K357" s="10">
        <f t="shared" si="29"/>
        <v>8.2281845337371173</v>
      </c>
    </row>
    <row r="358" spans="1:11" ht="15">
      <c r="A358" t="s">
        <v>542</v>
      </c>
      <c r="B358" s="1" t="s">
        <v>496</v>
      </c>
      <c r="C358" s="8" t="e">
        <v>#N/A</v>
      </c>
      <c r="D358" s="10" t="e">
        <v>#N/A</v>
      </c>
      <c r="E358" s="10">
        <v>0.5</v>
      </c>
      <c r="F358" s="11">
        <f>VLOOKUP(B358,Transcriptome!B:L,11,FALSE)</f>
        <v>5.2742616033756105E-4</v>
      </c>
      <c r="G358" s="10">
        <f t="shared" si="25"/>
        <v>2.6371308016878052E-4</v>
      </c>
      <c r="H358">
        <f t="shared" si="26"/>
        <v>0.85150316455697839</v>
      </c>
      <c r="I358" s="10">
        <f t="shared" si="27"/>
        <v>3.0970299482795891E-4</v>
      </c>
      <c r="J358">
        <f t="shared" si="28"/>
        <v>3.6101542462164639E-3</v>
      </c>
      <c r="K358" s="10">
        <f t="shared" si="29"/>
        <v>8.2281845337371173</v>
      </c>
    </row>
    <row r="359" spans="1:11" ht="15">
      <c r="A359" t="s">
        <v>542</v>
      </c>
      <c r="B359" s="1" t="s">
        <v>498</v>
      </c>
      <c r="C359" s="8" t="e">
        <v>#N/A</v>
      </c>
      <c r="D359" s="10" t="e">
        <v>#N/A</v>
      </c>
      <c r="E359" s="10">
        <v>0.5</v>
      </c>
      <c r="F359" s="11">
        <f>VLOOKUP(B359,Transcriptome!B:L,11,FALSE)</f>
        <v>5.2742616033756105E-4</v>
      </c>
      <c r="G359" s="10">
        <f t="shared" si="25"/>
        <v>2.6371308016878052E-4</v>
      </c>
      <c r="H359">
        <f t="shared" si="26"/>
        <v>0.85150316455697839</v>
      </c>
      <c r="I359" s="10">
        <f t="shared" si="27"/>
        <v>3.0970299482795891E-4</v>
      </c>
      <c r="J359">
        <f t="shared" si="28"/>
        <v>3.6101542462164639E-3</v>
      </c>
      <c r="K359" s="10">
        <f t="shared" si="29"/>
        <v>8.2281845337371173</v>
      </c>
    </row>
    <row r="360" spans="1:11" ht="15">
      <c r="A360" t="s">
        <v>539</v>
      </c>
      <c r="B360" s="1" t="s">
        <v>292</v>
      </c>
      <c r="C360" s="8" t="e">
        <v>#N/A</v>
      </c>
      <c r="D360" s="10" t="e">
        <v>#N/A</v>
      </c>
      <c r="E360" s="10">
        <v>0.5</v>
      </c>
      <c r="F360" s="11">
        <f>VLOOKUP(B360,Transcriptome!B:L,11,FALSE)</f>
        <v>5.2742616033756105E-4</v>
      </c>
      <c r="G360" s="10">
        <f t="shared" si="25"/>
        <v>2.6371308016878052E-4</v>
      </c>
      <c r="H360">
        <f t="shared" si="26"/>
        <v>0.85150316455697839</v>
      </c>
      <c r="I360" s="10">
        <f t="shared" si="27"/>
        <v>3.0970299482795891E-4</v>
      </c>
      <c r="J360">
        <f t="shared" si="28"/>
        <v>3.6101542462164639E-3</v>
      </c>
      <c r="K360" s="10">
        <f t="shared" si="29"/>
        <v>8.2281845337371173</v>
      </c>
    </row>
    <row r="361" spans="1:11" ht="15">
      <c r="A361" t="s">
        <v>539</v>
      </c>
      <c r="B361" s="1" t="s">
        <v>293</v>
      </c>
      <c r="C361" s="8" t="e">
        <v>#N/A</v>
      </c>
      <c r="D361" s="10" t="e">
        <v>#N/A</v>
      </c>
      <c r="E361" s="10">
        <v>0.5</v>
      </c>
      <c r="F361" s="11">
        <f>VLOOKUP(B361,Transcriptome!B:L,11,FALSE)</f>
        <v>5.2742616033756105E-4</v>
      </c>
      <c r="G361" s="10">
        <f t="shared" si="25"/>
        <v>2.6371308016878052E-4</v>
      </c>
      <c r="H361">
        <f t="shared" si="26"/>
        <v>0.85150316455697839</v>
      </c>
      <c r="I361" s="10">
        <f t="shared" si="27"/>
        <v>3.0970299482795891E-4</v>
      </c>
      <c r="J361">
        <f t="shared" si="28"/>
        <v>3.6101542462164639E-3</v>
      </c>
      <c r="K361" s="10">
        <f t="shared" si="29"/>
        <v>8.2281845337371173</v>
      </c>
    </row>
    <row r="362" spans="1:11" ht="15">
      <c r="A362" t="s">
        <v>536</v>
      </c>
      <c r="B362" s="1" t="s">
        <v>416</v>
      </c>
      <c r="C362" s="8" t="e">
        <v>#N/A</v>
      </c>
      <c r="D362" s="10" t="e">
        <v>#N/A</v>
      </c>
      <c r="E362" s="10">
        <v>0.5</v>
      </c>
      <c r="F362" s="11">
        <f>VLOOKUP(B362,Transcriptome!B:L,11,FALSE)</f>
        <v>5.2742616033756105E-4</v>
      </c>
      <c r="G362" s="10">
        <f t="shared" si="25"/>
        <v>2.6371308016878052E-4</v>
      </c>
      <c r="H362">
        <f t="shared" si="26"/>
        <v>0.85150316455697839</v>
      </c>
      <c r="I362" s="10">
        <f t="shared" si="27"/>
        <v>3.0970299482795891E-4</v>
      </c>
      <c r="J362">
        <f t="shared" si="28"/>
        <v>3.6101542462164639E-3</v>
      </c>
      <c r="K362" s="10">
        <f t="shared" si="29"/>
        <v>8.2281845337371173</v>
      </c>
    </row>
    <row r="363" spans="1:11" ht="15">
      <c r="A363" t="s">
        <v>535</v>
      </c>
      <c r="B363" s="1" t="s">
        <v>324</v>
      </c>
      <c r="C363" s="8" t="e">
        <v>#N/A</v>
      </c>
      <c r="D363" s="10" t="e">
        <v>#N/A</v>
      </c>
      <c r="E363" s="10">
        <v>0.5</v>
      </c>
      <c r="F363" s="11">
        <f>VLOOKUP(B363,Transcriptome!B:L,11,FALSE)</f>
        <v>5.2742616033756105E-4</v>
      </c>
      <c r="G363" s="10">
        <f t="shared" si="25"/>
        <v>2.6371308016878052E-4</v>
      </c>
      <c r="H363">
        <f t="shared" si="26"/>
        <v>0.85150316455697839</v>
      </c>
      <c r="I363" s="10">
        <f t="shared" si="27"/>
        <v>3.0970299482795891E-4</v>
      </c>
      <c r="J363">
        <f t="shared" si="28"/>
        <v>3.6101542462164639E-3</v>
      </c>
      <c r="K363" s="10">
        <f t="shared" si="29"/>
        <v>8.2281845337371173</v>
      </c>
    </row>
    <row r="364" spans="1:11" ht="15">
      <c r="A364" t="s">
        <v>539</v>
      </c>
      <c r="B364" s="1" t="s">
        <v>295</v>
      </c>
      <c r="C364" s="8" t="e">
        <v>#N/A</v>
      </c>
      <c r="D364" s="10" t="e">
        <v>#N/A</v>
      </c>
      <c r="E364" s="10">
        <v>0.5</v>
      </c>
      <c r="F364" s="11">
        <f>VLOOKUP(B364,Transcriptome!B:L,11,FALSE)</f>
        <v>5.0105485232068295E-3</v>
      </c>
      <c r="G364" s="10">
        <f t="shared" si="25"/>
        <v>2.5052742616034148E-3</v>
      </c>
      <c r="H364">
        <f t="shared" si="26"/>
        <v>0.85150316455697839</v>
      </c>
      <c r="I364" s="10">
        <f t="shared" si="27"/>
        <v>2.9421784508656093E-3</v>
      </c>
      <c r="J364">
        <f t="shared" si="28"/>
        <v>2.4740482999029159E-2</v>
      </c>
      <c r="K364" s="10">
        <f t="shared" si="29"/>
        <v>8.2281845337371173</v>
      </c>
    </row>
    <row r="365" spans="1:11" ht="15">
      <c r="A365" t="s">
        <v>539</v>
      </c>
      <c r="B365" s="1" t="s">
        <v>297</v>
      </c>
      <c r="C365" s="8" t="e">
        <v>#N/A</v>
      </c>
      <c r="D365" s="10" t="e">
        <v>#N/A</v>
      </c>
      <c r="E365" s="10">
        <v>0.5</v>
      </c>
      <c r="F365" s="11">
        <f>VLOOKUP(B365,Transcriptome!B:L,11,FALSE)</f>
        <v>5.0105485232068295E-3</v>
      </c>
      <c r="G365" s="10">
        <f t="shared" si="25"/>
        <v>2.5052742616034148E-3</v>
      </c>
      <c r="H365">
        <f t="shared" si="26"/>
        <v>0.85150316455697839</v>
      </c>
      <c r="I365" s="10">
        <f t="shared" si="27"/>
        <v>2.9421784508656093E-3</v>
      </c>
      <c r="J365">
        <f t="shared" si="28"/>
        <v>2.4740482999029159E-2</v>
      </c>
      <c r="K365" s="10">
        <f t="shared" si="29"/>
        <v>8.2281845337371173</v>
      </c>
    </row>
    <row r="366" spans="1:11" ht="15">
      <c r="A366" t="s">
        <v>534</v>
      </c>
      <c r="B366" s="1" t="s">
        <v>58</v>
      </c>
      <c r="C366" s="8" t="e">
        <v>#N/A</v>
      </c>
      <c r="D366" s="10" t="e">
        <v>#N/A</v>
      </c>
      <c r="E366" s="10">
        <v>0.5</v>
      </c>
      <c r="F366" s="11">
        <f>VLOOKUP(B366,Transcriptome!B:L,11,FALSE)</f>
        <v>5.2742616033756105E-4</v>
      </c>
      <c r="G366" s="10">
        <f t="shared" si="25"/>
        <v>2.6371308016878052E-4</v>
      </c>
      <c r="H366">
        <f t="shared" si="26"/>
        <v>0.85150316455697839</v>
      </c>
      <c r="I366" s="10">
        <f t="shared" si="27"/>
        <v>3.0970299482795891E-4</v>
      </c>
      <c r="J366">
        <f t="shared" si="28"/>
        <v>3.6101542462164639E-3</v>
      </c>
      <c r="K366" s="10">
        <f t="shared" si="29"/>
        <v>8.2281845337371173</v>
      </c>
    </row>
    <row r="367" spans="1:11" ht="15">
      <c r="A367" t="s">
        <v>535</v>
      </c>
      <c r="B367" s="1" t="s">
        <v>327</v>
      </c>
      <c r="C367" s="8" t="e">
        <v>#N/A</v>
      </c>
      <c r="D367" s="10" t="e">
        <v>#N/A</v>
      </c>
      <c r="E367" s="10">
        <v>0.5</v>
      </c>
      <c r="F367" s="11">
        <f>VLOOKUP(B367,Transcriptome!B:L,11,FALSE)</f>
        <v>5.2742616033756105E-4</v>
      </c>
      <c r="G367" s="10">
        <f t="shared" si="25"/>
        <v>2.6371308016878052E-4</v>
      </c>
      <c r="H367">
        <f t="shared" si="26"/>
        <v>0.85150316455697839</v>
      </c>
      <c r="I367" s="10">
        <f t="shared" si="27"/>
        <v>3.0970299482795891E-4</v>
      </c>
      <c r="J367">
        <f t="shared" si="28"/>
        <v>3.6101542462164639E-3</v>
      </c>
      <c r="K367" s="10">
        <f t="shared" si="29"/>
        <v>8.2281845337371173</v>
      </c>
    </row>
    <row r="368" spans="1:11" ht="15">
      <c r="A368" t="s">
        <v>534</v>
      </c>
      <c r="B368" s="1" t="s">
        <v>60</v>
      </c>
      <c r="C368" s="8" t="e">
        <v>#N/A</v>
      </c>
      <c r="D368" s="10" t="e">
        <v>#N/A</v>
      </c>
      <c r="E368" s="10">
        <v>0.5</v>
      </c>
      <c r="F368" s="11">
        <f>VLOOKUP(B368,Transcriptome!B:L,11,FALSE)</f>
        <v>5.2742616033756105E-4</v>
      </c>
      <c r="G368" s="10">
        <f t="shared" si="25"/>
        <v>2.6371308016878052E-4</v>
      </c>
      <c r="H368">
        <f t="shared" si="26"/>
        <v>0.85150316455697839</v>
      </c>
      <c r="I368" s="10">
        <f t="shared" si="27"/>
        <v>3.0970299482795891E-4</v>
      </c>
      <c r="J368">
        <f t="shared" si="28"/>
        <v>3.6101542462164639E-3</v>
      </c>
      <c r="K368" s="10">
        <f t="shared" si="29"/>
        <v>8.2281845337371173</v>
      </c>
    </row>
    <row r="369" spans="1:11" ht="15">
      <c r="A369" t="s">
        <v>534</v>
      </c>
      <c r="B369" s="1" t="s">
        <v>61</v>
      </c>
      <c r="C369" s="8" t="e">
        <v>#N/A</v>
      </c>
      <c r="D369" s="10" t="e">
        <v>#N/A</v>
      </c>
      <c r="E369" s="10">
        <v>0.5</v>
      </c>
      <c r="F369" s="11">
        <f>VLOOKUP(B369,Transcriptome!B:L,11,FALSE)</f>
        <v>5.2742616033756105E-4</v>
      </c>
      <c r="G369" s="10">
        <f t="shared" si="25"/>
        <v>2.6371308016878052E-4</v>
      </c>
      <c r="H369">
        <f t="shared" si="26"/>
        <v>0.85150316455697839</v>
      </c>
      <c r="I369" s="10">
        <f t="shared" si="27"/>
        <v>3.0970299482795891E-4</v>
      </c>
      <c r="J369">
        <f t="shared" si="28"/>
        <v>3.6101542462164639E-3</v>
      </c>
      <c r="K369" s="10">
        <f t="shared" si="29"/>
        <v>8.2281845337371173</v>
      </c>
    </row>
    <row r="370" spans="1:11" ht="15">
      <c r="A370" t="s">
        <v>534</v>
      </c>
      <c r="B370" s="1" t="s">
        <v>66</v>
      </c>
      <c r="C370" s="8" t="e">
        <v>#N/A</v>
      </c>
      <c r="D370" s="10" t="e">
        <v>#N/A</v>
      </c>
      <c r="E370" s="10">
        <v>0.5</v>
      </c>
      <c r="F370" s="11">
        <f>VLOOKUP(B370,Transcriptome!B:L,11,FALSE)</f>
        <v>5.2742616033756105E-4</v>
      </c>
      <c r="G370" s="10">
        <f t="shared" si="25"/>
        <v>2.6371308016878052E-4</v>
      </c>
      <c r="H370">
        <f t="shared" si="26"/>
        <v>0.85150316455697839</v>
      </c>
      <c r="I370" s="10">
        <f t="shared" si="27"/>
        <v>3.0970299482795891E-4</v>
      </c>
      <c r="J370">
        <f t="shared" si="28"/>
        <v>3.6101542462164639E-3</v>
      </c>
      <c r="K370" s="10">
        <f t="shared" si="29"/>
        <v>8.2281845337371173</v>
      </c>
    </row>
    <row r="371" spans="1:11" ht="15">
      <c r="A371" t="s">
        <v>536</v>
      </c>
      <c r="B371" s="1" t="s">
        <v>420</v>
      </c>
      <c r="C371" s="8" t="e">
        <v>#N/A</v>
      </c>
      <c r="D371" s="10" t="e">
        <v>#N/A</v>
      </c>
      <c r="E371" s="10">
        <v>0.5</v>
      </c>
      <c r="F371" s="11">
        <f>VLOOKUP(B371,Transcriptome!B:L,11,FALSE)</f>
        <v>5.2742616033756105E-4</v>
      </c>
      <c r="G371" s="10">
        <f t="shared" si="25"/>
        <v>2.6371308016878052E-4</v>
      </c>
      <c r="H371">
        <f t="shared" si="26"/>
        <v>0.85150316455697839</v>
      </c>
      <c r="I371" s="10">
        <f t="shared" si="27"/>
        <v>3.0970299482795891E-4</v>
      </c>
      <c r="J371">
        <f t="shared" si="28"/>
        <v>3.6101542462164639E-3</v>
      </c>
      <c r="K371" s="10">
        <f t="shared" si="29"/>
        <v>8.2281845337371173</v>
      </c>
    </row>
    <row r="372" spans="1:11" ht="15">
      <c r="A372" t="s">
        <v>534</v>
      </c>
      <c r="B372" s="1" t="s">
        <v>67</v>
      </c>
      <c r="C372" s="8" t="e">
        <v>#N/A</v>
      </c>
      <c r="D372" s="10" t="e">
        <v>#N/A</v>
      </c>
      <c r="E372" s="10">
        <v>0.5</v>
      </c>
      <c r="F372" s="11">
        <f>VLOOKUP(B372,Transcriptome!B:L,11,FALSE)</f>
        <v>5.2742616033756105E-4</v>
      </c>
      <c r="G372" s="10">
        <f t="shared" si="25"/>
        <v>2.6371308016878052E-4</v>
      </c>
      <c r="H372">
        <f t="shared" si="26"/>
        <v>0.85150316455697839</v>
      </c>
      <c r="I372" s="10">
        <f t="shared" si="27"/>
        <v>3.0970299482795891E-4</v>
      </c>
      <c r="J372">
        <f t="shared" si="28"/>
        <v>3.6101542462164639E-3</v>
      </c>
      <c r="K372" s="10">
        <f t="shared" si="29"/>
        <v>8.2281845337371173</v>
      </c>
    </row>
    <row r="373" spans="1:11">
      <c r="A373" t="s">
        <v>537</v>
      </c>
      <c r="B373" s="2" t="s">
        <v>152</v>
      </c>
      <c r="C373" s="8" t="e">
        <v>#N/A</v>
      </c>
      <c r="D373" s="10" t="e">
        <v>#N/A</v>
      </c>
      <c r="E373" s="10">
        <v>0.5</v>
      </c>
      <c r="F373" s="11">
        <f>VLOOKUP(B373,Transcriptome!B:L,11,FALSE)</f>
        <v>5.2742616033756105E-4</v>
      </c>
      <c r="G373" s="10">
        <f t="shared" si="25"/>
        <v>2.6371308016878052E-4</v>
      </c>
      <c r="H373">
        <f t="shared" si="26"/>
        <v>0.85150316455697839</v>
      </c>
      <c r="I373" s="10">
        <f t="shared" si="27"/>
        <v>3.0970299482795891E-4</v>
      </c>
      <c r="J373">
        <f t="shared" si="28"/>
        <v>3.6101542462164639E-3</v>
      </c>
      <c r="K373" s="10">
        <f t="shared" si="29"/>
        <v>8.2281845337371173</v>
      </c>
    </row>
    <row r="374" spans="1:11" ht="15">
      <c r="A374" t="s">
        <v>537</v>
      </c>
      <c r="B374" s="1" t="s">
        <v>161</v>
      </c>
      <c r="C374" s="8" t="e">
        <v>#N/A</v>
      </c>
      <c r="D374" s="10" t="e">
        <v>#N/A</v>
      </c>
      <c r="E374" s="10">
        <v>0.5</v>
      </c>
      <c r="F374" s="11">
        <f>VLOOKUP(B374,Transcriptome!B:L,11,FALSE)</f>
        <v>5.2742616033756105E-4</v>
      </c>
      <c r="G374" s="10">
        <f t="shared" si="25"/>
        <v>2.6371308016878052E-4</v>
      </c>
      <c r="H374">
        <f t="shared" si="26"/>
        <v>0.85150316455697839</v>
      </c>
      <c r="I374" s="10">
        <f t="shared" si="27"/>
        <v>3.0970299482795891E-4</v>
      </c>
      <c r="J374">
        <f t="shared" si="28"/>
        <v>3.6101542462164639E-3</v>
      </c>
      <c r="K374" s="10">
        <f t="shared" si="29"/>
        <v>8.2281845337371173</v>
      </c>
    </row>
    <row r="375" spans="1:11" ht="15">
      <c r="A375" t="s">
        <v>537</v>
      </c>
      <c r="B375" s="1" t="s">
        <v>164</v>
      </c>
      <c r="C375" s="8" t="e">
        <v>#N/A</v>
      </c>
      <c r="D375" s="10" t="e">
        <v>#N/A</v>
      </c>
      <c r="E375" s="10">
        <v>0.5</v>
      </c>
      <c r="F375" s="11">
        <f>VLOOKUP(B375,Transcriptome!B:L,11,FALSE)</f>
        <v>5.2742616033756105E-4</v>
      </c>
      <c r="G375" s="10">
        <f t="shared" si="25"/>
        <v>2.6371308016878052E-4</v>
      </c>
      <c r="H375">
        <f t="shared" si="26"/>
        <v>0.85150316455697839</v>
      </c>
      <c r="I375" s="10">
        <f t="shared" si="27"/>
        <v>3.0970299482795891E-4</v>
      </c>
      <c r="J375">
        <f t="shared" si="28"/>
        <v>3.6101542462164639E-3</v>
      </c>
      <c r="K375" s="10">
        <f t="shared" si="29"/>
        <v>8.2281845337371173</v>
      </c>
    </row>
    <row r="376" spans="1:11" ht="15">
      <c r="A376" t="s">
        <v>537</v>
      </c>
      <c r="B376" s="1" t="s">
        <v>172</v>
      </c>
      <c r="C376" s="8" t="e">
        <v>#N/A</v>
      </c>
      <c r="D376" s="10" t="e">
        <v>#N/A</v>
      </c>
      <c r="E376" s="10">
        <v>0.5</v>
      </c>
      <c r="F376" s="11">
        <f>VLOOKUP(B376,Transcriptome!B:L,11,FALSE)</f>
        <v>5.2742616033756105E-4</v>
      </c>
      <c r="G376" s="10">
        <f t="shared" si="25"/>
        <v>2.6371308016878052E-4</v>
      </c>
      <c r="H376">
        <f t="shared" si="26"/>
        <v>0.85150316455697839</v>
      </c>
      <c r="I376" s="10">
        <f t="shared" si="27"/>
        <v>3.0970299482795891E-4</v>
      </c>
      <c r="J376">
        <f t="shared" si="28"/>
        <v>3.6101542462164639E-3</v>
      </c>
      <c r="K376" s="10">
        <f t="shared" si="29"/>
        <v>8.2281845337371173</v>
      </c>
    </row>
    <row r="377" spans="1:11" ht="15">
      <c r="A377" t="s">
        <v>537</v>
      </c>
      <c r="B377" s="1" t="s">
        <v>174</v>
      </c>
      <c r="C377" s="8" t="e">
        <v>#N/A</v>
      </c>
      <c r="D377" s="10" t="e">
        <v>#N/A</v>
      </c>
      <c r="E377" s="10">
        <v>0.5</v>
      </c>
      <c r="F377" s="11">
        <f>VLOOKUP(B377,Transcriptome!B:L,11,FALSE)</f>
        <v>5.2742616033756105E-4</v>
      </c>
      <c r="G377" s="10">
        <f t="shared" si="25"/>
        <v>2.6371308016878052E-4</v>
      </c>
      <c r="H377">
        <f t="shared" si="26"/>
        <v>0.85150316455697839</v>
      </c>
      <c r="I377" s="10">
        <f t="shared" si="27"/>
        <v>3.0970299482795891E-4</v>
      </c>
      <c r="J377">
        <f t="shared" si="28"/>
        <v>3.6101542462164639E-3</v>
      </c>
      <c r="K377" s="10">
        <f t="shared" si="29"/>
        <v>8.2281845337371173</v>
      </c>
    </row>
    <row r="378" spans="1:11" ht="15">
      <c r="A378" t="s">
        <v>536</v>
      </c>
      <c r="B378" s="1" t="s">
        <v>423</v>
      </c>
      <c r="C378" s="8" t="e">
        <v>#N/A</v>
      </c>
      <c r="D378" s="10" t="e">
        <v>#N/A</v>
      </c>
      <c r="E378" s="10">
        <v>0.5</v>
      </c>
      <c r="F378" s="11">
        <f>VLOOKUP(B378,Transcriptome!B:L,11,FALSE)</f>
        <v>5.0105485232068295E-3</v>
      </c>
      <c r="G378" s="10">
        <f t="shared" si="25"/>
        <v>2.5052742616034148E-3</v>
      </c>
      <c r="H378">
        <f t="shared" si="26"/>
        <v>0.85150316455697839</v>
      </c>
      <c r="I378" s="10">
        <f t="shared" si="27"/>
        <v>2.9421784508656093E-3</v>
      </c>
      <c r="J378">
        <f t="shared" si="28"/>
        <v>2.4740482999029159E-2</v>
      </c>
      <c r="K378" s="10">
        <f t="shared" si="29"/>
        <v>8.2281845337371173</v>
      </c>
    </row>
    <row r="379" spans="1:11" ht="15">
      <c r="A379" t="s">
        <v>537</v>
      </c>
      <c r="B379" s="1" t="s">
        <v>179</v>
      </c>
      <c r="C379" s="8" t="e">
        <v>#N/A</v>
      </c>
      <c r="D379" s="10" t="e">
        <v>#N/A</v>
      </c>
      <c r="E379" s="10">
        <v>0.5</v>
      </c>
      <c r="F379" s="11">
        <f>VLOOKUP(B379,Transcriptome!B:L,11,FALSE)</f>
        <v>3.6919831223629265E-3</v>
      </c>
      <c r="G379" s="10">
        <f t="shared" si="25"/>
        <v>1.8459915611814632E-3</v>
      </c>
      <c r="H379">
        <f t="shared" si="26"/>
        <v>0.85150316455697839</v>
      </c>
      <c r="I379" s="10">
        <f t="shared" si="27"/>
        <v>2.1679209637957119E-3</v>
      </c>
      <c r="J379">
        <f t="shared" si="28"/>
        <v>1.9184956135171485E-2</v>
      </c>
      <c r="K379" s="10">
        <f t="shared" si="29"/>
        <v>8.2281845337371173</v>
      </c>
    </row>
    <row r="380" spans="1:11">
      <c r="A380" t="s">
        <v>538</v>
      </c>
      <c r="B380" s="2" t="s">
        <v>139</v>
      </c>
      <c r="C380" s="8" t="e">
        <v>#N/A</v>
      </c>
      <c r="D380" s="10" t="e">
        <v>#N/A</v>
      </c>
      <c r="E380" s="10">
        <v>0.5</v>
      </c>
      <c r="F380" s="11">
        <f>VLOOKUP(B380,Transcriptome!B:L,11,FALSE)</f>
        <v>5.2742616033756105E-4</v>
      </c>
      <c r="G380" s="10">
        <f t="shared" si="25"/>
        <v>2.6371308016878052E-4</v>
      </c>
      <c r="H380">
        <f t="shared" si="26"/>
        <v>0.85150316455697839</v>
      </c>
      <c r="I380" s="10">
        <f t="shared" si="27"/>
        <v>3.0970299482795891E-4</v>
      </c>
      <c r="J380">
        <f t="shared" si="28"/>
        <v>3.6101542462164639E-3</v>
      </c>
      <c r="K380" s="10">
        <f t="shared" si="29"/>
        <v>8.2281845337371173</v>
      </c>
    </row>
    <row r="381" spans="1:11" ht="15">
      <c r="A381" t="s">
        <v>538</v>
      </c>
      <c r="B381" s="1" t="s">
        <v>142</v>
      </c>
      <c r="C381" s="8" t="e">
        <v>#N/A</v>
      </c>
      <c r="D381" s="10" t="e">
        <v>#N/A</v>
      </c>
      <c r="E381" s="10">
        <v>0.5</v>
      </c>
      <c r="F381" s="11">
        <f>VLOOKUP(B381,Transcriptome!B:L,11,FALSE)</f>
        <v>3.6919831223629265E-3</v>
      </c>
      <c r="G381" s="10">
        <f t="shared" si="25"/>
        <v>1.8459915611814632E-3</v>
      </c>
      <c r="H381">
        <f t="shared" si="26"/>
        <v>0.85150316455697839</v>
      </c>
      <c r="I381" s="10">
        <f t="shared" si="27"/>
        <v>2.1679209637957119E-3</v>
      </c>
      <c r="J381">
        <f t="shared" si="28"/>
        <v>1.9184956135171485E-2</v>
      </c>
      <c r="K381" s="10">
        <f t="shared" si="29"/>
        <v>8.2281845337371173</v>
      </c>
    </row>
    <row r="382" spans="1:11" ht="15">
      <c r="A382" t="s">
        <v>538</v>
      </c>
      <c r="B382" s="1" t="s">
        <v>143</v>
      </c>
      <c r="C382" s="8" t="e">
        <v>#N/A</v>
      </c>
      <c r="D382" s="10" t="e">
        <v>#N/A</v>
      </c>
      <c r="E382" s="10">
        <v>0.5</v>
      </c>
      <c r="F382" s="11">
        <f>VLOOKUP(B382,Transcriptome!B:L,11,FALSE)</f>
        <v>5.0105485232068295E-3</v>
      </c>
      <c r="G382" s="10">
        <f t="shared" si="25"/>
        <v>2.5052742616034148E-3</v>
      </c>
      <c r="H382">
        <f t="shared" si="26"/>
        <v>0.85150316455697839</v>
      </c>
      <c r="I382" s="10">
        <f t="shared" si="27"/>
        <v>2.9421784508656093E-3</v>
      </c>
      <c r="J382">
        <f t="shared" si="28"/>
        <v>2.4740482999029159E-2</v>
      </c>
      <c r="K382" s="10">
        <f t="shared" si="29"/>
        <v>8.2281845337371173</v>
      </c>
    </row>
    <row r="383" spans="1:11">
      <c r="A383" t="s">
        <v>536</v>
      </c>
      <c r="B383" s="2" t="s">
        <v>426</v>
      </c>
      <c r="C383" s="8" t="e">
        <v>#N/A</v>
      </c>
      <c r="D383" s="10" t="e">
        <v>#N/A</v>
      </c>
      <c r="E383" s="10">
        <v>0.5</v>
      </c>
      <c r="F383" s="11">
        <f>VLOOKUP(B383,Transcriptome!B:L,11,FALSE)</f>
        <v>5.2742616033756105E-4</v>
      </c>
      <c r="G383" s="10">
        <f t="shared" si="25"/>
        <v>2.6371308016878052E-4</v>
      </c>
      <c r="H383">
        <f t="shared" si="26"/>
        <v>0.85150316455697839</v>
      </c>
      <c r="I383" s="10">
        <f t="shared" si="27"/>
        <v>3.0970299482795891E-4</v>
      </c>
      <c r="J383">
        <f t="shared" si="28"/>
        <v>3.6101542462164639E-3</v>
      </c>
      <c r="K383" s="10">
        <f t="shared" si="29"/>
        <v>8.2281845337371173</v>
      </c>
    </row>
    <row r="384" spans="1:11" ht="15">
      <c r="A384" t="s">
        <v>534</v>
      </c>
      <c r="B384" s="1" t="s">
        <v>71</v>
      </c>
      <c r="C384" s="8" t="e">
        <v>#N/A</v>
      </c>
      <c r="D384" s="10" t="e">
        <v>#N/A</v>
      </c>
      <c r="E384" s="10">
        <v>0.5</v>
      </c>
      <c r="F384" s="11">
        <f>VLOOKUP(B384,Transcriptome!B:L,11,FALSE)</f>
        <v>5.2742616033756105E-4</v>
      </c>
      <c r="G384" s="10">
        <f t="shared" si="25"/>
        <v>2.6371308016878052E-4</v>
      </c>
      <c r="H384">
        <f t="shared" si="26"/>
        <v>0.85150316455697839</v>
      </c>
      <c r="I384" s="10">
        <f t="shared" si="27"/>
        <v>3.0970299482795891E-4</v>
      </c>
      <c r="J384">
        <f t="shared" si="28"/>
        <v>3.6101542462164639E-3</v>
      </c>
      <c r="K384" s="10">
        <f t="shared" si="29"/>
        <v>8.2281845337371173</v>
      </c>
    </row>
    <row r="385" spans="1:11" ht="15">
      <c r="A385" t="s">
        <v>534</v>
      </c>
      <c r="B385" s="1" t="s">
        <v>72</v>
      </c>
      <c r="C385" s="8" t="e">
        <v>#N/A</v>
      </c>
      <c r="D385" s="10" t="e">
        <v>#N/A</v>
      </c>
      <c r="E385" s="10">
        <v>0.5</v>
      </c>
      <c r="F385" s="11">
        <f>VLOOKUP(B385,Transcriptome!B:L,11,FALSE)</f>
        <v>5.2742616033756105E-4</v>
      </c>
      <c r="G385" s="10">
        <f t="shared" si="25"/>
        <v>2.6371308016878052E-4</v>
      </c>
      <c r="H385">
        <f t="shared" si="26"/>
        <v>0.85150316455697839</v>
      </c>
      <c r="I385" s="10">
        <f t="shared" si="27"/>
        <v>3.0970299482795891E-4</v>
      </c>
      <c r="J385">
        <f t="shared" si="28"/>
        <v>3.6101542462164639E-3</v>
      </c>
      <c r="K385" s="10">
        <f t="shared" si="29"/>
        <v>8.2281845337371173</v>
      </c>
    </row>
    <row r="386" spans="1:11" ht="15">
      <c r="A386" t="s">
        <v>534</v>
      </c>
      <c r="B386" s="1" t="s">
        <v>74</v>
      </c>
      <c r="C386" s="8" t="e">
        <v>#N/A</v>
      </c>
      <c r="D386" s="10" t="e">
        <v>#N/A</v>
      </c>
      <c r="E386" s="10">
        <v>0.5</v>
      </c>
      <c r="F386" s="11">
        <f>VLOOKUP(B386,Transcriptome!B:L,11,FALSE)</f>
        <v>5.2742616033756105E-4</v>
      </c>
      <c r="G386" s="10">
        <f t="shared" ref="G386:G449" si="30">E386*F386</f>
        <v>2.6371308016878052E-4</v>
      </c>
      <c r="H386">
        <f t="shared" ref="H386:H449" si="31">SUM($G$2:$G$522)</f>
        <v>0.85150316455697839</v>
      </c>
      <c r="I386" s="10">
        <f t="shared" ref="I386:I449" si="32">G386/H386</f>
        <v>3.0970299482795891E-4</v>
      </c>
      <c r="J386">
        <f t="shared" ref="J386:J449" si="33">-I386*LOG(I386,2)</f>
        <v>3.6101542462164639E-3</v>
      </c>
      <c r="K386" s="10">
        <f t="shared" ref="K386:K449" si="34">SUM($J$2:$J$522)</f>
        <v>8.2281845337371173</v>
      </c>
    </row>
    <row r="387" spans="1:11" ht="15">
      <c r="A387" t="s">
        <v>535</v>
      </c>
      <c r="B387" s="1" t="s">
        <v>330</v>
      </c>
      <c r="C387" s="8" t="e">
        <v>#N/A</v>
      </c>
      <c r="D387" s="10" t="e">
        <v>#N/A</v>
      </c>
      <c r="E387" s="10">
        <v>0.5</v>
      </c>
      <c r="F387" s="11">
        <f>VLOOKUP(B387,Transcriptome!B:L,11,FALSE)</f>
        <v>5.0105485232068295E-3</v>
      </c>
      <c r="G387" s="10">
        <f t="shared" si="30"/>
        <v>2.5052742616034148E-3</v>
      </c>
      <c r="H387">
        <f t="shared" si="31"/>
        <v>0.85150316455697839</v>
      </c>
      <c r="I387" s="10">
        <f t="shared" si="32"/>
        <v>2.9421784508656093E-3</v>
      </c>
      <c r="J387">
        <f t="shared" si="33"/>
        <v>2.4740482999029159E-2</v>
      </c>
      <c r="K387" s="10">
        <f t="shared" si="34"/>
        <v>8.2281845337371173</v>
      </c>
    </row>
    <row r="388" spans="1:11" ht="15">
      <c r="A388" t="s">
        <v>535</v>
      </c>
      <c r="B388" s="1" t="s">
        <v>331</v>
      </c>
      <c r="C388" s="8" t="e">
        <v>#N/A</v>
      </c>
      <c r="D388" s="10" t="e">
        <v>#N/A</v>
      </c>
      <c r="E388" s="10">
        <v>0.5</v>
      </c>
      <c r="F388" s="11">
        <f>VLOOKUP(B388,Transcriptome!B:L,11,FALSE)</f>
        <v>5.2742616033756105E-4</v>
      </c>
      <c r="G388" s="10">
        <f t="shared" si="30"/>
        <v>2.6371308016878052E-4</v>
      </c>
      <c r="H388">
        <f t="shared" si="31"/>
        <v>0.85150316455697839</v>
      </c>
      <c r="I388" s="10">
        <f t="shared" si="32"/>
        <v>3.0970299482795891E-4</v>
      </c>
      <c r="J388">
        <f t="shared" si="33"/>
        <v>3.6101542462164639E-3</v>
      </c>
      <c r="K388" s="10">
        <f t="shared" si="34"/>
        <v>8.2281845337371173</v>
      </c>
    </row>
    <row r="389" spans="1:11" ht="15">
      <c r="A389" t="s">
        <v>524</v>
      </c>
      <c r="B389" s="1" t="s">
        <v>9</v>
      </c>
      <c r="C389" s="8" t="e">
        <v>#N/A</v>
      </c>
      <c r="D389" s="10" t="e">
        <v>#N/A</v>
      </c>
      <c r="E389" s="10">
        <v>0.5</v>
      </c>
      <c r="F389" s="11">
        <f>VLOOKUP(B389,Transcriptome!B:L,11,FALSE)</f>
        <v>5.2742616033756105E-4</v>
      </c>
      <c r="G389" s="10">
        <f t="shared" si="30"/>
        <v>2.6371308016878052E-4</v>
      </c>
      <c r="H389">
        <f t="shared" si="31"/>
        <v>0.85150316455697839</v>
      </c>
      <c r="I389" s="10">
        <f t="shared" si="32"/>
        <v>3.0970299482795891E-4</v>
      </c>
      <c r="J389">
        <f t="shared" si="33"/>
        <v>3.6101542462164639E-3</v>
      </c>
      <c r="K389" s="10">
        <f t="shared" si="34"/>
        <v>8.2281845337371173</v>
      </c>
    </row>
    <row r="390" spans="1:11" ht="15">
      <c r="A390" t="s">
        <v>536</v>
      </c>
      <c r="B390" s="1" t="s">
        <v>427</v>
      </c>
      <c r="C390" s="8" t="e">
        <v>#N/A</v>
      </c>
      <c r="D390" s="10" t="e">
        <v>#N/A</v>
      </c>
      <c r="E390" s="10">
        <v>0.5</v>
      </c>
      <c r="F390" s="11">
        <f>VLOOKUP(B390,Transcriptome!B:L,11,FALSE)</f>
        <v>5.2742616033756105E-4</v>
      </c>
      <c r="G390" s="10">
        <f t="shared" si="30"/>
        <v>2.6371308016878052E-4</v>
      </c>
      <c r="H390">
        <f t="shared" si="31"/>
        <v>0.85150316455697839</v>
      </c>
      <c r="I390" s="10">
        <f t="shared" si="32"/>
        <v>3.0970299482795891E-4</v>
      </c>
      <c r="J390">
        <f t="shared" si="33"/>
        <v>3.6101542462164639E-3</v>
      </c>
      <c r="K390" s="10">
        <f t="shared" si="34"/>
        <v>8.2281845337371173</v>
      </c>
    </row>
    <row r="391" spans="1:11" ht="15">
      <c r="A391" t="s">
        <v>537</v>
      </c>
      <c r="B391" s="1" t="s">
        <v>184</v>
      </c>
      <c r="C391" s="8" t="e">
        <v>#N/A</v>
      </c>
      <c r="D391" s="10" t="e">
        <v>#N/A</v>
      </c>
      <c r="E391" s="10">
        <v>0.5</v>
      </c>
      <c r="F391" s="11">
        <f>VLOOKUP(B391,Transcriptome!B:L,11,FALSE)</f>
        <v>5.2742616033756105E-4</v>
      </c>
      <c r="G391" s="10">
        <f t="shared" si="30"/>
        <v>2.6371308016878052E-4</v>
      </c>
      <c r="H391">
        <f t="shared" si="31"/>
        <v>0.85150316455697839</v>
      </c>
      <c r="I391" s="10">
        <f t="shared" si="32"/>
        <v>3.0970299482795891E-4</v>
      </c>
      <c r="J391">
        <f t="shared" si="33"/>
        <v>3.6101542462164639E-3</v>
      </c>
      <c r="K391" s="10">
        <f t="shared" si="34"/>
        <v>8.2281845337371173</v>
      </c>
    </row>
    <row r="392" spans="1:11" ht="15">
      <c r="A392" t="s">
        <v>536</v>
      </c>
      <c r="B392" s="1" t="s">
        <v>428</v>
      </c>
      <c r="C392" s="8" t="e">
        <v>#N/A</v>
      </c>
      <c r="D392" s="10" t="e">
        <v>#N/A</v>
      </c>
      <c r="E392" s="10">
        <v>0.5</v>
      </c>
      <c r="F392" s="11">
        <f>VLOOKUP(B392,Transcriptome!B:L,11,FALSE)</f>
        <v>5.2742616033756105E-4</v>
      </c>
      <c r="G392" s="10">
        <f t="shared" si="30"/>
        <v>2.6371308016878052E-4</v>
      </c>
      <c r="H392">
        <f t="shared" si="31"/>
        <v>0.85150316455697839</v>
      </c>
      <c r="I392" s="10">
        <f t="shared" si="32"/>
        <v>3.0970299482795891E-4</v>
      </c>
      <c r="J392">
        <f t="shared" si="33"/>
        <v>3.6101542462164639E-3</v>
      </c>
      <c r="K392" s="10">
        <f t="shared" si="34"/>
        <v>8.2281845337371173</v>
      </c>
    </row>
    <row r="393" spans="1:11" ht="15">
      <c r="A393" t="s">
        <v>536</v>
      </c>
      <c r="B393" s="1" t="s">
        <v>430</v>
      </c>
      <c r="C393" s="8" t="e">
        <v>#N/A</v>
      </c>
      <c r="D393" s="10" t="e">
        <v>#N/A</v>
      </c>
      <c r="E393" s="10">
        <v>0.5</v>
      </c>
      <c r="F393" s="11">
        <f>VLOOKUP(B393,Transcriptome!B:L,11,FALSE)</f>
        <v>3.6919831223629265E-3</v>
      </c>
      <c r="G393" s="10">
        <f t="shared" si="30"/>
        <v>1.8459915611814632E-3</v>
      </c>
      <c r="H393">
        <f t="shared" si="31"/>
        <v>0.85150316455697839</v>
      </c>
      <c r="I393" s="10">
        <f t="shared" si="32"/>
        <v>2.1679209637957119E-3</v>
      </c>
      <c r="J393">
        <f t="shared" si="33"/>
        <v>1.9184956135171485E-2</v>
      </c>
      <c r="K393" s="10">
        <f t="shared" si="34"/>
        <v>8.2281845337371173</v>
      </c>
    </row>
    <row r="394" spans="1:11" ht="15">
      <c r="A394" t="s">
        <v>535</v>
      </c>
      <c r="B394" s="1" t="s">
        <v>334</v>
      </c>
      <c r="C394" s="8" t="e">
        <v>#N/A</v>
      </c>
      <c r="D394" s="10" t="e">
        <v>#N/A</v>
      </c>
      <c r="E394" s="10">
        <v>0.5</v>
      </c>
      <c r="F394" s="11">
        <f>VLOOKUP(B394,Transcriptome!B:L,11,FALSE)</f>
        <v>5.2742616033756105E-4</v>
      </c>
      <c r="G394" s="10">
        <f t="shared" si="30"/>
        <v>2.6371308016878052E-4</v>
      </c>
      <c r="H394">
        <f t="shared" si="31"/>
        <v>0.85150316455697839</v>
      </c>
      <c r="I394" s="10">
        <f t="shared" si="32"/>
        <v>3.0970299482795891E-4</v>
      </c>
      <c r="J394">
        <f t="shared" si="33"/>
        <v>3.6101542462164639E-3</v>
      </c>
      <c r="K394" s="10">
        <f t="shared" si="34"/>
        <v>8.2281845337371173</v>
      </c>
    </row>
    <row r="395" spans="1:11" ht="15">
      <c r="A395" t="s">
        <v>535</v>
      </c>
      <c r="B395" s="1" t="s">
        <v>338</v>
      </c>
      <c r="C395" s="8" t="e">
        <v>#N/A</v>
      </c>
      <c r="D395" s="10" t="e">
        <v>#N/A</v>
      </c>
      <c r="E395" s="10">
        <v>0.5</v>
      </c>
      <c r="F395" s="11">
        <f>VLOOKUP(B395,Transcriptome!B:L,11,FALSE)</f>
        <v>5.2742616033756105E-4</v>
      </c>
      <c r="G395" s="10">
        <f t="shared" si="30"/>
        <v>2.6371308016878052E-4</v>
      </c>
      <c r="H395">
        <f t="shared" si="31"/>
        <v>0.85150316455697839</v>
      </c>
      <c r="I395" s="10">
        <f t="shared" si="32"/>
        <v>3.0970299482795891E-4</v>
      </c>
      <c r="J395">
        <f t="shared" si="33"/>
        <v>3.6101542462164639E-3</v>
      </c>
      <c r="K395" s="10">
        <f t="shared" si="34"/>
        <v>8.2281845337371173</v>
      </c>
    </row>
    <row r="396" spans="1:11" ht="15">
      <c r="A396" t="s">
        <v>535</v>
      </c>
      <c r="B396" s="1" t="s">
        <v>341</v>
      </c>
      <c r="C396" s="8" t="e">
        <v>#N/A</v>
      </c>
      <c r="D396" s="10" t="e">
        <v>#N/A</v>
      </c>
      <c r="E396" s="10">
        <v>0.5</v>
      </c>
      <c r="F396" s="11">
        <f>VLOOKUP(B396,Transcriptome!B:L,11,FALSE)</f>
        <v>5.2742616033756105E-4</v>
      </c>
      <c r="G396" s="10">
        <f t="shared" si="30"/>
        <v>2.6371308016878052E-4</v>
      </c>
      <c r="H396">
        <f t="shared" si="31"/>
        <v>0.85150316455697839</v>
      </c>
      <c r="I396" s="10">
        <f t="shared" si="32"/>
        <v>3.0970299482795891E-4</v>
      </c>
      <c r="J396">
        <f t="shared" si="33"/>
        <v>3.6101542462164639E-3</v>
      </c>
      <c r="K396" s="10">
        <f t="shared" si="34"/>
        <v>8.2281845337371173</v>
      </c>
    </row>
    <row r="397" spans="1:11" ht="15">
      <c r="A397" t="s">
        <v>535</v>
      </c>
      <c r="B397" s="1" t="s">
        <v>348</v>
      </c>
      <c r="C397" s="8" t="e">
        <v>#N/A</v>
      </c>
      <c r="D397" s="10" t="e">
        <v>#N/A</v>
      </c>
      <c r="E397" s="10">
        <v>0.5</v>
      </c>
      <c r="F397" s="11">
        <f>VLOOKUP(B397,Transcriptome!B:L,11,FALSE)</f>
        <v>5.0105485232068295E-3</v>
      </c>
      <c r="G397" s="10">
        <f t="shared" si="30"/>
        <v>2.5052742616034148E-3</v>
      </c>
      <c r="H397">
        <f t="shared" si="31"/>
        <v>0.85150316455697839</v>
      </c>
      <c r="I397" s="10">
        <f t="shared" si="32"/>
        <v>2.9421784508656093E-3</v>
      </c>
      <c r="J397">
        <f t="shared" si="33"/>
        <v>2.4740482999029159E-2</v>
      </c>
      <c r="K397" s="10">
        <f t="shared" si="34"/>
        <v>8.2281845337371173</v>
      </c>
    </row>
    <row r="398" spans="1:11" ht="15">
      <c r="A398" t="s">
        <v>536</v>
      </c>
      <c r="B398" s="1" t="s">
        <v>433</v>
      </c>
      <c r="C398" s="8" t="e">
        <v>#N/A</v>
      </c>
      <c r="D398" s="10" t="e">
        <v>#N/A</v>
      </c>
      <c r="E398" s="10">
        <v>0.5</v>
      </c>
      <c r="F398" s="11">
        <f>VLOOKUP(B398,Transcriptome!B:L,11,FALSE)</f>
        <v>5.2742616033756105E-4</v>
      </c>
      <c r="G398" s="10">
        <f t="shared" si="30"/>
        <v>2.6371308016878052E-4</v>
      </c>
      <c r="H398">
        <f t="shared" si="31"/>
        <v>0.85150316455697839</v>
      </c>
      <c r="I398" s="10">
        <f t="shared" si="32"/>
        <v>3.0970299482795891E-4</v>
      </c>
      <c r="J398">
        <f t="shared" si="33"/>
        <v>3.6101542462164639E-3</v>
      </c>
      <c r="K398" s="10">
        <f t="shared" si="34"/>
        <v>8.2281845337371173</v>
      </c>
    </row>
    <row r="399" spans="1:11" ht="15">
      <c r="A399" t="s">
        <v>535</v>
      </c>
      <c r="B399" s="1" t="s">
        <v>350</v>
      </c>
      <c r="C399" s="8" t="e">
        <v>#N/A</v>
      </c>
      <c r="D399" s="10" t="e">
        <v>#N/A</v>
      </c>
      <c r="E399" s="10">
        <v>0.5</v>
      </c>
      <c r="F399" s="11">
        <f>VLOOKUP(B399,Transcriptome!B:L,11,FALSE)</f>
        <v>5.2742616033756105E-4</v>
      </c>
      <c r="G399" s="10">
        <f t="shared" si="30"/>
        <v>2.6371308016878052E-4</v>
      </c>
      <c r="H399">
        <f t="shared" si="31"/>
        <v>0.85150316455697839</v>
      </c>
      <c r="I399" s="10">
        <f t="shared" si="32"/>
        <v>3.0970299482795891E-4</v>
      </c>
      <c r="J399">
        <f t="shared" si="33"/>
        <v>3.6101542462164639E-3</v>
      </c>
      <c r="K399" s="10">
        <f t="shared" si="34"/>
        <v>8.2281845337371173</v>
      </c>
    </row>
    <row r="400" spans="1:11" ht="15">
      <c r="A400" t="s">
        <v>535</v>
      </c>
      <c r="B400" s="1" t="s">
        <v>351</v>
      </c>
      <c r="C400" s="8" t="e">
        <v>#N/A</v>
      </c>
      <c r="D400" s="10" t="e">
        <v>#N/A</v>
      </c>
      <c r="E400" s="10">
        <v>0.5</v>
      </c>
      <c r="F400" s="11">
        <f>VLOOKUP(B400,Transcriptome!B:L,11,FALSE)</f>
        <v>5.2742616033756105E-4</v>
      </c>
      <c r="G400" s="10">
        <f t="shared" si="30"/>
        <v>2.6371308016878052E-4</v>
      </c>
      <c r="H400">
        <f t="shared" si="31"/>
        <v>0.85150316455697839</v>
      </c>
      <c r="I400" s="10">
        <f t="shared" si="32"/>
        <v>3.0970299482795891E-4</v>
      </c>
      <c r="J400">
        <f t="shared" si="33"/>
        <v>3.6101542462164639E-3</v>
      </c>
      <c r="K400" s="10">
        <f t="shared" si="34"/>
        <v>8.2281845337371173</v>
      </c>
    </row>
    <row r="401" spans="1:11">
      <c r="A401" t="s">
        <v>534</v>
      </c>
      <c r="B401" s="2" t="s">
        <v>77</v>
      </c>
      <c r="C401" s="8" t="e">
        <v>#N/A</v>
      </c>
      <c r="D401" s="10" t="e">
        <v>#N/A</v>
      </c>
      <c r="E401" s="10">
        <v>0.5</v>
      </c>
      <c r="F401" s="11">
        <f>VLOOKUP(B401,Transcriptome!B:L,11,FALSE)</f>
        <v>5.2742616033756105E-4</v>
      </c>
      <c r="G401" s="10">
        <f t="shared" si="30"/>
        <v>2.6371308016878052E-4</v>
      </c>
      <c r="H401">
        <f t="shared" si="31"/>
        <v>0.85150316455697839</v>
      </c>
      <c r="I401" s="10">
        <f t="shared" si="32"/>
        <v>3.0970299482795891E-4</v>
      </c>
      <c r="J401">
        <f t="shared" si="33"/>
        <v>3.6101542462164639E-3</v>
      </c>
      <c r="K401" s="10">
        <f t="shared" si="34"/>
        <v>8.2281845337371173</v>
      </c>
    </row>
    <row r="402" spans="1:11">
      <c r="A402" t="s">
        <v>534</v>
      </c>
      <c r="B402" s="2" t="s">
        <v>78</v>
      </c>
      <c r="C402" s="8" t="e">
        <v>#N/A</v>
      </c>
      <c r="D402" s="10" t="e">
        <v>#N/A</v>
      </c>
      <c r="E402" s="10">
        <v>0.5</v>
      </c>
      <c r="F402" s="11">
        <f>VLOOKUP(B402,Transcriptome!B:L,11,FALSE)</f>
        <v>5.2742616033756105E-4</v>
      </c>
      <c r="G402" s="10">
        <f t="shared" si="30"/>
        <v>2.6371308016878052E-4</v>
      </c>
      <c r="H402">
        <f t="shared" si="31"/>
        <v>0.85150316455697839</v>
      </c>
      <c r="I402" s="10">
        <f t="shared" si="32"/>
        <v>3.0970299482795891E-4</v>
      </c>
      <c r="J402">
        <f t="shared" si="33"/>
        <v>3.6101542462164639E-3</v>
      </c>
      <c r="K402" s="10">
        <f t="shared" si="34"/>
        <v>8.2281845337371173</v>
      </c>
    </row>
    <row r="403" spans="1:11">
      <c r="A403" t="s">
        <v>534</v>
      </c>
      <c r="B403" s="2" t="s">
        <v>79</v>
      </c>
      <c r="C403" s="8" t="e">
        <v>#N/A</v>
      </c>
      <c r="D403" s="10" t="e">
        <v>#N/A</v>
      </c>
      <c r="E403" s="10">
        <v>0.5</v>
      </c>
      <c r="F403" s="11">
        <f>VLOOKUP(B403,Transcriptome!B:L,11,FALSE)</f>
        <v>5.2742616033756105E-4</v>
      </c>
      <c r="G403" s="10">
        <f t="shared" si="30"/>
        <v>2.6371308016878052E-4</v>
      </c>
      <c r="H403">
        <f t="shared" si="31"/>
        <v>0.85150316455697839</v>
      </c>
      <c r="I403" s="10">
        <f t="shared" si="32"/>
        <v>3.0970299482795891E-4</v>
      </c>
      <c r="J403">
        <f t="shared" si="33"/>
        <v>3.6101542462164639E-3</v>
      </c>
      <c r="K403" s="10">
        <f t="shared" si="34"/>
        <v>8.2281845337371173</v>
      </c>
    </row>
    <row r="404" spans="1:11" ht="15">
      <c r="A404" t="s">
        <v>524</v>
      </c>
      <c r="B404" s="1" t="s">
        <v>10</v>
      </c>
      <c r="C404" s="8" t="e">
        <v>#N/A</v>
      </c>
      <c r="D404" s="10" t="e">
        <v>#N/A</v>
      </c>
      <c r="E404" s="10">
        <v>0.5</v>
      </c>
      <c r="F404" s="11">
        <f>VLOOKUP(B404,Transcriptome!B:L,11,FALSE)</f>
        <v>5.2742616033756105E-4</v>
      </c>
      <c r="G404" s="10">
        <f t="shared" si="30"/>
        <v>2.6371308016878052E-4</v>
      </c>
      <c r="H404">
        <f t="shared" si="31"/>
        <v>0.85150316455697839</v>
      </c>
      <c r="I404" s="10">
        <f t="shared" si="32"/>
        <v>3.0970299482795891E-4</v>
      </c>
      <c r="J404">
        <f t="shared" si="33"/>
        <v>3.6101542462164639E-3</v>
      </c>
      <c r="K404" s="10">
        <f t="shared" si="34"/>
        <v>8.2281845337371173</v>
      </c>
    </row>
    <row r="405" spans="1:11" ht="15">
      <c r="A405" t="s">
        <v>524</v>
      </c>
      <c r="B405" s="1" t="s">
        <v>11</v>
      </c>
      <c r="C405" s="8" t="e">
        <v>#N/A</v>
      </c>
      <c r="D405" s="10" t="e">
        <v>#N/A</v>
      </c>
      <c r="E405" s="10">
        <v>0.5</v>
      </c>
      <c r="F405" s="11">
        <f>VLOOKUP(B405,Transcriptome!B:L,11,FALSE)</f>
        <v>5.2742616033756105E-4</v>
      </c>
      <c r="G405" s="10">
        <f t="shared" si="30"/>
        <v>2.6371308016878052E-4</v>
      </c>
      <c r="H405">
        <f t="shared" si="31"/>
        <v>0.85150316455697839</v>
      </c>
      <c r="I405" s="10">
        <f t="shared" si="32"/>
        <v>3.0970299482795891E-4</v>
      </c>
      <c r="J405">
        <f t="shared" si="33"/>
        <v>3.6101542462164639E-3</v>
      </c>
      <c r="K405" s="10">
        <f t="shared" si="34"/>
        <v>8.2281845337371173</v>
      </c>
    </row>
    <row r="406" spans="1:11" ht="15">
      <c r="A406" t="s">
        <v>524</v>
      </c>
      <c r="B406" s="1" t="s">
        <v>13</v>
      </c>
      <c r="C406" s="8" t="e">
        <v>#N/A</v>
      </c>
      <c r="D406" s="10" t="e">
        <v>#N/A</v>
      </c>
      <c r="E406" s="10">
        <v>0.5</v>
      </c>
      <c r="F406" s="11">
        <f>VLOOKUP(B406,Transcriptome!B:L,11,FALSE)</f>
        <v>5.2742616033756105E-4</v>
      </c>
      <c r="G406" s="10">
        <f t="shared" si="30"/>
        <v>2.6371308016878052E-4</v>
      </c>
      <c r="H406">
        <f t="shared" si="31"/>
        <v>0.85150316455697839</v>
      </c>
      <c r="I406" s="10">
        <f t="shared" si="32"/>
        <v>3.0970299482795891E-4</v>
      </c>
      <c r="J406">
        <f t="shared" si="33"/>
        <v>3.6101542462164639E-3</v>
      </c>
      <c r="K406" s="10">
        <f t="shared" si="34"/>
        <v>8.2281845337371173</v>
      </c>
    </row>
    <row r="407" spans="1:11">
      <c r="A407" t="s">
        <v>524</v>
      </c>
      <c r="B407" s="2" t="s">
        <v>14</v>
      </c>
      <c r="C407" s="8" t="e">
        <v>#N/A</v>
      </c>
      <c r="D407" s="10" t="e">
        <v>#N/A</v>
      </c>
      <c r="E407" s="10">
        <v>0.5</v>
      </c>
      <c r="F407" s="11">
        <f>VLOOKUP(B407,Transcriptome!B:L,11,FALSE)</f>
        <v>5.2742616033756105E-4</v>
      </c>
      <c r="G407" s="10">
        <f t="shared" si="30"/>
        <v>2.6371308016878052E-4</v>
      </c>
      <c r="H407">
        <f t="shared" si="31"/>
        <v>0.85150316455697839</v>
      </c>
      <c r="I407" s="10">
        <f t="shared" si="32"/>
        <v>3.0970299482795891E-4</v>
      </c>
      <c r="J407">
        <f t="shared" si="33"/>
        <v>3.6101542462164639E-3</v>
      </c>
      <c r="K407" s="10">
        <f t="shared" si="34"/>
        <v>8.2281845337371173</v>
      </c>
    </row>
    <row r="408" spans="1:11" ht="15">
      <c r="A408" t="s">
        <v>543</v>
      </c>
      <c r="B408" s="1" t="s">
        <v>223</v>
      </c>
      <c r="C408" s="8" t="e">
        <v>#N/A</v>
      </c>
      <c r="D408" s="10" t="e">
        <v>#N/A</v>
      </c>
      <c r="E408" s="10">
        <v>0.5</v>
      </c>
      <c r="F408" s="11">
        <f>VLOOKUP(B408,Transcriptome!B:L,11,FALSE)</f>
        <v>5.2742616033756105E-4</v>
      </c>
      <c r="G408" s="10">
        <f t="shared" si="30"/>
        <v>2.6371308016878052E-4</v>
      </c>
      <c r="H408">
        <f t="shared" si="31"/>
        <v>0.85150316455697839</v>
      </c>
      <c r="I408" s="10">
        <f t="shared" si="32"/>
        <v>3.0970299482795891E-4</v>
      </c>
      <c r="J408">
        <f t="shared" si="33"/>
        <v>3.6101542462164639E-3</v>
      </c>
      <c r="K408" s="10">
        <f t="shared" si="34"/>
        <v>8.2281845337371173</v>
      </c>
    </row>
    <row r="409" spans="1:11">
      <c r="A409" t="s">
        <v>543</v>
      </c>
      <c r="B409" s="2" t="s">
        <v>226</v>
      </c>
      <c r="C409" s="8" t="e">
        <v>#N/A</v>
      </c>
      <c r="D409" s="10" t="e">
        <v>#N/A</v>
      </c>
      <c r="E409" s="10">
        <v>0.5</v>
      </c>
      <c r="F409" s="11">
        <f>VLOOKUP(B409,Transcriptome!B:L,11,FALSE)</f>
        <v>5.2742616033756105E-4</v>
      </c>
      <c r="G409" s="10">
        <f t="shared" si="30"/>
        <v>2.6371308016878052E-4</v>
      </c>
      <c r="H409">
        <f t="shared" si="31"/>
        <v>0.85150316455697839</v>
      </c>
      <c r="I409" s="10">
        <f t="shared" si="32"/>
        <v>3.0970299482795891E-4</v>
      </c>
      <c r="J409">
        <f t="shared" si="33"/>
        <v>3.6101542462164639E-3</v>
      </c>
      <c r="K409" s="10">
        <f t="shared" si="34"/>
        <v>8.2281845337371173</v>
      </c>
    </row>
    <row r="410" spans="1:11">
      <c r="A410" t="s">
        <v>543</v>
      </c>
      <c r="B410" s="2" t="s">
        <v>227</v>
      </c>
      <c r="C410" s="8" t="e">
        <v>#N/A</v>
      </c>
      <c r="D410" s="10" t="e">
        <v>#N/A</v>
      </c>
      <c r="E410" s="10">
        <v>0.5</v>
      </c>
      <c r="F410" s="11">
        <f>VLOOKUP(B410,Transcriptome!B:L,11,FALSE)</f>
        <v>5.2742616033756105E-4</v>
      </c>
      <c r="G410" s="10">
        <f t="shared" si="30"/>
        <v>2.6371308016878052E-4</v>
      </c>
      <c r="H410">
        <f t="shared" si="31"/>
        <v>0.85150316455697839</v>
      </c>
      <c r="I410" s="10">
        <f t="shared" si="32"/>
        <v>3.0970299482795891E-4</v>
      </c>
      <c r="J410">
        <f t="shared" si="33"/>
        <v>3.6101542462164639E-3</v>
      </c>
      <c r="K410" s="10">
        <f t="shared" si="34"/>
        <v>8.2281845337371173</v>
      </c>
    </row>
    <row r="411" spans="1:11" ht="15">
      <c r="A411" t="s">
        <v>537</v>
      </c>
      <c r="B411" s="1" t="s">
        <v>187</v>
      </c>
      <c r="C411" s="8" t="e">
        <v>#N/A</v>
      </c>
      <c r="D411" s="10" t="e">
        <v>#N/A</v>
      </c>
      <c r="E411" s="10">
        <v>0.5</v>
      </c>
      <c r="F411" s="11">
        <f>VLOOKUP(B411,Transcriptome!B:L,11,FALSE)</f>
        <v>5.0105485232068295E-3</v>
      </c>
      <c r="G411" s="10">
        <f t="shared" si="30"/>
        <v>2.5052742616034148E-3</v>
      </c>
      <c r="H411">
        <f t="shared" si="31"/>
        <v>0.85150316455697839</v>
      </c>
      <c r="I411" s="10">
        <f t="shared" si="32"/>
        <v>2.9421784508656093E-3</v>
      </c>
      <c r="J411">
        <f t="shared" si="33"/>
        <v>2.4740482999029159E-2</v>
      </c>
      <c r="K411" s="10">
        <f t="shared" si="34"/>
        <v>8.2281845337371173</v>
      </c>
    </row>
    <row r="412" spans="1:11" ht="15">
      <c r="A412" t="s">
        <v>537</v>
      </c>
      <c r="B412" s="1" t="s">
        <v>189</v>
      </c>
      <c r="C412" s="8" t="e">
        <v>#N/A</v>
      </c>
      <c r="D412" s="10" t="e">
        <v>#N/A</v>
      </c>
      <c r="E412" s="10">
        <v>0.5</v>
      </c>
      <c r="F412" s="11">
        <f>VLOOKUP(B412,Transcriptome!B:L,11,FALSE)</f>
        <v>5.0105485232068295E-3</v>
      </c>
      <c r="G412" s="10">
        <f t="shared" si="30"/>
        <v>2.5052742616034148E-3</v>
      </c>
      <c r="H412">
        <f t="shared" si="31"/>
        <v>0.85150316455697839</v>
      </c>
      <c r="I412" s="10">
        <f t="shared" si="32"/>
        <v>2.9421784508656093E-3</v>
      </c>
      <c r="J412">
        <f t="shared" si="33"/>
        <v>2.4740482999029159E-2</v>
      </c>
      <c r="K412" s="10">
        <f t="shared" si="34"/>
        <v>8.2281845337371173</v>
      </c>
    </row>
    <row r="413" spans="1:11" ht="15">
      <c r="A413" t="s">
        <v>534</v>
      </c>
      <c r="B413" s="1" t="s">
        <v>80</v>
      </c>
      <c r="C413" s="8" t="e">
        <v>#N/A</v>
      </c>
      <c r="D413" s="10" t="e">
        <v>#N/A</v>
      </c>
      <c r="E413" s="10">
        <v>0.5</v>
      </c>
      <c r="F413" s="11">
        <f>VLOOKUP(B413,Transcriptome!B:L,11,FALSE)</f>
        <v>5.2742616033756105E-4</v>
      </c>
      <c r="G413" s="10">
        <f t="shared" si="30"/>
        <v>2.6371308016878052E-4</v>
      </c>
      <c r="H413">
        <f t="shared" si="31"/>
        <v>0.85150316455697839</v>
      </c>
      <c r="I413" s="10">
        <f t="shared" si="32"/>
        <v>3.0970299482795891E-4</v>
      </c>
      <c r="J413">
        <f t="shared" si="33"/>
        <v>3.6101542462164639E-3</v>
      </c>
      <c r="K413" s="10">
        <f t="shared" si="34"/>
        <v>8.2281845337371173</v>
      </c>
    </row>
    <row r="414" spans="1:11" ht="15">
      <c r="A414" t="s">
        <v>536</v>
      </c>
      <c r="B414" s="1" t="s">
        <v>437</v>
      </c>
      <c r="C414" s="8" t="e">
        <v>#N/A</v>
      </c>
      <c r="D414" s="10" t="e">
        <v>#N/A</v>
      </c>
      <c r="E414" s="10">
        <v>0.5</v>
      </c>
      <c r="F414" s="11">
        <f>VLOOKUP(B414,Transcriptome!B:L,11,FALSE)</f>
        <v>5.2742616033756105E-4</v>
      </c>
      <c r="G414" s="10">
        <f t="shared" si="30"/>
        <v>2.6371308016878052E-4</v>
      </c>
      <c r="H414">
        <f t="shared" si="31"/>
        <v>0.85150316455697839</v>
      </c>
      <c r="I414" s="10">
        <f t="shared" si="32"/>
        <v>3.0970299482795891E-4</v>
      </c>
      <c r="J414">
        <f t="shared" si="33"/>
        <v>3.6101542462164639E-3</v>
      </c>
      <c r="K414" s="10">
        <f t="shared" si="34"/>
        <v>8.2281845337371173</v>
      </c>
    </row>
    <row r="415" spans="1:11" ht="15">
      <c r="A415" t="s">
        <v>539</v>
      </c>
      <c r="B415" s="1" t="s">
        <v>300</v>
      </c>
      <c r="C415" s="8" t="e">
        <v>#N/A</v>
      </c>
      <c r="D415" s="10" t="e">
        <v>#N/A</v>
      </c>
      <c r="E415" s="10">
        <v>0.5</v>
      </c>
      <c r="F415" s="11">
        <f>VLOOKUP(B415,Transcriptome!B:L,11,FALSE)</f>
        <v>5.0105485232068295E-3</v>
      </c>
      <c r="G415" s="10">
        <f t="shared" si="30"/>
        <v>2.5052742616034148E-3</v>
      </c>
      <c r="H415">
        <f t="shared" si="31"/>
        <v>0.85150316455697839</v>
      </c>
      <c r="I415" s="10">
        <f t="shared" si="32"/>
        <v>2.9421784508656093E-3</v>
      </c>
      <c r="J415">
        <f t="shared" si="33"/>
        <v>2.4740482999029159E-2</v>
      </c>
      <c r="K415" s="10">
        <f t="shared" si="34"/>
        <v>8.2281845337371173</v>
      </c>
    </row>
    <row r="416" spans="1:11" ht="15">
      <c r="A416" t="s">
        <v>539</v>
      </c>
      <c r="B416" s="1" t="s">
        <v>301</v>
      </c>
      <c r="C416" s="8" t="e">
        <v>#N/A</v>
      </c>
      <c r="D416" s="10" t="e">
        <v>#N/A</v>
      </c>
      <c r="E416" s="10">
        <v>0.5</v>
      </c>
      <c r="F416" s="11">
        <f>VLOOKUP(B416,Transcriptome!B:L,11,FALSE)</f>
        <v>5.2742616033756105E-4</v>
      </c>
      <c r="G416" s="10">
        <f t="shared" si="30"/>
        <v>2.6371308016878052E-4</v>
      </c>
      <c r="H416">
        <f t="shared" si="31"/>
        <v>0.85150316455697839</v>
      </c>
      <c r="I416" s="10">
        <f t="shared" si="32"/>
        <v>3.0970299482795891E-4</v>
      </c>
      <c r="J416">
        <f t="shared" si="33"/>
        <v>3.6101542462164639E-3</v>
      </c>
      <c r="K416" s="10">
        <f t="shared" si="34"/>
        <v>8.2281845337371173</v>
      </c>
    </row>
    <row r="417" spans="1:11" ht="15">
      <c r="A417" t="s">
        <v>539</v>
      </c>
      <c r="B417" s="1" t="s">
        <v>302</v>
      </c>
      <c r="C417" s="8" t="e">
        <v>#N/A</v>
      </c>
      <c r="D417" s="10" t="e">
        <v>#N/A</v>
      </c>
      <c r="E417" s="10">
        <v>0.5</v>
      </c>
      <c r="F417" s="11">
        <f>VLOOKUP(B417,Transcriptome!B:L,11,FALSE)</f>
        <v>5.2742616033756105E-4</v>
      </c>
      <c r="G417" s="10">
        <f t="shared" si="30"/>
        <v>2.6371308016878052E-4</v>
      </c>
      <c r="H417">
        <f t="shared" si="31"/>
        <v>0.85150316455697839</v>
      </c>
      <c r="I417" s="10">
        <f t="shared" si="32"/>
        <v>3.0970299482795891E-4</v>
      </c>
      <c r="J417">
        <f t="shared" si="33"/>
        <v>3.6101542462164639E-3</v>
      </c>
      <c r="K417" s="10">
        <f t="shared" si="34"/>
        <v>8.2281845337371173</v>
      </c>
    </row>
    <row r="418" spans="1:11" ht="15">
      <c r="A418" t="s">
        <v>539</v>
      </c>
      <c r="B418" s="1" t="s">
        <v>305</v>
      </c>
      <c r="C418" s="8" t="e">
        <v>#N/A</v>
      </c>
      <c r="D418" s="10" t="e">
        <v>#N/A</v>
      </c>
      <c r="E418" s="10">
        <v>0.5</v>
      </c>
      <c r="F418" s="11">
        <f>VLOOKUP(B418,Transcriptome!B:L,11,FALSE)</f>
        <v>5.2742616033756105E-4</v>
      </c>
      <c r="G418" s="10">
        <f t="shared" si="30"/>
        <v>2.6371308016878052E-4</v>
      </c>
      <c r="H418">
        <f t="shared" si="31"/>
        <v>0.85150316455697839</v>
      </c>
      <c r="I418" s="10">
        <f t="shared" si="32"/>
        <v>3.0970299482795891E-4</v>
      </c>
      <c r="J418">
        <f t="shared" si="33"/>
        <v>3.6101542462164639E-3</v>
      </c>
      <c r="K418" s="10">
        <f t="shared" si="34"/>
        <v>8.2281845337371173</v>
      </c>
    </row>
    <row r="419" spans="1:11" ht="15">
      <c r="A419" t="s">
        <v>524</v>
      </c>
      <c r="B419" s="1" t="s">
        <v>16</v>
      </c>
      <c r="C419" s="8" t="e">
        <v>#N/A</v>
      </c>
      <c r="D419" s="10" t="e">
        <v>#N/A</v>
      </c>
      <c r="E419" s="10">
        <v>0.5</v>
      </c>
      <c r="F419" s="11">
        <f>VLOOKUP(B419,Transcriptome!B:L,11,FALSE)</f>
        <v>5.2742616033756105E-4</v>
      </c>
      <c r="G419" s="10">
        <f t="shared" si="30"/>
        <v>2.6371308016878052E-4</v>
      </c>
      <c r="H419">
        <f t="shared" si="31"/>
        <v>0.85150316455697839</v>
      </c>
      <c r="I419" s="10">
        <f t="shared" si="32"/>
        <v>3.0970299482795891E-4</v>
      </c>
      <c r="J419">
        <f t="shared" si="33"/>
        <v>3.6101542462164639E-3</v>
      </c>
      <c r="K419" s="10">
        <f t="shared" si="34"/>
        <v>8.2281845337371173</v>
      </c>
    </row>
    <row r="420" spans="1:11" ht="15">
      <c r="A420" t="s">
        <v>535</v>
      </c>
      <c r="B420" s="1" t="s">
        <v>374</v>
      </c>
      <c r="C420" s="8" t="e">
        <v>#N/A</v>
      </c>
      <c r="D420" s="10" t="e">
        <v>#N/A</v>
      </c>
      <c r="E420" s="10">
        <v>0.5</v>
      </c>
      <c r="F420" s="11">
        <f>VLOOKUP(B420,Transcriptome!B:L,11,FALSE)</f>
        <v>5.2742616033756105E-4</v>
      </c>
      <c r="G420" s="10">
        <f t="shared" si="30"/>
        <v>2.6371308016878052E-4</v>
      </c>
      <c r="H420">
        <f t="shared" si="31"/>
        <v>0.85150316455697839</v>
      </c>
      <c r="I420" s="10">
        <f t="shared" si="32"/>
        <v>3.0970299482795891E-4</v>
      </c>
      <c r="J420">
        <f t="shared" si="33"/>
        <v>3.6101542462164639E-3</v>
      </c>
      <c r="K420" s="10">
        <f t="shared" si="34"/>
        <v>8.2281845337371173</v>
      </c>
    </row>
    <row r="421" spans="1:11" ht="15">
      <c r="A421" t="s">
        <v>540</v>
      </c>
      <c r="B421" s="1" t="s">
        <v>235</v>
      </c>
      <c r="C421" s="8" t="e">
        <v>#N/A</v>
      </c>
      <c r="D421" s="10" t="e">
        <v>#N/A</v>
      </c>
      <c r="E421" s="10">
        <v>0.5</v>
      </c>
      <c r="F421" s="11">
        <f>VLOOKUP(B421,Transcriptome!B:L,11,FALSE)</f>
        <v>5.2742616033756105E-4</v>
      </c>
      <c r="G421" s="10">
        <f t="shared" si="30"/>
        <v>2.6371308016878052E-4</v>
      </c>
      <c r="H421">
        <f t="shared" si="31"/>
        <v>0.85150316455697839</v>
      </c>
      <c r="I421" s="10">
        <f t="shared" si="32"/>
        <v>3.0970299482795891E-4</v>
      </c>
      <c r="J421">
        <f t="shared" si="33"/>
        <v>3.6101542462164639E-3</v>
      </c>
      <c r="K421" s="10">
        <f t="shared" si="34"/>
        <v>8.2281845337371173</v>
      </c>
    </row>
    <row r="422" spans="1:11" ht="15">
      <c r="A422" t="s">
        <v>540</v>
      </c>
      <c r="B422" s="1" t="s">
        <v>240</v>
      </c>
      <c r="C422" s="8" t="e">
        <v>#N/A</v>
      </c>
      <c r="D422" s="10" t="e">
        <v>#N/A</v>
      </c>
      <c r="E422" s="10">
        <v>0.5</v>
      </c>
      <c r="F422" s="11">
        <f>VLOOKUP(B422,Transcriptome!B:L,11,FALSE)</f>
        <v>3.6919831223629265E-3</v>
      </c>
      <c r="G422" s="10">
        <f t="shared" si="30"/>
        <v>1.8459915611814632E-3</v>
      </c>
      <c r="H422">
        <f t="shared" si="31"/>
        <v>0.85150316455697839</v>
      </c>
      <c r="I422" s="10">
        <f t="shared" si="32"/>
        <v>2.1679209637957119E-3</v>
      </c>
      <c r="J422">
        <f t="shared" si="33"/>
        <v>1.9184956135171485E-2</v>
      </c>
      <c r="K422" s="10">
        <f t="shared" si="34"/>
        <v>8.2281845337371173</v>
      </c>
    </row>
    <row r="423" spans="1:11" ht="15">
      <c r="A423" t="s">
        <v>540</v>
      </c>
      <c r="B423" s="1" t="s">
        <v>241</v>
      </c>
      <c r="C423" s="8" t="e">
        <v>#N/A</v>
      </c>
      <c r="D423" s="10" t="e">
        <v>#N/A</v>
      </c>
      <c r="E423" s="10">
        <v>0.5</v>
      </c>
      <c r="F423" s="11">
        <f>VLOOKUP(B423,Transcriptome!B:L,11,FALSE)</f>
        <v>5.2742616033756105E-4</v>
      </c>
      <c r="G423" s="10">
        <f t="shared" si="30"/>
        <v>2.6371308016878052E-4</v>
      </c>
      <c r="H423">
        <f t="shared" si="31"/>
        <v>0.85150316455697839</v>
      </c>
      <c r="I423" s="10">
        <f t="shared" si="32"/>
        <v>3.0970299482795891E-4</v>
      </c>
      <c r="J423">
        <f t="shared" si="33"/>
        <v>3.6101542462164639E-3</v>
      </c>
      <c r="K423" s="10">
        <f t="shared" si="34"/>
        <v>8.2281845337371173</v>
      </c>
    </row>
    <row r="424" spans="1:11" ht="15">
      <c r="A424" t="s">
        <v>540</v>
      </c>
      <c r="B424" s="1" t="s">
        <v>244</v>
      </c>
      <c r="C424" s="8" t="e">
        <v>#N/A</v>
      </c>
      <c r="D424" s="10" t="e">
        <v>#N/A</v>
      </c>
      <c r="E424" s="10">
        <v>0.5</v>
      </c>
      <c r="F424" s="11">
        <f>VLOOKUP(B424,Transcriptome!B:L,11,FALSE)</f>
        <v>5.2742616033756105E-4</v>
      </c>
      <c r="G424" s="10">
        <f t="shared" si="30"/>
        <v>2.6371308016878052E-4</v>
      </c>
      <c r="H424">
        <f t="shared" si="31"/>
        <v>0.85150316455697839</v>
      </c>
      <c r="I424" s="10">
        <f t="shared" si="32"/>
        <v>3.0970299482795891E-4</v>
      </c>
      <c r="J424">
        <f t="shared" si="33"/>
        <v>3.6101542462164639E-3</v>
      </c>
      <c r="K424" s="10">
        <f t="shared" si="34"/>
        <v>8.2281845337371173</v>
      </c>
    </row>
    <row r="425" spans="1:11" ht="15">
      <c r="A425" t="s">
        <v>540</v>
      </c>
      <c r="B425" s="1" t="s">
        <v>249</v>
      </c>
      <c r="C425" s="8" t="e">
        <v>#N/A</v>
      </c>
      <c r="D425" s="10" t="e">
        <v>#N/A</v>
      </c>
      <c r="E425" s="10">
        <v>0.5</v>
      </c>
      <c r="F425" s="11">
        <f>VLOOKUP(B425,Transcriptome!B:L,11,FALSE)</f>
        <v>5.2742616033756105E-4</v>
      </c>
      <c r="G425" s="10">
        <f t="shared" si="30"/>
        <v>2.6371308016878052E-4</v>
      </c>
      <c r="H425">
        <f t="shared" si="31"/>
        <v>0.85150316455697839</v>
      </c>
      <c r="I425" s="10">
        <f t="shared" si="32"/>
        <v>3.0970299482795891E-4</v>
      </c>
      <c r="J425">
        <f t="shared" si="33"/>
        <v>3.6101542462164639E-3</v>
      </c>
      <c r="K425" s="10">
        <f t="shared" si="34"/>
        <v>8.2281845337371173</v>
      </c>
    </row>
    <row r="426" spans="1:11" ht="15">
      <c r="A426" t="s">
        <v>524</v>
      </c>
      <c r="B426" s="1" t="s">
        <v>17</v>
      </c>
      <c r="C426" s="8" t="e">
        <v>#N/A</v>
      </c>
      <c r="D426" s="10" t="e">
        <v>#N/A</v>
      </c>
      <c r="E426" s="10">
        <v>0.5</v>
      </c>
      <c r="F426" s="11">
        <f>VLOOKUP(B426,Transcriptome!B:L,11,FALSE)</f>
        <v>5.2742616033756105E-4</v>
      </c>
      <c r="G426" s="10">
        <f t="shared" si="30"/>
        <v>2.6371308016878052E-4</v>
      </c>
      <c r="H426">
        <f t="shared" si="31"/>
        <v>0.85150316455697839</v>
      </c>
      <c r="I426" s="10">
        <f t="shared" si="32"/>
        <v>3.0970299482795891E-4</v>
      </c>
      <c r="J426">
        <f t="shared" si="33"/>
        <v>3.6101542462164639E-3</v>
      </c>
      <c r="K426" s="10">
        <f t="shared" si="34"/>
        <v>8.2281845337371173</v>
      </c>
    </row>
    <row r="427" spans="1:11" ht="15">
      <c r="A427" t="s">
        <v>524</v>
      </c>
      <c r="B427" s="1" t="s">
        <v>18</v>
      </c>
      <c r="C427" s="8" t="e">
        <v>#N/A</v>
      </c>
      <c r="D427" s="10" t="e">
        <v>#N/A</v>
      </c>
      <c r="E427" s="10">
        <v>0.5</v>
      </c>
      <c r="F427" s="11">
        <f>VLOOKUP(B427,Transcriptome!B:L,11,FALSE)</f>
        <v>5.0105485232068295E-3</v>
      </c>
      <c r="G427" s="10">
        <f t="shared" si="30"/>
        <v>2.5052742616034148E-3</v>
      </c>
      <c r="H427">
        <f t="shared" si="31"/>
        <v>0.85150316455697839</v>
      </c>
      <c r="I427" s="10">
        <f t="shared" si="32"/>
        <v>2.9421784508656093E-3</v>
      </c>
      <c r="J427">
        <f t="shared" si="33"/>
        <v>2.4740482999029159E-2</v>
      </c>
      <c r="K427" s="10">
        <f t="shared" si="34"/>
        <v>8.2281845337371173</v>
      </c>
    </row>
    <row r="428" spans="1:11" ht="15">
      <c r="A428" t="s">
        <v>524</v>
      </c>
      <c r="B428" s="1" t="s">
        <v>20</v>
      </c>
      <c r="C428" s="8" t="e">
        <v>#N/A</v>
      </c>
      <c r="D428" s="10" t="e">
        <v>#N/A</v>
      </c>
      <c r="E428" s="10">
        <v>0.5</v>
      </c>
      <c r="F428" s="11">
        <f>VLOOKUP(B428,Transcriptome!B:L,11,FALSE)</f>
        <v>5.2742616033756105E-4</v>
      </c>
      <c r="G428" s="10">
        <f t="shared" si="30"/>
        <v>2.6371308016878052E-4</v>
      </c>
      <c r="H428">
        <f t="shared" si="31"/>
        <v>0.85150316455697839</v>
      </c>
      <c r="I428" s="10">
        <f t="shared" si="32"/>
        <v>3.0970299482795891E-4</v>
      </c>
      <c r="J428">
        <f t="shared" si="33"/>
        <v>3.6101542462164639E-3</v>
      </c>
      <c r="K428" s="10">
        <f t="shared" si="34"/>
        <v>8.2281845337371173</v>
      </c>
    </row>
    <row r="429" spans="1:11" ht="15">
      <c r="A429" t="s">
        <v>534</v>
      </c>
      <c r="B429" s="1" t="s">
        <v>90</v>
      </c>
      <c r="C429" s="8" t="e">
        <v>#N/A</v>
      </c>
      <c r="D429" s="10" t="e">
        <v>#N/A</v>
      </c>
      <c r="E429" s="10">
        <v>0.5</v>
      </c>
      <c r="F429" s="11">
        <f>VLOOKUP(B429,Transcriptome!B:L,11,FALSE)</f>
        <v>5.2742616033756105E-4</v>
      </c>
      <c r="G429" s="10">
        <f t="shared" si="30"/>
        <v>2.6371308016878052E-4</v>
      </c>
      <c r="H429">
        <f t="shared" si="31"/>
        <v>0.85150316455697839</v>
      </c>
      <c r="I429" s="10">
        <f t="shared" si="32"/>
        <v>3.0970299482795891E-4</v>
      </c>
      <c r="J429">
        <f t="shared" si="33"/>
        <v>3.6101542462164639E-3</v>
      </c>
      <c r="K429" s="10">
        <f t="shared" si="34"/>
        <v>8.2281845337371173</v>
      </c>
    </row>
    <row r="430" spans="1:11" ht="15">
      <c r="A430" t="s">
        <v>540</v>
      </c>
      <c r="B430" s="1" t="s">
        <v>259</v>
      </c>
      <c r="C430" s="8" t="e">
        <v>#N/A</v>
      </c>
      <c r="D430" s="10" t="e">
        <v>#N/A</v>
      </c>
      <c r="E430" s="10">
        <v>0.5</v>
      </c>
      <c r="F430" s="11">
        <f>VLOOKUP(B430,Transcriptome!B:L,11,FALSE)</f>
        <v>5.2742616033756105E-4</v>
      </c>
      <c r="G430" s="10">
        <f t="shared" si="30"/>
        <v>2.6371308016878052E-4</v>
      </c>
      <c r="H430">
        <f t="shared" si="31"/>
        <v>0.85150316455697839</v>
      </c>
      <c r="I430" s="10">
        <f t="shared" si="32"/>
        <v>3.0970299482795891E-4</v>
      </c>
      <c r="J430">
        <f t="shared" si="33"/>
        <v>3.6101542462164639E-3</v>
      </c>
      <c r="K430" s="10">
        <f t="shared" si="34"/>
        <v>8.2281845337371173</v>
      </c>
    </row>
    <row r="431" spans="1:11" ht="15">
      <c r="A431" t="s">
        <v>540</v>
      </c>
      <c r="B431" s="1" t="s">
        <v>260</v>
      </c>
      <c r="C431" s="8" t="e">
        <v>#N/A</v>
      </c>
      <c r="D431" s="10" t="e">
        <v>#N/A</v>
      </c>
      <c r="E431" s="10">
        <v>0.5</v>
      </c>
      <c r="F431" s="11">
        <f>VLOOKUP(B431,Transcriptome!B:L,11,FALSE)</f>
        <v>5.2742616033756105E-4</v>
      </c>
      <c r="G431" s="10">
        <f t="shared" si="30"/>
        <v>2.6371308016878052E-4</v>
      </c>
      <c r="H431">
        <f t="shared" si="31"/>
        <v>0.85150316455697839</v>
      </c>
      <c r="I431" s="10">
        <f t="shared" si="32"/>
        <v>3.0970299482795891E-4</v>
      </c>
      <c r="J431">
        <f t="shared" si="33"/>
        <v>3.6101542462164639E-3</v>
      </c>
      <c r="K431" s="10">
        <f t="shared" si="34"/>
        <v>8.2281845337371173</v>
      </c>
    </row>
    <row r="432" spans="1:11" ht="15">
      <c r="A432" t="s">
        <v>537</v>
      </c>
      <c r="B432" s="1" t="s">
        <v>206</v>
      </c>
      <c r="C432" s="8" t="e">
        <v>#N/A</v>
      </c>
      <c r="D432" s="10" t="e">
        <v>#N/A</v>
      </c>
      <c r="E432" s="10">
        <v>0.5</v>
      </c>
      <c r="F432" s="11">
        <f>VLOOKUP(B432,Transcriptome!B:L,11,FALSE)</f>
        <v>5.2742616033756105E-4</v>
      </c>
      <c r="G432" s="10">
        <f t="shared" si="30"/>
        <v>2.6371308016878052E-4</v>
      </c>
      <c r="H432">
        <f t="shared" si="31"/>
        <v>0.85150316455697839</v>
      </c>
      <c r="I432" s="10">
        <f t="shared" si="32"/>
        <v>3.0970299482795891E-4</v>
      </c>
      <c r="J432">
        <f t="shared" si="33"/>
        <v>3.6101542462164639E-3</v>
      </c>
      <c r="K432" s="10">
        <f t="shared" si="34"/>
        <v>8.2281845337371173</v>
      </c>
    </row>
    <row r="433" spans="1:11" ht="15">
      <c r="A433" t="s">
        <v>536</v>
      </c>
      <c r="B433" s="1" t="s">
        <v>439</v>
      </c>
      <c r="C433" s="8" t="e">
        <v>#N/A</v>
      </c>
      <c r="D433" s="10" t="e">
        <v>#N/A</v>
      </c>
      <c r="E433" s="10">
        <v>0.5</v>
      </c>
      <c r="F433" s="11">
        <f>VLOOKUP(B433,Transcriptome!B:L,11,FALSE)</f>
        <v>5.2742616033756105E-4</v>
      </c>
      <c r="G433" s="10">
        <f t="shared" si="30"/>
        <v>2.6371308016878052E-4</v>
      </c>
      <c r="H433">
        <f t="shared" si="31"/>
        <v>0.85150316455697839</v>
      </c>
      <c r="I433" s="10">
        <f t="shared" si="32"/>
        <v>3.0970299482795891E-4</v>
      </c>
      <c r="J433">
        <f t="shared" si="33"/>
        <v>3.6101542462164639E-3</v>
      </c>
      <c r="K433" s="10">
        <f t="shared" si="34"/>
        <v>8.2281845337371173</v>
      </c>
    </row>
    <row r="434" spans="1:11" ht="15">
      <c r="A434" t="s">
        <v>540</v>
      </c>
      <c r="B434" s="1" t="s">
        <v>261</v>
      </c>
      <c r="C434" s="8" t="e">
        <v>#N/A</v>
      </c>
      <c r="D434" s="10" t="e">
        <v>#N/A</v>
      </c>
      <c r="E434" s="10">
        <v>0.5</v>
      </c>
      <c r="F434" s="11">
        <f>VLOOKUP(B434,Transcriptome!B:L,11,FALSE)</f>
        <v>5.2742616033756105E-4</v>
      </c>
      <c r="G434" s="10">
        <f t="shared" si="30"/>
        <v>2.6371308016878052E-4</v>
      </c>
      <c r="H434">
        <f t="shared" si="31"/>
        <v>0.85150316455697839</v>
      </c>
      <c r="I434" s="10">
        <f t="shared" si="32"/>
        <v>3.0970299482795891E-4</v>
      </c>
      <c r="J434">
        <f t="shared" si="33"/>
        <v>3.6101542462164639E-3</v>
      </c>
      <c r="K434" s="10">
        <f t="shared" si="34"/>
        <v>8.2281845337371173</v>
      </c>
    </row>
    <row r="435" spans="1:11" ht="15">
      <c r="A435" t="s">
        <v>541</v>
      </c>
      <c r="B435" s="1" t="s">
        <v>215</v>
      </c>
      <c r="C435" s="8" t="e">
        <v>#N/A</v>
      </c>
      <c r="D435" s="10" t="e">
        <v>#N/A</v>
      </c>
      <c r="E435" s="10">
        <v>0.5</v>
      </c>
      <c r="F435" s="11">
        <f>VLOOKUP(B435,Transcriptome!B:L,11,FALSE)</f>
        <v>5.0105485232068295E-3</v>
      </c>
      <c r="G435" s="10">
        <f t="shared" si="30"/>
        <v>2.5052742616034148E-3</v>
      </c>
      <c r="H435">
        <f t="shared" si="31"/>
        <v>0.85150316455697839</v>
      </c>
      <c r="I435" s="10">
        <f t="shared" si="32"/>
        <v>2.9421784508656093E-3</v>
      </c>
      <c r="J435">
        <f t="shared" si="33"/>
        <v>2.4740482999029159E-2</v>
      </c>
      <c r="K435" s="10">
        <f t="shared" si="34"/>
        <v>8.2281845337371173</v>
      </c>
    </row>
    <row r="436" spans="1:11" ht="15">
      <c r="A436" t="s">
        <v>541</v>
      </c>
      <c r="B436" s="1" t="s">
        <v>216</v>
      </c>
      <c r="C436" s="8" t="e">
        <v>#N/A</v>
      </c>
      <c r="D436" s="10" t="e">
        <v>#N/A</v>
      </c>
      <c r="E436" s="10">
        <v>0.5</v>
      </c>
      <c r="F436" s="11">
        <f>VLOOKUP(B436,Transcriptome!B:L,11,FALSE)</f>
        <v>5.2742616033756105E-4</v>
      </c>
      <c r="G436" s="10">
        <f t="shared" si="30"/>
        <v>2.6371308016878052E-4</v>
      </c>
      <c r="H436">
        <f t="shared" si="31"/>
        <v>0.85150316455697839</v>
      </c>
      <c r="I436" s="10">
        <f t="shared" si="32"/>
        <v>3.0970299482795891E-4</v>
      </c>
      <c r="J436">
        <f t="shared" si="33"/>
        <v>3.6101542462164639E-3</v>
      </c>
      <c r="K436" s="10">
        <f t="shared" si="34"/>
        <v>8.2281845337371173</v>
      </c>
    </row>
    <row r="437" spans="1:11" ht="15">
      <c r="A437" t="s">
        <v>541</v>
      </c>
      <c r="B437" s="1" t="s">
        <v>221</v>
      </c>
      <c r="C437" s="8" t="e">
        <v>#N/A</v>
      </c>
      <c r="D437" s="10" t="e">
        <v>#N/A</v>
      </c>
      <c r="E437" s="10">
        <v>0.5</v>
      </c>
      <c r="F437" s="11">
        <f>VLOOKUP(B437,Transcriptome!B:L,11,FALSE)</f>
        <v>5.2742616033756105E-4</v>
      </c>
      <c r="G437" s="10">
        <f t="shared" si="30"/>
        <v>2.6371308016878052E-4</v>
      </c>
      <c r="H437">
        <f t="shared" si="31"/>
        <v>0.85150316455697839</v>
      </c>
      <c r="I437" s="10">
        <f t="shared" si="32"/>
        <v>3.0970299482795891E-4</v>
      </c>
      <c r="J437">
        <f t="shared" si="33"/>
        <v>3.6101542462164639E-3</v>
      </c>
      <c r="K437" s="10">
        <f t="shared" si="34"/>
        <v>8.2281845337371173</v>
      </c>
    </row>
    <row r="438" spans="1:11" ht="15">
      <c r="A438" t="s">
        <v>534</v>
      </c>
      <c r="B438" s="1" t="s">
        <v>96</v>
      </c>
      <c r="C438" s="8" t="e">
        <v>#N/A</v>
      </c>
      <c r="D438" s="10" t="e">
        <v>#N/A</v>
      </c>
      <c r="E438" s="10">
        <v>0.5</v>
      </c>
      <c r="F438" s="11">
        <f>VLOOKUP(B438,Transcriptome!B:L,11,FALSE)</f>
        <v>5.2742616033756105E-4</v>
      </c>
      <c r="G438" s="10">
        <f t="shared" si="30"/>
        <v>2.6371308016878052E-4</v>
      </c>
      <c r="H438">
        <f t="shared" si="31"/>
        <v>0.85150316455697839</v>
      </c>
      <c r="I438" s="10">
        <f t="shared" si="32"/>
        <v>3.0970299482795891E-4</v>
      </c>
      <c r="J438">
        <f t="shared" si="33"/>
        <v>3.6101542462164639E-3</v>
      </c>
      <c r="K438" s="10">
        <f t="shared" si="34"/>
        <v>8.2281845337371173</v>
      </c>
    </row>
    <row r="439" spans="1:11" ht="15">
      <c r="A439" t="s">
        <v>543</v>
      </c>
      <c r="B439" s="1" t="s">
        <v>229</v>
      </c>
      <c r="C439" s="8" t="e">
        <v>#N/A</v>
      </c>
      <c r="D439" s="10" t="e">
        <v>#N/A</v>
      </c>
      <c r="E439" s="10">
        <v>0.5</v>
      </c>
      <c r="F439" s="11">
        <f>VLOOKUP(B439,Transcriptome!B:L,11,FALSE)</f>
        <v>5.2742616033756105E-4</v>
      </c>
      <c r="G439" s="10">
        <f t="shared" si="30"/>
        <v>2.6371308016878052E-4</v>
      </c>
      <c r="H439">
        <f t="shared" si="31"/>
        <v>0.85150316455697839</v>
      </c>
      <c r="I439" s="10">
        <f t="shared" si="32"/>
        <v>3.0970299482795891E-4</v>
      </c>
      <c r="J439">
        <f t="shared" si="33"/>
        <v>3.6101542462164639E-3</v>
      </c>
      <c r="K439" s="10">
        <f t="shared" si="34"/>
        <v>8.2281845337371173</v>
      </c>
    </row>
    <row r="440" spans="1:11" ht="15">
      <c r="A440" t="s">
        <v>535</v>
      </c>
      <c r="B440" s="1" t="s">
        <v>382</v>
      </c>
      <c r="C440" s="8" t="e">
        <v>#N/A</v>
      </c>
      <c r="D440" s="10" t="e">
        <v>#N/A</v>
      </c>
      <c r="E440" s="10">
        <v>0.5</v>
      </c>
      <c r="F440" s="11">
        <f>VLOOKUP(B440,Transcriptome!B:L,11,FALSE)</f>
        <v>5.2742616033756105E-4</v>
      </c>
      <c r="G440" s="10">
        <f t="shared" si="30"/>
        <v>2.6371308016878052E-4</v>
      </c>
      <c r="H440">
        <f t="shared" si="31"/>
        <v>0.85150316455697839</v>
      </c>
      <c r="I440" s="10">
        <f t="shared" si="32"/>
        <v>3.0970299482795891E-4</v>
      </c>
      <c r="J440">
        <f t="shared" si="33"/>
        <v>3.6101542462164639E-3</v>
      </c>
      <c r="K440" s="10">
        <f t="shared" si="34"/>
        <v>8.2281845337371173</v>
      </c>
    </row>
    <row r="441" spans="1:11" ht="15">
      <c r="A441" t="s">
        <v>535</v>
      </c>
      <c r="B441" s="1" t="s">
        <v>383</v>
      </c>
      <c r="C441" s="8" t="e">
        <v>#N/A</v>
      </c>
      <c r="D441" s="10" t="e">
        <v>#N/A</v>
      </c>
      <c r="E441" s="10">
        <v>0.5</v>
      </c>
      <c r="F441" s="11">
        <f>VLOOKUP(B441,Transcriptome!B:L,11,FALSE)</f>
        <v>5.2742616033756105E-4</v>
      </c>
      <c r="G441" s="10">
        <f t="shared" si="30"/>
        <v>2.6371308016878052E-4</v>
      </c>
      <c r="H441">
        <f t="shared" si="31"/>
        <v>0.85150316455697839</v>
      </c>
      <c r="I441" s="10">
        <f t="shared" si="32"/>
        <v>3.0970299482795891E-4</v>
      </c>
      <c r="J441">
        <f t="shared" si="33"/>
        <v>3.6101542462164639E-3</v>
      </c>
      <c r="K441" s="10">
        <f t="shared" si="34"/>
        <v>8.2281845337371173</v>
      </c>
    </row>
    <row r="442" spans="1:11" ht="15">
      <c r="A442" t="s">
        <v>535</v>
      </c>
      <c r="B442" s="1" t="s">
        <v>384</v>
      </c>
      <c r="C442" s="8" t="e">
        <v>#N/A</v>
      </c>
      <c r="D442" s="10" t="e">
        <v>#N/A</v>
      </c>
      <c r="E442" s="10">
        <v>0.5</v>
      </c>
      <c r="F442" s="11">
        <f>VLOOKUP(B442,Transcriptome!B:L,11,FALSE)</f>
        <v>5.2742616033756105E-4</v>
      </c>
      <c r="G442" s="10">
        <f t="shared" si="30"/>
        <v>2.6371308016878052E-4</v>
      </c>
      <c r="H442">
        <f t="shared" si="31"/>
        <v>0.85150316455697839</v>
      </c>
      <c r="I442" s="10">
        <f t="shared" si="32"/>
        <v>3.0970299482795891E-4</v>
      </c>
      <c r="J442">
        <f t="shared" si="33"/>
        <v>3.6101542462164639E-3</v>
      </c>
      <c r="K442" s="10">
        <f t="shared" si="34"/>
        <v>8.2281845337371173</v>
      </c>
    </row>
    <row r="443" spans="1:11" ht="15">
      <c r="A443" t="s">
        <v>534</v>
      </c>
      <c r="B443" s="1" t="s">
        <v>99</v>
      </c>
      <c r="C443" s="8" t="e">
        <v>#N/A</v>
      </c>
      <c r="D443" s="10" t="e">
        <v>#N/A</v>
      </c>
      <c r="E443" s="10">
        <v>0.5</v>
      </c>
      <c r="F443" s="11">
        <f>VLOOKUP(B443,Transcriptome!B:L,11,FALSE)</f>
        <v>5.2742616033756105E-4</v>
      </c>
      <c r="G443" s="10">
        <f t="shared" si="30"/>
        <v>2.6371308016878052E-4</v>
      </c>
      <c r="H443">
        <f t="shared" si="31"/>
        <v>0.85150316455697839</v>
      </c>
      <c r="I443" s="10">
        <f t="shared" si="32"/>
        <v>3.0970299482795891E-4</v>
      </c>
      <c r="J443">
        <f t="shared" si="33"/>
        <v>3.6101542462164639E-3</v>
      </c>
      <c r="K443" s="10">
        <f t="shared" si="34"/>
        <v>8.2281845337371173</v>
      </c>
    </row>
    <row r="444" spans="1:11" ht="15">
      <c r="A444" t="s">
        <v>540</v>
      </c>
      <c r="B444" s="1" t="s">
        <v>271</v>
      </c>
      <c r="C444" s="8" t="e">
        <v>#N/A</v>
      </c>
      <c r="D444" s="10" t="e">
        <v>#N/A</v>
      </c>
      <c r="E444" s="10">
        <v>0.5</v>
      </c>
      <c r="F444" s="11">
        <f>VLOOKUP(B444,Transcriptome!B:L,11,FALSE)</f>
        <v>5.2742616033756105E-4</v>
      </c>
      <c r="G444" s="10">
        <f t="shared" si="30"/>
        <v>2.6371308016878052E-4</v>
      </c>
      <c r="H444">
        <f t="shared" si="31"/>
        <v>0.85150316455697839</v>
      </c>
      <c r="I444" s="10">
        <f t="shared" si="32"/>
        <v>3.0970299482795891E-4</v>
      </c>
      <c r="J444">
        <f t="shared" si="33"/>
        <v>3.6101542462164639E-3</v>
      </c>
      <c r="K444" s="10">
        <f t="shared" si="34"/>
        <v>8.2281845337371173</v>
      </c>
    </row>
    <row r="445" spans="1:11" ht="15">
      <c r="A445" t="s">
        <v>536</v>
      </c>
      <c r="B445" s="1" t="s">
        <v>443</v>
      </c>
      <c r="C445" s="8" t="e">
        <v>#N/A</v>
      </c>
      <c r="D445" s="10" t="e">
        <v>#N/A</v>
      </c>
      <c r="E445" s="10">
        <v>0.5</v>
      </c>
      <c r="F445" s="11">
        <f>VLOOKUP(B445,Transcriptome!B:L,11,FALSE)</f>
        <v>5.0105485232068295E-3</v>
      </c>
      <c r="G445" s="10">
        <f t="shared" si="30"/>
        <v>2.5052742616034148E-3</v>
      </c>
      <c r="H445">
        <f t="shared" si="31"/>
        <v>0.85150316455697839</v>
      </c>
      <c r="I445" s="10">
        <f t="shared" si="32"/>
        <v>2.9421784508656093E-3</v>
      </c>
      <c r="J445">
        <f t="shared" si="33"/>
        <v>2.4740482999029159E-2</v>
      </c>
      <c r="K445" s="10">
        <f t="shared" si="34"/>
        <v>8.2281845337371173</v>
      </c>
    </row>
    <row r="446" spans="1:11" ht="15">
      <c r="A446" t="s">
        <v>524</v>
      </c>
      <c r="B446" s="1" t="s">
        <v>23</v>
      </c>
      <c r="C446" s="8" t="e">
        <v>#N/A</v>
      </c>
      <c r="D446" s="10" t="e">
        <v>#N/A</v>
      </c>
      <c r="E446" s="10">
        <v>0.5</v>
      </c>
      <c r="F446" s="11">
        <f>VLOOKUP(B446,Transcriptome!B:L,11,FALSE)</f>
        <v>5.2742616033756105E-4</v>
      </c>
      <c r="G446" s="10">
        <f t="shared" si="30"/>
        <v>2.6371308016878052E-4</v>
      </c>
      <c r="H446">
        <f t="shared" si="31"/>
        <v>0.85150316455697839</v>
      </c>
      <c r="I446" s="10">
        <f t="shared" si="32"/>
        <v>3.0970299482795891E-4</v>
      </c>
      <c r="J446">
        <f t="shared" si="33"/>
        <v>3.6101542462164639E-3</v>
      </c>
      <c r="K446" s="10">
        <f t="shared" si="34"/>
        <v>8.2281845337371173</v>
      </c>
    </row>
    <row r="447" spans="1:11" ht="15">
      <c r="A447" t="s">
        <v>536</v>
      </c>
      <c r="B447" s="1" t="s">
        <v>444</v>
      </c>
      <c r="C447" s="8" t="e">
        <v>#N/A</v>
      </c>
      <c r="D447" s="10" t="e">
        <v>#N/A</v>
      </c>
      <c r="E447" s="10">
        <v>0.5</v>
      </c>
      <c r="F447" s="11">
        <f>VLOOKUP(B447,Transcriptome!B:L,11,FALSE)</f>
        <v>5.2742616033756105E-4</v>
      </c>
      <c r="G447" s="10">
        <f t="shared" si="30"/>
        <v>2.6371308016878052E-4</v>
      </c>
      <c r="H447">
        <f t="shared" si="31"/>
        <v>0.85150316455697839</v>
      </c>
      <c r="I447" s="10">
        <f t="shared" si="32"/>
        <v>3.0970299482795891E-4</v>
      </c>
      <c r="J447">
        <f t="shared" si="33"/>
        <v>3.6101542462164639E-3</v>
      </c>
      <c r="K447" s="10">
        <f t="shared" si="34"/>
        <v>8.2281845337371173</v>
      </c>
    </row>
    <row r="448" spans="1:11" ht="15">
      <c r="A448" t="s">
        <v>534</v>
      </c>
      <c r="B448" s="1" t="s">
        <v>101</v>
      </c>
      <c r="C448" s="8" t="e">
        <v>#N/A</v>
      </c>
      <c r="D448" s="10" t="e">
        <v>#N/A</v>
      </c>
      <c r="E448" s="10">
        <v>0.5</v>
      </c>
      <c r="F448" s="11">
        <f>VLOOKUP(B448,Transcriptome!B:L,11,FALSE)</f>
        <v>5.2742616033756105E-4</v>
      </c>
      <c r="G448" s="10">
        <f t="shared" si="30"/>
        <v>2.6371308016878052E-4</v>
      </c>
      <c r="H448">
        <f t="shared" si="31"/>
        <v>0.85150316455697839</v>
      </c>
      <c r="I448" s="10">
        <f t="shared" si="32"/>
        <v>3.0970299482795891E-4</v>
      </c>
      <c r="J448">
        <f t="shared" si="33"/>
        <v>3.6101542462164639E-3</v>
      </c>
      <c r="K448" s="10">
        <f t="shared" si="34"/>
        <v>8.2281845337371173</v>
      </c>
    </row>
    <row r="449" spans="1:11" ht="15">
      <c r="A449" t="s">
        <v>534</v>
      </c>
      <c r="B449" s="1" t="s">
        <v>102</v>
      </c>
      <c r="C449" s="8" t="e">
        <v>#N/A</v>
      </c>
      <c r="D449" s="10" t="e">
        <v>#N/A</v>
      </c>
      <c r="E449" s="10">
        <v>0.5</v>
      </c>
      <c r="F449" s="11">
        <f>VLOOKUP(B449,Transcriptome!B:L,11,FALSE)</f>
        <v>3.6919831223629265E-3</v>
      </c>
      <c r="G449" s="10">
        <f t="shared" si="30"/>
        <v>1.8459915611814632E-3</v>
      </c>
      <c r="H449">
        <f t="shared" si="31"/>
        <v>0.85150316455697839</v>
      </c>
      <c r="I449" s="10">
        <f t="shared" si="32"/>
        <v>2.1679209637957119E-3</v>
      </c>
      <c r="J449">
        <f t="shared" si="33"/>
        <v>1.9184956135171485E-2</v>
      </c>
      <c r="K449" s="10">
        <f t="shared" si="34"/>
        <v>8.2281845337371173</v>
      </c>
    </row>
    <row r="450" spans="1:11" ht="15">
      <c r="A450" t="s">
        <v>542</v>
      </c>
      <c r="B450" s="1" t="s">
        <v>514</v>
      </c>
      <c r="C450" s="8" t="e">
        <v>#N/A</v>
      </c>
      <c r="D450" s="10" t="e">
        <v>#N/A</v>
      </c>
      <c r="E450" s="10">
        <v>0.5</v>
      </c>
      <c r="F450" s="11">
        <f>VLOOKUP(B450,Transcriptome!B:L,11,FALSE)</f>
        <v>5.2742616033756105E-4</v>
      </c>
      <c r="G450" s="10">
        <f t="shared" ref="G450:G513" si="35">E450*F450</f>
        <v>2.6371308016878052E-4</v>
      </c>
      <c r="H450">
        <f t="shared" ref="H450:H513" si="36">SUM($G$2:$G$522)</f>
        <v>0.85150316455697839</v>
      </c>
      <c r="I450" s="10">
        <f t="shared" ref="I450:I513" si="37">G450/H450</f>
        <v>3.0970299482795891E-4</v>
      </c>
      <c r="J450">
        <f t="shared" ref="J450:J513" si="38">-I450*LOG(I450,2)</f>
        <v>3.6101542462164639E-3</v>
      </c>
      <c r="K450" s="10">
        <f t="shared" ref="K450:K513" si="39">SUM($J$2:$J$522)</f>
        <v>8.2281845337371173</v>
      </c>
    </row>
    <row r="451" spans="1:11" ht="15">
      <c r="A451" t="s">
        <v>534</v>
      </c>
      <c r="B451" s="1" t="s">
        <v>103</v>
      </c>
      <c r="C451" s="8" t="e">
        <v>#N/A</v>
      </c>
      <c r="D451" s="10" t="e">
        <v>#N/A</v>
      </c>
      <c r="E451" s="10">
        <v>0.5</v>
      </c>
      <c r="F451" s="11">
        <f>VLOOKUP(B451,Transcriptome!B:L,11,FALSE)</f>
        <v>3.6919831223629265E-3</v>
      </c>
      <c r="G451" s="10">
        <f t="shared" si="35"/>
        <v>1.8459915611814632E-3</v>
      </c>
      <c r="H451">
        <f t="shared" si="36"/>
        <v>0.85150316455697839</v>
      </c>
      <c r="I451" s="10">
        <f t="shared" si="37"/>
        <v>2.1679209637957119E-3</v>
      </c>
      <c r="J451">
        <f t="shared" si="38"/>
        <v>1.9184956135171485E-2</v>
      </c>
      <c r="K451" s="10">
        <f t="shared" si="39"/>
        <v>8.2281845337371173</v>
      </c>
    </row>
    <row r="452" spans="1:11" ht="15">
      <c r="A452" t="s">
        <v>534</v>
      </c>
      <c r="B452" s="1" t="s">
        <v>105</v>
      </c>
      <c r="C452" s="8" t="e">
        <v>#N/A</v>
      </c>
      <c r="D452" s="10" t="e">
        <v>#N/A</v>
      </c>
      <c r="E452" s="10">
        <v>0.5</v>
      </c>
      <c r="F452" s="11">
        <f>VLOOKUP(B452,Transcriptome!B:L,11,FALSE)</f>
        <v>5.0105485232068295E-3</v>
      </c>
      <c r="G452" s="10">
        <f t="shared" si="35"/>
        <v>2.5052742616034148E-3</v>
      </c>
      <c r="H452">
        <f t="shared" si="36"/>
        <v>0.85150316455697839</v>
      </c>
      <c r="I452" s="10">
        <f t="shared" si="37"/>
        <v>2.9421784508656093E-3</v>
      </c>
      <c r="J452">
        <f t="shared" si="38"/>
        <v>2.4740482999029159E-2</v>
      </c>
      <c r="K452" s="10">
        <f t="shared" si="39"/>
        <v>8.2281845337371173</v>
      </c>
    </row>
    <row r="453" spans="1:11" ht="15">
      <c r="A453" t="s">
        <v>536</v>
      </c>
      <c r="B453" s="1" t="s">
        <v>447</v>
      </c>
      <c r="C453" s="8" t="e">
        <v>#N/A</v>
      </c>
      <c r="D453" s="10" t="e">
        <v>#N/A</v>
      </c>
      <c r="E453" s="10">
        <v>0.5</v>
      </c>
      <c r="F453" s="11">
        <f>VLOOKUP(B453,Transcriptome!B:L,11,FALSE)</f>
        <v>5.2742616033756105E-4</v>
      </c>
      <c r="G453" s="10">
        <f t="shared" si="35"/>
        <v>2.6371308016878052E-4</v>
      </c>
      <c r="H453">
        <f t="shared" si="36"/>
        <v>0.85150316455697839</v>
      </c>
      <c r="I453" s="10">
        <f t="shared" si="37"/>
        <v>3.0970299482795891E-4</v>
      </c>
      <c r="J453">
        <f t="shared" si="38"/>
        <v>3.6101542462164639E-3</v>
      </c>
      <c r="K453" s="10">
        <f t="shared" si="39"/>
        <v>8.2281845337371173</v>
      </c>
    </row>
    <row r="454" spans="1:11" ht="15">
      <c r="A454" t="s">
        <v>536</v>
      </c>
      <c r="B454" s="1" t="s">
        <v>452</v>
      </c>
      <c r="C454" s="8" t="e">
        <v>#N/A</v>
      </c>
      <c r="D454" s="10" t="e">
        <v>#N/A</v>
      </c>
      <c r="E454" s="10">
        <v>0.5</v>
      </c>
      <c r="F454" s="11">
        <f>VLOOKUP(B454,Transcriptome!B:L,11,FALSE)</f>
        <v>5.0105485232068295E-3</v>
      </c>
      <c r="G454" s="10">
        <f t="shared" si="35"/>
        <v>2.5052742616034148E-3</v>
      </c>
      <c r="H454">
        <f t="shared" si="36"/>
        <v>0.85150316455697839</v>
      </c>
      <c r="I454" s="10">
        <f t="shared" si="37"/>
        <v>2.9421784508656093E-3</v>
      </c>
      <c r="J454">
        <f t="shared" si="38"/>
        <v>2.4740482999029159E-2</v>
      </c>
      <c r="K454" s="10">
        <f t="shared" si="39"/>
        <v>8.2281845337371173</v>
      </c>
    </row>
    <row r="455" spans="1:11" ht="15">
      <c r="A455" t="s">
        <v>534</v>
      </c>
      <c r="B455" s="1" t="s">
        <v>106</v>
      </c>
      <c r="C455" s="8" t="e">
        <v>#N/A</v>
      </c>
      <c r="D455" s="10" t="e">
        <v>#N/A</v>
      </c>
      <c r="E455" s="10">
        <v>0.5</v>
      </c>
      <c r="F455" s="11">
        <f>VLOOKUP(B455,Transcriptome!B:L,11,FALSE)</f>
        <v>5.2742616033756105E-4</v>
      </c>
      <c r="G455" s="10">
        <f t="shared" si="35"/>
        <v>2.6371308016878052E-4</v>
      </c>
      <c r="H455">
        <f t="shared" si="36"/>
        <v>0.85150316455697839</v>
      </c>
      <c r="I455" s="10">
        <f t="shared" si="37"/>
        <v>3.0970299482795891E-4</v>
      </c>
      <c r="J455">
        <f t="shared" si="38"/>
        <v>3.6101542462164639E-3</v>
      </c>
      <c r="K455" s="10">
        <f t="shared" si="39"/>
        <v>8.2281845337371173</v>
      </c>
    </row>
    <row r="456" spans="1:11" ht="15">
      <c r="A456" t="s">
        <v>536</v>
      </c>
      <c r="B456" s="1" t="s">
        <v>454</v>
      </c>
      <c r="C456" s="8" t="e">
        <v>#N/A</v>
      </c>
      <c r="D456" s="10" t="e">
        <v>#N/A</v>
      </c>
      <c r="E456" s="10">
        <v>0.5</v>
      </c>
      <c r="F456" s="11">
        <f>VLOOKUP(B456,Transcriptome!B:L,11,FALSE)</f>
        <v>5.2742616033756105E-4</v>
      </c>
      <c r="G456" s="10">
        <f t="shared" si="35"/>
        <v>2.6371308016878052E-4</v>
      </c>
      <c r="H456">
        <f t="shared" si="36"/>
        <v>0.85150316455697839</v>
      </c>
      <c r="I456" s="10">
        <f t="shared" si="37"/>
        <v>3.0970299482795891E-4</v>
      </c>
      <c r="J456">
        <f t="shared" si="38"/>
        <v>3.6101542462164639E-3</v>
      </c>
      <c r="K456" s="10">
        <f t="shared" si="39"/>
        <v>8.2281845337371173</v>
      </c>
    </row>
    <row r="457" spans="1:11">
      <c r="A457" t="s">
        <v>524</v>
      </c>
      <c r="B457" s="3" t="s">
        <v>29</v>
      </c>
      <c r="C457" s="8" t="e">
        <v>#N/A</v>
      </c>
      <c r="D457" s="10" t="e">
        <v>#N/A</v>
      </c>
      <c r="E457" s="10">
        <v>0.5</v>
      </c>
      <c r="F457" s="11">
        <f>VLOOKUP(B457,Transcriptome!B:L,11,FALSE)</f>
        <v>5.2742616033756105E-4</v>
      </c>
      <c r="G457" s="10">
        <f t="shared" si="35"/>
        <v>2.6371308016878052E-4</v>
      </c>
      <c r="H457">
        <f t="shared" si="36"/>
        <v>0.85150316455697839</v>
      </c>
      <c r="I457" s="10">
        <f t="shared" si="37"/>
        <v>3.0970299482795891E-4</v>
      </c>
      <c r="J457">
        <f t="shared" si="38"/>
        <v>3.6101542462164639E-3</v>
      </c>
      <c r="K457" s="10">
        <f t="shared" si="39"/>
        <v>8.2281845337371173</v>
      </c>
    </row>
    <row r="458" spans="1:11" ht="15">
      <c r="A458" t="s">
        <v>534</v>
      </c>
      <c r="B458" s="1" t="s">
        <v>109</v>
      </c>
      <c r="C458" s="8" t="e">
        <v>#N/A</v>
      </c>
      <c r="D458" s="10" t="e">
        <v>#N/A</v>
      </c>
      <c r="E458" s="10">
        <v>0.5</v>
      </c>
      <c r="F458" s="11">
        <f>VLOOKUP(B458,Transcriptome!B:L,11,FALSE)</f>
        <v>5.2742616033756105E-4</v>
      </c>
      <c r="G458" s="10">
        <f t="shared" si="35"/>
        <v>2.6371308016878052E-4</v>
      </c>
      <c r="H458">
        <f t="shared" si="36"/>
        <v>0.85150316455697839</v>
      </c>
      <c r="I458" s="10">
        <f t="shared" si="37"/>
        <v>3.0970299482795891E-4</v>
      </c>
      <c r="J458">
        <f t="shared" si="38"/>
        <v>3.6101542462164639E-3</v>
      </c>
      <c r="K458" s="10">
        <f t="shared" si="39"/>
        <v>8.2281845337371173</v>
      </c>
    </row>
    <row r="459" spans="1:11" ht="15">
      <c r="A459" t="s">
        <v>524</v>
      </c>
      <c r="B459" s="1" t="s">
        <v>39</v>
      </c>
      <c r="C459" s="8" t="e">
        <v>#N/A</v>
      </c>
      <c r="D459" s="10" t="e">
        <v>#N/A</v>
      </c>
      <c r="E459" s="10">
        <v>0.5</v>
      </c>
      <c r="F459" s="11">
        <f>VLOOKUP(B459,Transcriptome!B:L,11,FALSE)</f>
        <v>5.2742616033756105E-4</v>
      </c>
      <c r="G459" s="10">
        <f t="shared" si="35"/>
        <v>2.6371308016878052E-4</v>
      </c>
      <c r="H459">
        <f t="shared" si="36"/>
        <v>0.85150316455697839</v>
      </c>
      <c r="I459" s="10">
        <f t="shared" si="37"/>
        <v>3.0970299482795891E-4</v>
      </c>
      <c r="J459">
        <f t="shared" si="38"/>
        <v>3.6101542462164639E-3</v>
      </c>
      <c r="K459" s="10">
        <f t="shared" si="39"/>
        <v>8.2281845337371173</v>
      </c>
    </row>
    <row r="460" spans="1:11" ht="15">
      <c r="A460" t="s">
        <v>524</v>
      </c>
      <c r="B460" s="1" t="s">
        <v>41</v>
      </c>
      <c r="C460" s="8" t="e">
        <v>#N/A</v>
      </c>
      <c r="D460" s="10" t="e">
        <v>#N/A</v>
      </c>
      <c r="E460" s="10">
        <v>0.5</v>
      </c>
      <c r="F460" s="11">
        <f>VLOOKUP(B460,Transcriptome!B:L,11,FALSE)</f>
        <v>3.6919831223629265E-3</v>
      </c>
      <c r="G460" s="10">
        <f t="shared" si="35"/>
        <v>1.8459915611814632E-3</v>
      </c>
      <c r="H460">
        <f t="shared" si="36"/>
        <v>0.85150316455697839</v>
      </c>
      <c r="I460" s="10">
        <f t="shared" si="37"/>
        <v>2.1679209637957119E-3</v>
      </c>
      <c r="J460">
        <f t="shared" si="38"/>
        <v>1.9184956135171485E-2</v>
      </c>
      <c r="K460" s="10">
        <f t="shared" si="39"/>
        <v>8.2281845337371173</v>
      </c>
    </row>
    <row r="461" spans="1:11" ht="15">
      <c r="A461" t="s">
        <v>524</v>
      </c>
      <c r="B461" s="1" t="s">
        <v>42</v>
      </c>
      <c r="C461" s="8" t="e">
        <v>#N/A</v>
      </c>
      <c r="D461" s="10" t="e">
        <v>#N/A</v>
      </c>
      <c r="E461" s="10">
        <v>0.5</v>
      </c>
      <c r="F461" s="11">
        <f>VLOOKUP(B461,Transcriptome!B:L,11,FALSE)</f>
        <v>5.2742616033756105E-4</v>
      </c>
      <c r="G461" s="10">
        <f t="shared" si="35"/>
        <v>2.6371308016878052E-4</v>
      </c>
      <c r="H461">
        <f t="shared" si="36"/>
        <v>0.85150316455697839</v>
      </c>
      <c r="I461" s="10">
        <f t="shared" si="37"/>
        <v>3.0970299482795891E-4</v>
      </c>
      <c r="J461">
        <f t="shared" si="38"/>
        <v>3.6101542462164639E-3</v>
      </c>
      <c r="K461" s="10">
        <f t="shared" si="39"/>
        <v>8.2281845337371173</v>
      </c>
    </row>
    <row r="462" spans="1:11" ht="15">
      <c r="A462" t="s">
        <v>534</v>
      </c>
      <c r="B462" s="1" t="s">
        <v>112</v>
      </c>
      <c r="C462" s="8" t="e">
        <v>#N/A</v>
      </c>
      <c r="D462" s="10" t="e">
        <v>#N/A</v>
      </c>
      <c r="E462" s="10">
        <v>0.5</v>
      </c>
      <c r="F462" s="11">
        <f>VLOOKUP(B462,Transcriptome!B:L,11,FALSE)</f>
        <v>5.2742616033756105E-4</v>
      </c>
      <c r="G462" s="10">
        <f t="shared" si="35"/>
        <v>2.6371308016878052E-4</v>
      </c>
      <c r="H462">
        <f t="shared" si="36"/>
        <v>0.85150316455697839</v>
      </c>
      <c r="I462" s="10">
        <f t="shared" si="37"/>
        <v>3.0970299482795891E-4</v>
      </c>
      <c r="J462">
        <f t="shared" si="38"/>
        <v>3.6101542462164639E-3</v>
      </c>
      <c r="K462" s="10">
        <f t="shared" si="39"/>
        <v>8.2281845337371173</v>
      </c>
    </row>
    <row r="463" spans="1:11">
      <c r="A463" t="s">
        <v>534</v>
      </c>
      <c r="B463" s="2" t="s">
        <v>113</v>
      </c>
      <c r="C463" s="8" t="e">
        <v>#N/A</v>
      </c>
      <c r="D463" s="10" t="e">
        <v>#N/A</v>
      </c>
      <c r="E463" s="10">
        <v>0.5</v>
      </c>
      <c r="F463" s="11">
        <f>VLOOKUP(B463,Transcriptome!B:L,11,FALSE)</f>
        <v>5.2742616033756105E-4</v>
      </c>
      <c r="G463" s="10">
        <f t="shared" si="35"/>
        <v>2.6371308016878052E-4</v>
      </c>
      <c r="H463">
        <f t="shared" si="36"/>
        <v>0.85150316455697839</v>
      </c>
      <c r="I463" s="10">
        <f t="shared" si="37"/>
        <v>3.0970299482795891E-4</v>
      </c>
      <c r="J463">
        <f t="shared" si="38"/>
        <v>3.6101542462164639E-3</v>
      </c>
      <c r="K463" s="10">
        <f t="shared" si="39"/>
        <v>8.2281845337371173</v>
      </c>
    </row>
    <row r="464" spans="1:11" ht="15">
      <c r="A464" t="s">
        <v>542</v>
      </c>
      <c r="B464" s="1" t="s">
        <v>518</v>
      </c>
      <c r="C464" s="8" t="e">
        <v>#N/A</v>
      </c>
      <c r="D464" s="10" t="e">
        <v>#N/A</v>
      </c>
      <c r="E464" s="10">
        <v>0.5</v>
      </c>
      <c r="F464" s="11">
        <f>VLOOKUP(B464,Transcriptome!B:L,11,FALSE)</f>
        <v>5.2742616033756105E-4</v>
      </c>
      <c r="G464" s="10">
        <f t="shared" si="35"/>
        <v>2.6371308016878052E-4</v>
      </c>
      <c r="H464">
        <f t="shared" si="36"/>
        <v>0.85150316455697839</v>
      </c>
      <c r="I464" s="10">
        <f t="shared" si="37"/>
        <v>3.0970299482795891E-4</v>
      </c>
      <c r="J464">
        <f t="shared" si="38"/>
        <v>3.6101542462164639E-3</v>
      </c>
      <c r="K464" s="10">
        <f t="shared" si="39"/>
        <v>8.2281845337371173</v>
      </c>
    </row>
    <row r="465" spans="1:11" ht="15">
      <c r="A465" t="s">
        <v>539</v>
      </c>
      <c r="B465" s="1" t="s">
        <v>312</v>
      </c>
      <c r="C465" s="8" t="e">
        <v>#N/A</v>
      </c>
      <c r="D465" s="10" t="e">
        <v>#N/A</v>
      </c>
      <c r="E465" s="10">
        <v>0.5</v>
      </c>
      <c r="F465" s="11">
        <f>VLOOKUP(B465,Transcriptome!B:L,11,FALSE)</f>
        <v>5.2742616033756105E-4</v>
      </c>
      <c r="G465" s="10">
        <f t="shared" si="35"/>
        <v>2.6371308016878052E-4</v>
      </c>
      <c r="H465">
        <f t="shared" si="36"/>
        <v>0.85150316455697839</v>
      </c>
      <c r="I465" s="10">
        <f t="shared" si="37"/>
        <v>3.0970299482795891E-4</v>
      </c>
      <c r="J465">
        <f t="shared" si="38"/>
        <v>3.6101542462164639E-3</v>
      </c>
      <c r="K465" s="10">
        <f t="shared" si="39"/>
        <v>8.2281845337371173</v>
      </c>
    </row>
    <row r="466" spans="1:11" ht="15">
      <c r="A466" t="s">
        <v>539</v>
      </c>
      <c r="B466" s="1" t="s">
        <v>313</v>
      </c>
      <c r="C466" s="8" t="e">
        <v>#N/A</v>
      </c>
      <c r="D466" s="10" t="e">
        <v>#N/A</v>
      </c>
      <c r="E466" s="10">
        <v>0.5</v>
      </c>
      <c r="F466" s="11">
        <f>VLOOKUP(B466,Transcriptome!B:L,11,FALSE)</f>
        <v>5.2742616033756105E-4</v>
      </c>
      <c r="G466" s="10">
        <f t="shared" si="35"/>
        <v>2.6371308016878052E-4</v>
      </c>
      <c r="H466">
        <f t="shared" si="36"/>
        <v>0.85150316455697839</v>
      </c>
      <c r="I466" s="10">
        <f t="shared" si="37"/>
        <v>3.0970299482795891E-4</v>
      </c>
      <c r="J466">
        <f t="shared" si="38"/>
        <v>3.6101542462164639E-3</v>
      </c>
      <c r="K466" s="10">
        <f t="shared" si="39"/>
        <v>8.2281845337371173</v>
      </c>
    </row>
    <row r="467" spans="1:11" ht="15">
      <c r="A467" t="s">
        <v>539</v>
      </c>
      <c r="B467" s="1" t="s">
        <v>314</v>
      </c>
      <c r="C467" s="8" t="e">
        <v>#N/A</v>
      </c>
      <c r="D467" s="10" t="e">
        <v>#N/A</v>
      </c>
      <c r="E467" s="10">
        <v>0.5</v>
      </c>
      <c r="F467" s="11">
        <f>VLOOKUP(B467,Transcriptome!B:L,11,FALSE)</f>
        <v>5.0105485232068295E-3</v>
      </c>
      <c r="G467" s="10">
        <f t="shared" si="35"/>
        <v>2.5052742616034148E-3</v>
      </c>
      <c r="H467">
        <f t="shared" si="36"/>
        <v>0.85150316455697839</v>
      </c>
      <c r="I467" s="10">
        <f t="shared" si="37"/>
        <v>2.9421784508656093E-3</v>
      </c>
      <c r="J467">
        <f t="shared" si="38"/>
        <v>2.4740482999029159E-2</v>
      </c>
      <c r="K467" s="10">
        <f t="shared" si="39"/>
        <v>8.2281845337371173</v>
      </c>
    </row>
    <row r="468" spans="1:11" ht="15">
      <c r="A468" t="s">
        <v>535</v>
      </c>
      <c r="B468" s="1" t="s">
        <v>393</v>
      </c>
      <c r="C468" s="8" t="e">
        <v>#N/A</v>
      </c>
      <c r="D468" s="10" t="e">
        <v>#N/A</v>
      </c>
      <c r="E468" s="10">
        <v>0.5</v>
      </c>
      <c r="F468" s="11">
        <f>VLOOKUP(B468,Transcriptome!B:L,11,FALSE)</f>
        <v>5.2742616033756105E-4</v>
      </c>
      <c r="G468" s="10">
        <f t="shared" si="35"/>
        <v>2.6371308016878052E-4</v>
      </c>
      <c r="H468">
        <f t="shared" si="36"/>
        <v>0.85150316455697839</v>
      </c>
      <c r="I468" s="10">
        <f t="shared" si="37"/>
        <v>3.0970299482795891E-4</v>
      </c>
      <c r="J468">
        <f t="shared" si="38"/>
        <v>3.6101542462164639E-3</v>
      </c>
      <c r="K468" s="10">
        <f t="shared" si="39"/>
        <v>8.2281845337371173</v>
      </c>
    </row>
    <row r="469" spans="1:11" ht="15">
      <c r="A469" t="s">
        <v>535</v>
      </c>
      <c r="B469" s="1" t="s">
        <v>394</v>
      </c>
      <c r="C469" s="8" t="e">
        <v>#N/A</v>
      </c>
      <c r="D469" s="10" t="e">
        <v>#N/A</v>
      </c>
      <c r="E469" s="10">
        <v>0.5</v>
      </c>
      <c r="F469" s="11">
        <f>VLOOKUP(B469,Transcriptome!B:L,11,FALSE)</f>
        <v>5.2742616033756105E-4</v>
      </c>
      <c r="G469" s="10">
        <f t="shared" si="35"/>
        <v>2.6371308016878052E-4</v>
      </c>
      <c r="H469">
        <f t="shared" si="36"/>
        <v>0.85150316455697839</v>
      </c>
      <c r="I469" s="10">
        <f t="shared" si="37"/>
        <v>3.0970299482795891E-4</v>
      </c>
      <c r="J469">
        <f t="shared" si="38"/>
        <v>3.6101542462164639E-3</v>
      </c>
      <c r="K469" s="10">
        <f t="shared" si="39"/>
        <v>8.2281845337371173</v>
      </c>
    </row>
    <row r="470" spans="1:11" ht="15">
      <c r="A470" t="s">
        <v>536</v>
      </c>
      <c r="B470" s="1" t="s">
        <v>458</v>
      </c>
      <c r="C470" s="8" t="e">
        <v>#N/A</v>
      </c>
      <c r="D470" s="10" t="e">
        <v>#N/A</v>
      </c>
      <c r="E470" s="10">
        <v>0.5</v>
      </c>
      <c r="F470" s="11">
        <f>VLOOKUP(B470,Transcriptome!B:L,11,FALSE)</f>
        <v>5.2742616033756105E-4</v>
      </c>
      <c r="G470" s="10">
        <f t="shared" si="35"/>
        <v>2.6371308016878052E-4</v>
      </c>
      <c r="H470">
        <f t="shared" si="36"/>
        <v>0.85150316455697839</v>
      </c>
      <c r="I470" s="10">
        <f t="shared" si="37"/>
        <v>3.0970299482795891E-4</v>
      </c>
      <c r="J470">
        <f t="shared" si="38"/>
        <v>3.6101542462164639E-3</v>
      </c>
      <c r="K470" s="10">
        <f t="shared" si="39"/>
        <v>8.2281845337371173</v>
      </c>
    </row>
    <row r="471" spans="1:11" ht="15">
      <c r="A471" t="s">
        <v>535</v>
      </c>
      <c r="B471" s="1" t="s">
        <v>395</v>
      </c>
      <c r="C471" s="8" t="e">
        <v>#N/A</v>
      </c>
      <c r="D471" s="10" t="e">
        <v>#N/A</v>
      </c>
      <c r="E471" s="10">
        <v>0.5</v>
      </c>
      <c r="F471" s="11">
        <f>VLOOKUP(B471,Transcriptome!B:L,11,FALSE)</f>
        <v>5.0105485232068295E-3</v>
      </c>
      <c r="G471" s="10">
        <f t="shared" si="35"/>
        <v>2.5052742616034148E-3</v>
      </c>
      <c r="H471">
        <f t="shared" si="36"/>
        <v>0.85150316455697839</v>
      </c>
      <c r="I471" s="10">
        <f t="shared" si="37"/>
        <v>2.9421784508656093E-3</v>
      </c>
      <c r="J471">
        <f t="shared" si="38"/>
        <v>2.4740482999029159E-2</v>
      </c>
      <c r="K471" s="10">
        <f t="shared" si="39"/>
        <v>8.2281845337371173</v>
      </c>
    </row>
    <row r="472" spans="1:11" ht="15">
      <c r="A472" t="s">
        <v>536</v>
      </c>
      <c r="B472" s="1" t="s">
        <v>459</v>
      </c>
      <c r="C472" s="8" t="e">
        <v>#N/A</v>
      </c>
      <c r="D472" s="10" t="e">
        <v>#N/A</v>
      </c>
      <c r="E472" s="10">
        <v>0.5</v>
      </c>
      <c r="F472" s="11">
        <f>VLOOKUP(B472,Transcriptome!B:L,11,FALSE)</f>
        <v>5.2742616033756105E-4</v>
      </c>
      <c r="G472" s="10">
        <f t="shared" si="35"/>
        <v>2.6371308016878052E-4</v>
      </c>
      <c r="H472">
        <f t="shared" si="36"/>
        <v>0.85150316455697839</v>
      </c>
      <c r="I472" s="10">
        <f t="shared" si="37"/>
        <v>3.0970299482795891E-4</v>
      </c>
      <c r="J472">
        <f t="shared" si="38"/>
        <v>3.6101542462164639E-3</v>
      </c>
      <c r="K472" s="10">
        <f t="shared" si="39"/>
        <v>8.2281845337371173</v>
      </c>
    </row>
    <row r="473" spans="1:11" ht="15">
      <c r="A473" t="s">
        <v>536</v>
      </c>
      <c r="B473" s="1" t="s">
        <v>460</v>
      </c>
      <c r="C473" s="8" t="e">
        <v>#N/A</v>
      </c>
      <c r="D473" s="10" t="e">
        <v>#N/A</v>
      </c>
      <c r="E473" s="10">
        <v>0.5</v>
      </c>
      <c r="F473" s="11">
        <f>VLOOKUP(B473,Transcriptome!B:L,11,FALSE)</f>
        <v>5.2742616033756105E-4</v>
      </c>
      <c r="G473" s="10">
        <f t="shared" si="35"/>
        <v>2.6371308016878052E-4</v>
      </c>
      <c r="H473">
        <f t="shared" si="36"/>
        <v>0.85150316455697839</v>
      </c>
      <c r="I473" s="10">
        <f t="shared" si="37"/>
        <v>3.0970299482795891E-4</v>
      </c>
      <c r="J473">
        <f t="shared" si="38"/>
        <v>3.6101542462164639E-3</v>
      </c>
      <c r="K473" s="10">
        <f t="shared" si="39"/>
        <v>8.2281845337371173</v>
      </c>
    </row>
    <row r="474" spans="1:11" ht="15">
      <c r="A474" t="s">
        <v>536</v>
      </c>
      <c r="B474" s="1" t="s">
        <v>464</v>
      </c>
      <c r="C474" s="8" t="e">
        <v>#N/A</v>
      </c>
      <c r="D474" s="10" t="e">
        <v>#N/A</v>
      </c>
      <c r="E474" s="10">
        <v>0.5</v>
      </c>
      <c r="F474" s="11">
        <f>VLOOKUP(B474,Transcriptome!B:L,11,FALSE)</f>
        <v>5.2742616033756105E-4</v>
      </c>
      <c r="G474" s="10">
        <f t="shared" si="35"/>
        <v>2.6371308016878052E-4</v>
      </c>
      <c r="H474">
        <f t="shared" si="36"/>
        <v>0.85150316455697839</v>
      </c>
      <c r="I474" s="10">
        <f t="shared" si="37"/>
        <v>3.0970299482795891E-4</v>
      </c>
      <c r="J474">
        <f t="shared" si="38"/>
        <v>3.6101542462164639E-3</v>
      </c>
      <c r="K474" s="10">
        <f t="shared" si="39"/>
        <v>8.2281845337371173</v>
      </c>
    </row>
    <row r="475" spans="1:11" ht="15">
      <c r="A475" t="s">
        <v>536</v>
      </c>
      <c r="B475" s="1" t="s">
        <v>465</v>
      </c>
      <c r="C475" s="8" t="e">
        <v>#N/A</v>
      </c>
      <c r="D475" s="10" t="e">
        <v>#N/A</v>
      </c>
      <c r="E475" s="10">
        <v>0.5</v>
      </c>
      <c r="F475" s="11">
        <f>VLOOKUP(B475,Transcriptome!B:L,11,FALSE)</f>
        <v>5.2742616033756105E-4</v>
      </c>
      <c r="G475" s="10">
        <f t="shared" si="35"/>
        <v>2.6371308016878052E-4</v>
      </c>
      <c r="H475">
        <f t="shared" si="36"/>
        <v>0.85150316455697839</v>
      </c>
      <c r="I475" s="10">
        <f t="shared" si="37"/>
        <v>3.0970299482795891E-4</v>
      </c>
      <c r="J475">
        <f t="shared" si="38"/>
        <v>3.6101542462164639E-3</v>
      </c>
      <c r="K475" s="10">
        <f t="shared" si="39"/>
        <v>8.2281845337371173</v>
      </c>
    </row>
    <row r="476" spans="1:11" ht="15">
      <c r="A476" t="s">
        <v>524</v>
      </c>
      <c r="B476" s="1" t="s">
        <v>53</v>
      </c>
      <c r="C476" s="8" t="e">
        <v>#N/A</v>
      </c>
      <c r="D476" s="10" t="e">
        <v>#N/A</v>
      </c>
      <c r="E476" s="10">
        <v>0.5</v>
      </c>
      <c r="F476" s="11">
        <f>VLOOKUP(B476,Transcriptome!B:L,11,FALSE)</f>
        <v>5.2742616033756105E-4</v>
      </c>
      <c r="G476" s="10">
        <f t="shared" si="35"/>
        <v>2.6371308016878052E-4</v>
      </c>
      <c r="H476">
        <f t="shared" si="36"/>
        <v>0.85150316455697839</v>
      </c>
      <c r="I476" s="10">
        <f t="shared" si="37"/>
        <v>3.0970299482795891E-4</v>
      </c>
      <c r="J476">
        <f t="shared" si="38"/>
        <v>3.6101542462164639E-3</v>
      </c>
      <c r="K476" s="10">
        <f t="shared" si="39"/>
        <v>8.2281845337371173</v>
      </c>
    </row>
    <row r="477" spans="1:11" ht="15">
      <c r="A477" t="s">
        <v>536</v>
      </c>
      <c r="B477" s="1" t="s">
        <v>466</v>
      </c>
      <c r="C477" s="8" t="e">
        <v>#N/A</v>
      </c>
      <c r="D477" s="10" t="e">
        <v>#N/A</v>
      </c>
      <c r="E477" s="10">
        <v>0.5</v>
      </c>
      <c r="F477" s="11">
        <f>VLOOKUP(B477,Transcriptome!B:L,11,FALSE)</f>
        <v>5.2742616033756105E-4</v>
      </c>
      <c r="G477" s="10">
        <f t="shared" si="35"/>
        <v>2.6371308016878052E-4</v>
      </c>
      <c r="H477">
        <f t="shared" si="36"/>
        <v>0.85150316455697839</v>
      </c>
      <c r="I477" s="10">
        <f t="shared" si="37"/>
        <v>3.0970299482795891E-4</v>
      </c>
      <c r="J477">
        <f t="shared" si="38"/>
        <v>3.6101542462164639E-3</v>
      </c>
      <c r="K477" s="10">
        <f t="shared" si="39"/>
        <v>8.2281845337371173</v>
      </c>
    </row>
    <row r="478" spans="1:11" ht="15">
      <c r="A478" t="s">
        <v>524</v>
      </c>
      <c r="B478" s="1" t="s">
        <v>54</v>
      </c>
      <c r="C478" s="8" t="e">
        <v>#N/A</v>
      </c>
      <c r="D478" s="10" t="e">
        <v>#N/A</v>
      </c>
      <c r="E478" s="10">
        <v>0.5</v>
      </c>
      <c r="F478" s="11">
        <f>VLOOKUP(B478,Transcriptome!B:L,11,FALSE)</f>
        <v>5.0105485232068295E-3</v>
      </c>
      <c r="G478" s="10">
        <f t="shared" si="35"/>
        <v>2.5052742616034148E-3</v>
      </c>
      <c r="H478">
        <f t="shared" si="36"/>
        <v>0.85150316455697839</v>
      </c>
      <c r="I478" s="10">
        <f t="shared" si="37"/>
        <v>2.9421784508656093E-3</v>
      </c>
      <c r="J478">
        <f t="shared" si="38"/>
        <v>2.4740482999029159E-2</v>
      </c>
      <c r="K478" s="10">
        <f t="shared" si="39"/>
        <v>8.2281845337371173</v>
      </c>
    </row>
    <row r="479" spans="1:11" ht="15">
      <c r="A479" t="s">
        <v>536</v>
      </c>
      <c r="B479" s="1" t="s">
        <v>467</v>
      </c>
      <c r="C479" s="8" t="e">
        <v>#N/A</v>
      </c>
      <c r="D479" s="10" t="e">
        <v>#N/A</v>
      </c>
      <c r="E479" s="10">
        <v>0.5</v>
      </c>
      <c r="F479" s="11">
        <f>VLOOKUP(B479,Transcriptome!B:L,11,FALSE)</f>
        <v>5.2742616033756105E-4</v>
      </c>
      <c r="G479" s="10">
        <f t="shared" si="35"/>
        <v>2.6371308016878052E-4</v>
      </c>
      <c r="H479">
        <f t="shared" si="36"/>
        <v>0.85150316455697839</v>
      </c>
      <c r="I479" s="10">
        <f t="shared" si="37"/>
        <v>3.0970299482795891E-4</v>
      </c>
      <c r="J479">
        <f t="shared" si="38"/>
        <v>3.6101542462164639E-3</v>
      </c>
      <c r="K479" s="10">
        <f t="shared" si="39"/>
        <v>8.2281845337371173</v>
      </c>
    </row>
    <row r="480" spans="1:11" ht="15">
      <c r="A480" t="s">
        <v>534</v>
      </c>
      <c r="B480" s="1" t="s">
        <v>114</v>
      </c>
      <c r="C480" s="8" t="e">
        <v>#N/A</v>
      </c>
      <c r="D480" s="10" t="e">
        <v>#N/A</v>
      </c>
      <c r="E480" s="10">
        <v>0.5</v>
      </c>
      <c r="F480" s="11">
        <f>VLOOKUP(B480,Transcriptome!B:L,11,FALSE)</f>
        <v>5.2742616033756105E-4</v>
      </c>
      <c r="G480" s="10">
        <f t="shared" si="35"/>
        <v>2.6371308016878052E-4</v>
      </c>
      <c r="H480">
        <f t="shared" si="36"/>
        <v>0.85150316455697839</v>
      </c>
      <c r="I480" s="10">
        <f t="shared" si="37"/>
        <v>3.0970299482795891E-4</v>
      </c>
      <c r="J480">
        <f t="shared" si="38"/>
        <v>3.6101542462164639E-3</v>
      </c>
      <c r="K480" s="10">
        <f t="shared" si="39"/>
        <v>8.2281845337371173</v>
      </c>
    </row>
    <row r="481" spans="1:11">
      <c r="A481" t="s">
        <v>535</v>
      </c>
      <c r="B481" s="2" t="s">
        <v>400</v>
      </c>
      <c r="C481" s="8" t="e">
        <v>#N/A</v>
      </c>
      <c r="D481" s="10" t="e">
        <v>#N/A</v>
      </c>
      <c r="E481" s="10">
        <v>0.5</v>
      </c>
      <c r="F481" s="11">
        <f>VLOOKUP(B481,Transcriptome!B:L,11,FALSE)</f>
        <v>5.2742616033756105E-4</v>
      </c>
      <c r="G481" s="10">
        <f t="shared" si="35"/>
        <v>2.6371308016878052E-4</v>
      </c>
      <c r="H481">
        <f t="shared" si="36"/>
        <v>0.85150316455697839</v>
      </c>
      <c r="I481" s="10">
        <f t="shared" si="37"/>
        <v>3.0970299482795891E-4</v>
      </c>
      <c r="J481">
        <f t="shared" si="38"/>
        <v>3.6101542462164639E-3</v>
      </c>
      <c r="K481" s="10">
        <f t="shared" si="39"/>
        <v>8.2281845337371173</v>
      </c>
    </row>
    <row r="482" spans="1:11">
      <c r="A482" t="s">
        <v>534</v>
      </c>
      <c r="B482" s="2" t="s">
        <v>124</v>
      </c>
      <c r="C482" s="8" t="e">
        <v>#N/A</v>
      </c>
      <c r="D482" s="10" t="e">
        <v>#N/A</v>
      </c>
      <c r="E482" s="10">
        <v>0.5</v>
      </c>
      <c r="F482" s="11">
        <f>VLOOKUP(B482,Transcriptome!B:L,11,FALSE)</f>
        <v>5.2742616033756105E-4</v>
      </c>
      <c r="G482" s="10">
        <f t="shared" si="35"/>
        <v>2.6371308016878052E-4</v>
      </c>
      <c r="H482">
        <f t="shared" si="36"/>
        <v>0.85150316455697839</v>
      </c>
      <c r="I482" s="10">
        <f t="shared" si="37"/>
        <v>3.0970299482795891E-4</v>
      </c>
      <c r="J482">
        <f t="shared" si="38"/>
        <v>3.6101542462164639E-3</v>
      </c>
      <c r="K482" s="10">
        <f t="shared" si="39"/>
        <v>8.2281845337371173</v>
      </c>
    </row>
    <row r="483" spans="1:11">
      <c r="A483" t="s">
        <v>534</v>
      </c>
      <c r="B483" s="2" t="s">
        <v>125</v>
      </c>
      <c r="C483" s="8" t="e">
        <v>#N/A</v>
      </c>
      <c r="D483" s="10" t="e">
        <v>#N/A</v>
      </c>
      <c r="E483" s="10">
        <v>0.5</v>
      </c>
      <c r="F483" s="11">
        <f>VLOOKUP(B483,Transcriptome!B:L,11,FALSE)</f>
        <v>5.2742616033756105E-4</v>
      </c>
      <c r="G483" s="10">
        <f t="shared" si="35"/>
        <v>2.6371308016878052E-4</v>
      </c>
      <c r="H483">
        <f t="shared" si="36"/>
        <v>0.85150316455697839</v>
      </c>
      <c r="I483" s="10">
        <f t="shared" si="37"/>
        <v>3.0970299482795891E-4</v>
      </c>
      <c r="J483">
        <f t="shared" si="38"/>
        <v>3.6101542462164639E-3</v>
      </c>
      <c r="K483" s="10">
        <f t="shared" si="39"/>
        <v>8.2281845337371173</v>
      </c>
    </row>
    <row r="484" spans="1:11">
      <c r="A484" t="s">
        <v>534</v>
      </c>
      <c r="B484" s="2" t="s">
        <v>126</v>
      </c>
      <c r="C484" s="8" t="e">
        <v>#N/A</v>
      </c>
      <c r="D484" s="10" t="e">
        <v>#N/A</v>
      </c>
      <c r="E484" s="10">
        <v>0.5</v>
      </c>
      <c r="F484" s="11">
        <f>VLOOKUP(B484,Transcriptome!B:L,11,FALSE)</f>
        <v>5.2742616033756105E-4</v>
      </c>
      <c r="G484" s="10">
        <f t="shared" si="35"/>
        <v>2.6371308016878052E-4</v>
      </c>
      <c r="H484">
        <f t="shared" si="36"/>
        <v>0.85150316455697839</v>
      </c>
      <c r="I484" s="10">
        <f t="shared" si="37"/>
        <v>3.0970299482795891E-4</v>
      </c>
      <c r="J484">
        <f t="shared" si="38"/>
        <v>3.6101542462164639E-3</v>
      </c>
      <c r="K484" s="10">
        <f t="shared" si="39"/>
        <v>8.2281845337371173</v>
      </c>
    </row>
    <row r="485" spans="1:11">
      <c r="A485" t="s">
        <v>535</v>
      </c>
      <c r="B485" s="2" t="s">
        <v>401</v>
      </c>
      <c r="C485" s="8" t="e">
        <v>#N/A</v>
      </c>
      <c r="D485" s="10" t="e">
        <v>#N/A</v>
      </c>
      <c r="E485" s="10">
        <v>0.5</v>
      </c>
      <c r="F485" s="11">
        <f>VLOOKUP(B485,Transcriptome!B:L,11,FALSE)</f>
        <v>5.2742616033756105E-4</v>
      </c>
      <c r="G485" s="10">
        <f t="shared" si="35"/>
        <v>2.6371308016878052E-4</v>
      </c>
      <c r="H485">
        <f t="shared" si="36"/>
        <v>0.85150316455697839</v>
      </c>
      <c r="I485" s="10">
        <f t="shared" si="37"/>
        <v>3.0970299482795891E-4</v>
      </c>
      <c r="J485">
        <f t="shared" si="38"/>
        <v>3.6101542462164639E-3</v>
      </c>
      <c r="K485" s="10">
        <f t="shared" si="39"/>
        <v>8.2281845337371173</v>
      </c>
    </row>
    <row r="486" spans="1:11">
      <c r="A486" t="s">
        <v>535</v>
      </c>
      <c r="B486" s="2" t="s">
        <v>402</v>
      </c>
      <c r="C486" s="8" t="e">
        <v>#N/A</v>
      </c>
      <c r="D486" s="10" t="e">
        <v>#N/A</v>
      </c>
      <c r="E486" s="10">
        <v>0.5</v>
      </c>
      <c r="F486" s="11">
        <f>VLOOKUP(B486,Transcriptome!B:L,11,FALSE)</f>
        <v>5.2742616033756105E-4</v>
      </c>
      <c r="G486" s="10">
        <f t="shared" si="35"/>
        <v>2.6371308016878052E-4</v>
      </c>
      <c r="H486">
        <f t="shared" si="36"/>
        <v>0.85150316455697839</v>
      </c>
      <c r="I486" s="10">
        <f t="shared" si="37"/>
        <v>3.0970299482795891E-4</v>
      </c>
      <c r="J486">
        <f t="shared" si="38"/>
        <v>3.6101542462164639E-3</v>
      </c>
      <c r="K486" s="10">
        <f t="shared" si="39"/>
        <v>8.2281845337371173</v>
      </c>
    </row>
    <row r="487" spans="1:11">
      <c r="A487" t="s">
        <v>534</v>
      </c>
      <c r="B487" s="2" t="s">
        <v>120</v>
      </c>
      <c r="C487" s="8" t="e">
        <v>#N/A</v>
      </c>
      <c r="D487" s="10" t="e">
        <v>#N/A</v>
      </c>
      <c r="E487" s="10">
        <v>0.5</v>
      </c>
      <c r="F487" s="11">
        <f>VLOOKUP(B487,Transcriptome!B:L,11,FALSE)</f>
        <v>5.2742616033756105E-4</v>
      </c>
      <c r="G487" s="10">
        <f t="shared" si="35"/>
        <v>2.6371308016878052E-4</v>
      </c>
      <c r="H487">
        <f t="shared" si="36"/>
        <v>0.85150316455697839</v>
      </c>
      <c r="I487" s="10">
        <f t="shared" si="37"/>
        <v>3.0970299482795891E-4</v>
      </c>
      <c r="J487">
        <f t="shared" si="38"/>
        <v>3.6101542462164639E-3</v>
      </c>
      <c r="K487" s="10">
        <f t="shared" si="39"/>
        <v>8.2281845337371173</v>
      </c>
    </row>
    <row r="488" spans="1:11" ht="15">
      <c r="A488" t="s">
        <v>534</v>
      </c>
      <c r="B488" s="1" t="s">
        <v>121</v>
      </c>
      <c r="C488" s="8" t="e">
        <v>#N/A</v>
      </c>
      <c r="D488" s="10" t="e">
        <v>#N/A</v>
      </c>
      <c r="E488" s="10">
        <v>0.5</v>
      </c>
      <c r="F488" s="11">
        <f>VLOOKUP(B488,Transcriptome!B:L,11,FALSE)</f>
        <v>3.6919831223629265E-3</v>
      </c>
      <c r="G488" s="10">
        <f t="shared" si="35"/>
        <v>1.8459915611814632E-3</v>
      </c>
      <c r="H488">
        <f t="shared" si="36"/>
        <v>0.85150316455697839</v>
      </c>
      <c r="I488" s="10">
        <f t="shared" si="37"/>
        <v>2.1679209637957119E-3</v>
      </c>
      <c r="J488">
        <f t="shared" si="38"/>
        <v>1.9184956135171485E-2</v>
      </c>
      <c r="K488" s="10">
        <f t="shared" si="39"/>
        <v>8.2281845337371173</v>
      </c>
    </row>
    <row r="489" spans="1:11" ht="15">
      <c r="A489" t="s">
        <v>536</v>
      </c>
      <c r="B489" s="1" t="s">
        <v>469</v>
      </c>
      <c r="C489" s="8" t="e">
        <v>#N/A</v>
      </c>
      <c r="D489" s="10" t="e">
        <v>#N/A</v>
      </c>
      <c r="E489" s="10">
        <v>0.5</v>
      </c>
      <c r="F489" s="11">
        <f>VLOOKUP(B489,Transcriptome!B:L,11,FALSE)</f>
        <v>5.2742616033756105E-4</v>
      </c>
      <c r="G489" s="10">
        <f t="shared" si="35"/>
        <v>2.6371308016878052E-4</v>
      </c>
      <c r="H489">
        <f t="shared" si="36"/>
        <v>0.85150316455697839</v>
      </c>
      <c r="I489" s="10">
        <f t="shared" si="37"/>
        <v>3.0970299482795891E-4</v>
      </c>
      <c r="J489">
        <f t="shared" si="38"/>
        <v>3.6101542462164639E-3</v>
      </c>
      <c r="K489" s="10">
        <f t="shared" si="39"/>
        <v>8.2281845337371173</v>
      </c>
    </row>
    <row r="490" spans="1:11" ht="15">
      <c r="A490" t="s">
        <v>536</v>
      </c>
      <c r="B490" s="1" t="s">
        <v>470</v>
      </c>
      <c r="C490" s="8" t="e">
        <v>#N/A</v>
      </c>
      <c r="D490" s="10" t="e">
        <v>#N/A</v>
      </c>
      <c r="E490" s="10">
        <v>0.5</v>
      </c>
      <c r="F490" s="11">
        <f>VLOOKUP(B490,Transcriptome!B:L,11,FALSE)</f>
        <v>5.2742616033756105E-4</v>
      </c>
      <c r="G490" s="10">
        <f t="shared" si="35"/>
        <v>2.6371308016878052E-4</v>
      </c>
      <c r="H490">
        <f t="shared" si="36"/>
        <v>0.85150316455697839</v>
      </c>
      <c r="I490" s="10">
        <f t="shared" si="37"/>
        <v>3.0970299482795891E-4</v>
      </c>
      <c r="J490">
        <f t="shared" si="38"/>
        <v>3.6101542462164639E-3</v>
      </c>
      <c r="K490" s="10">
        <f t="shared" si="39"/>
        <v>8.2281845337371173</v>
      </c>
    </row>
    <row r="491" spans="1:11" ht="15">
      <c r="A491" t="s">
        <v>536</v>
      </c>
      <c r="B491" s="1" t="s">
        <v>471</v>
      </c>
      <c r="C491" s="8" t="e">
        <v>#N/A</v>
      </c>
      <c r="D491" s="10" t="e">
        <v>#N/A</v>
      </c>
      <c r="E491" s="10">
        <v>0.5</v>
      </c>
      <c r="F491" s="11">
        <f>VLOOKUP(B491,Transcriptome!B:L,11,FALSE)</f>
        <v>5.2742616033756105E-4</v>
      </c>
      <c r="G491" s="10">
        <f t="shared" si="35"/>
        <v>2.6371308016878052E-4</v>
      </c>
      <c r="H491">
        <f t="shared" si="36"/>
        <v>0.85150316455697839</v>
      </c>
      <c r="I491" s="10">
        <f t="shared" si="37"/>
        <v>3.0970299482795891E-4</v>
      </c>
      <c r="J491">
        <f t="shared" si="38"/>
        <v>3.6101542462164639E-3</v>
      </c>
      <c r="K491" s="10">
        <f t="shared" si="39"/>
        <v>8.2281845337371173</v>
      </c>
    </row>
    <row r="492" spans="1:11" ht="15">
      <c r="A492" t="s">
        <v>536</v>
      </c>
      <c r="B492" s="1" t="s">
        <v>472</v>
      </c>
      <c r="C492" s="8" t="e">
        <v>#N/A</v>
      </c>
      <c r="D492" s="10" t="e">
        <v>#N/A</v>
      </c>
      <c r="E492" s="10">
        <v>0.5</v>
      </c>
      <c r="F492" s="11">
        <f>VLOOKUP(B492,Transcriptome!B:L,11,FALSE)</f>
        <v>5.2742616033756105E-4</v>
      </c>
      <c r="G492" s="10">
        <f t="shared" si="35"/>
        <v>2.6371308016878052E-4</v>
      </c>
      <c r="H492">
        <f t="shared" si="36"/>
        <v>0.85150316455697839</v>
      </c>
      <c r="I492" s="10">
        <f t="shared" si="37"/>
        <v>3.0970299482795891E-4</v>
      </c>
      <c r="J492">
        <f t="shared" si="38"/>
        <v>3.6101542462164639E-3</v>
      </c>
      <c r="K492" s="10">
        <f t="shared" si="39"/>
        <v>8.2281845337371173</v>
      </c>
    </row>
    <row r="493" spans="1:11" ht="15">
      <c r="A493" t="s">
        <v>534</v>
      </c>
      <c r="B493" s="1" t="s">
        <v>122</v>
      </c>
      <c r="C493" s="8" t="e">
        <v>#N/A</v>
      </c>
      <c r="D493" s="10" t="e">
        <v>#N/A</v>
      </c>
      <c r="E493" s="10">
        <v>0.5</v>
      </c>
      <c r="F493" s="11">
        <f>VLOOKUP(B493,Transcriptome!B:L,11,FALSE)</f>
        <v>5.2742616033756105E-4</v>
      </c>
      <c r="G493" s="10">
        <f t="shared" si="35"/>
        <v>2.6371308016878052E-4</v>
      </c>
      <c r="H493">
        <f t="shared" si="36"/>
        <v>0.85150316455697839</v>
      </c>
      <c r="I493" s="10">
        <f t="shared" si="37"/>
        <v>3.0970299482795891E-4</v>
      </c>
      <c r="J493">
        <f t="shared" si="38"/>
        <v>3.6101542462164639E-3</v>
      </c>
      <c r="K493" s="10">
        <f t="shared" si="39"/>
        <v>8.2281845337371173</v>
      </c>
    </row>
    <row r="494" spans="1:11" ht="15">
      <c r="A494" t="s">
        <v>536</v>
      </c>
      <c r="B494" s="1" t="s">
        <v>473</v>
      </c>
      <c r="C494" s="8" t="e">
        <v>#N/A</v>
      </c>
      <c r="D494" s="10" t="e">
        <v>#N/A</v>
      </c>
      <c r="E494" s="10">
        <v>0.5</v>
      </c>
      <c r="F494" s="11">
        <f>VLOOKUP(B494,Transcriptome!B:L,11,FALSE)</f>
        <v>5.2742616033756105E-4</v>
      </c>
      <c r="G494" s="10">
        <f t="shared" si="35"/>
        <v>2.6371308016878052E-4</v>
      </c>
      <c r="H494">
        <f t="shared" si="36"/>
        <v>0.85150316455697839</v>
      </c>
      <c r="I494" s="10">
        <f t="shared" si="37"/>
        <v>3.0970299482795891E-4</v>
      </c>
      <c r="J494">
        <f t="shared" si="38"/>
        <v>3.6101542462164639E-3</v>
      </c>
      <c r="K494" s="10">
        <f t="shared" si="39"/>
        <v>8.2281845337371173</v>
      </c>
    </row>
    <row r="495" spans="1:11" ht="15">
      <c r="A495" t="s">
        <v>536</v>
      </c>
      <c r="B495" s="1" t="s">
        <v>474</v>
      </c>
      <c r="C495" s="8" t="e">
        <v>#N/A</v>
      </c>
      <c r="D495" s="10" t="e">
        <v>#N/A</v>
      </c>
      <c r="E495" s="10">
        <v>0.5</v>
      </c>
      <c r="F495" s="11">
        <f>VLOOKUP(B495,Transcriptome!B:L,11,FALSE)</f>
        <v>5.2742616033756105E-4</v>
      </c>
      <c r="G495" s="10">
        <f t="shared" si="35"/>
        <v>2.6371308016878052E-4</v>
      </c>
      <c r="H495">
        <f t="shared" si="36"/>
        <v>0.85150316455697839</v>
      </c>
      <c r="I495" s="10">
        <f t="shared" si="37"/>
        <v>3.0970299482795891E-4</v>
      </c>
      <c r="J495">
        <f t="shared" si="38"/>
        <v>3.6101542462164639E-3</v>
      </c>
      <c r="K495" s="10">
        <f t="shared" si="39"/>
        <v>8.2281845337371173</v>
      </c>
    </row>
    <row r="496" spans="1:11" ht="15">
      <c r="A496" t="s">
        <v>540</v>
      </c>
      <c r="B496" s="1" t="s">
        <v>278</v>
      </c>
      <c r="C496" s="8" t="e">
        <v>#N/A</v>
      </c>
      <c r="D496" s="10" t="e">
        <v>#N/A</v>
      </c>
      <c r="E496" s="10">
        <v>0.5</v>
      </c>
      <c r="F496" s="11">
        <f>VLOOKUP(B496,Transcriptome!B:L,11,FALSE)</f>
        <v>5.2742616033756105E-4</v>
      </c>
      <c r="G496" s="10">
        <f t="shared" si="35"/>
        <v>2.6371308016878052E-4</v>
      </c>
      <c r="H496">
        <f t="shared" si="36"/>
        <v>0.85150316455697839</v>
      </c>
      <c r="I496" s="10">
        <f t="shared" si="37"/>
        <v>3.0970299482795891E-4</v>
      </c>
      <c r="J496">
        <f t="shared" si="38"/>
        <v>3.6101542462164639E-3</v>
      </c>
      <c r="K496" s="10">
        <f t="shared" si="39"/>
        <v>8.2281845337371173</v>
      </c>
    </row>
    <row r="497" spans="1:11" ht="15">
      <c r="A497" t="s">
        <v>534</v>
      </c>
      <c r="B497" s="1" t="s">
        <v>123</v>
      </c>
      <c r="C497" s="8" t="e">
        <v>#N/A</v>
      </c>
      <c r="D497" s="10" t="e">
        <v>#N/A</v>
      </c>
      <c r="E497" s="10">
        <v>0.5</v>
      </c>
      <c r="F497" s="11">
        <f>VLOOKUP(B497,Transcriptome!B:L,11,FALSE)</f>
        <v>5.2742616033756105E-4</v>
      </c>
      <c r="G497" s="10">
        <f t="shared" si="35"/>
        <v>2.6371308016878052E-4</v>
      </c>
      <c r="H497">
        <f t="shared" si="36"/>
        <v>0.85150316455697839</v>
      </c>
      <c r="I497" s="10">
        <f t="shared" si="37"/>
        <v>3.0970299482795891E-4</v>
      </c>
      <c r="J497">
        <f t="shared" si="38"/>
        <v>3.6101542462164639E-3</v>
      </c>
      <c r="K497" s="10">
        <f t="shared" si="39"/>
        <v>8.2281845337371173</v>
      </c>
    </row>
    <row r="498" spans="1:11" ht="15">
      <c r="A498" t="s">
        <v>540</v>
      </c>
      <c r="B498" s="1" t="s">
        <v>280</v>
      </c>
      <c r="C498" s="8" t="e">
        <v>#N/A</v>
      </c>
      <c r="D498" s="10" t="e">
        <v>#N/A</v>
      </c>
      <c r="E498" s="10">
        <v>0.5</v>
      </c>
      <c r="F498" s="11">
        <f>VLOOKUP(B498,Transcriptome!B:L,11,FALSE)</f>
        <v>5.2742616033756105E-4</v>
      </c>
      <c r="G498" s="10">
        <f t="shared" si="35"/>
        <v>2.6371308016878052E-4</v>
      </c>
      <c r="H498">
        <f t="shared" si="36"/>
        <v>0.85150316455697839</v>
      </c>
      <c r="I498" s="10">
        <f t="shared" si="37"/>
        <v>3.0970299482795891E-4</v>
      </c>
      <c r="J498">
        <f t="shared" si="38"/>
        <v>3.6101542462164639E-3</v>
      </c>
      <c r="K498" s="10">
        <f t="shared" si="39"/>
        <v>8.2281845337371173</v>
      </c>
    </row>
    <row r="499" spans="1:11" ht="15">
      <c r="A499" t="s">
        <v>540</v>
      </c>
      <c r="B499" s="1" t="s">
        <v>281</v>
      </c>
      <c r="C499" s="8" t="e">
        <v>#N/A</v>
      </c>
      <c r="D499" s="10" t="e">
        <v>#N/A</v>
      </c>
      <c r="E499" s="10">
        <v>0.5</v>
      </c>
      <c r="F499" s="11">
        <f>VLOOKUP(B499,Transcriptome!B:L,11,FALSE)</f>
        <v>5.2742616033756105E-4</v>
      </c>
      <c r="G499" s="10">
        <f t="shared" si="35"/>
        <v>2.6371308016878052E-4</v>
      </c>
      <c r="H499">
        <f t="shared" si="36"/>
        <v>0.85150316455697839</v>
      </c>
      <c r="I499" s="10">
        <f t="shared" si="37"/>
        <v>3.0970299482795891E-4</v>
      </c>
      <c r="J499">
        <f t="shared" si="38"/>
        <v>3.6101542462164639E-3</v>
      </c>
      <c r="K499" s="10">
        <f t="shared" si="39"/>
        <v>8.2281845337371173</v>
      </c>
    </row>
    <row r="500" spans="1:11" ht="15">
      <c r="A500" t="s">
        <v>536</v>
      </c>
      <c r="B500" s="1" t="s">
        <v>475</v>
      </c>
      <c r="C500" s="8" t="e">
        <v>#N/A</v>
      </c>
      <c r="D500" s="10" t="e">
        <v>#N/A</v>
      </c>
      <c r="E500" s="10">
        <v>0.5</v>
      </c>
      <c r="F500" s="11">
        <f>VLOOKUP(B500,Transcriptome!B:L,11,FALSE)</f>
        <v>5.2742616033756105E-4</v>
      </c>
      <c r="G500" s="10">
        <f t="shared" si="35"/>
        <v>2.6371308016878052E-4</v>
      </c>
      <c r="H500">
        <f t="shared" si="36"/>
        <v>0.85150316455697839</v>
      </c>
      <c r="I500" s="10">
        <f t="shared" si="37"/>
        <v>3.0970299482795891E-4</v>
      </c>
      <c r="J500">
        <f t="shared" si="38"/>
        <v>3.6101542462164639E-3</v>
      </c>
      <c r="K500" s="10">
        <f t="shared" si="39"/>
        <v>8.2281845337371173</v>
      </c>
    </row>
    <row r="501" spans="1:11" ht="15">
      <c r="A501" t="s">
        <v>536</v>
      </c>
      <c r="B501" s="1" t="s">
        <v>477</v>
      </c>
      <c r="C501" s="8" t="e">
        <v>#N/A</v>
      </c>
      <c r="D501" s="10" t="e">
        <v>#N/A</v>
      </c>
      <c r="E501" s="10">
        <v>0.5</v>
      </c>
      <c r="F501" s="11">
        <f>VLOOKUP(B501,Transcriptome!B:L,11,FALSE)</f>
        <v>5.2742616033756105E-4</v>
      </c>
      <c r="G501" s="10">
        <f t="shared" si="35"/>
        <v>2.6371308016878052E-4</v>
      </c>
      <c r="H501">
        <f t="shared" si="36"/>
        <v>0.85150316455697839</v>
      </c>
      <c r="I501" s="10">
        <f t="shared" si="37"/>
        <v>3.0970299482795891E-4</v>
      </c>
      <c r="J501">
        <f t="shared" si="38"/>
        <v>3.6101542462164639E-3</v>
      </c>
      <c r="K501" s="10">
        <f t="shared" si="39"/>
        <v>8.2281845337371173</v>
      </c>
    </row>
    <row r="502" spans="1:11" ht="15">
      <c r="A502" t="s">
        <v>539</v>
      </c>
      <c r="B502" s="1" t="s">
        <v>317</v>
      </c>
      <c r="C502" s="8" t="e">
        <v>#N/A</v>
      </c>
      <c r="D502" s="10" t="e">
        <v>#N/A</v>
      </c>
      <c r="E502" s="10">
        <v>0.5</v>
      </c>
      <c r="F502" s="11">
        <f>VLOOKUP(B502,Transcriptome!B:L,11,FALSE)</f>
        <v>3.6919831223629265E-3</v>
      </c>
      <c r="G502" s="10">
        <f t="shared" si="35"/>
        <v>1.8459915611814632E-3</v>
      </c>
      <c r="H502">
        <f t="shared" si="36"/>
        <v>0.85150316455697839</v>
      </c>
      <c r="I502" s="10">
        <f t="shared" si="37"/>
        <v>2.1679209637957119E-3</v>
      </c>
      <c r="J502">
        <f t="shared" si="38"/>
        <v>1.9184956135171485E-2</v>
      </c>
      <c r="K502" s="10">
        <f t="shared" si="39"/>
        <v>8.2281845337371173</v>
      </c>
    </row>
    <row r="503" spans="1:11" ht="15">
      <c r="A503" t="s">
        <v>539</v>
      </c>
      <c r="B503" s="1" t="s">
        <v>318</v>
      </c>
      <c r="C503" s="8" t="e">
        <v>#N/A</v>
      </c>
      <c r="D503" s="10" t="e">
        <v>#N/A</v>
      </c>
      <c r="E503" s="10">
        <v>0.5</v>
      </c>
      <c r="F503" s="11">
        <f>VLOOKUP(B503,Transcriptome!B:L,11,FALSE)</f>
        <v>5.0105485232068295E-3</v>
      </c>
      <c r="G503" s="10">
        <f t="shared" si="35"/>
        <v>2.5052742616034148E-3</v>
      </c>
      <c r="H503">
        <f t="shared" si="36"/>
        <v>0.85150316455697839</v>
      </c>
      <c r="I503" s="10">
        <f t="shared" si="37"/>
        <v>2.9421784508656093E-3</v>
      </c>
      <c r="J503">
        <f t="shared" si="38"/>
        <v>2.4740482999029159E-2</v>
      </c>
      <c r="K503" s="10">
        <f t="shared" si="39"/>
        <v>8.2281845337371173</v>
      </c>
    </row>
    <row r="504" spans="1:11" ht="15">
      <c r="A504" t="s">
        <v>535</v>
      </c>
      <c r="B504" s="1" t="s">
        <v>406</v>
      </c>
      <c r="C504" s="8" t="e">
        <v>#N/A</v>
      </c>
      <c r="D504" s="10" t="e">
        <v>#N/A</v>
      </c>
      <c r="E504" s="10">
        <v>0.5</v>
      </c>
      <c r="F504" s="11">
        <f>VLOOKUP(B504,Transcriptome!B:L,11,FALSE)</f>
        <v>3.6919831223629265E-3</v>
      </c>
      <c r="G504" s="10">
        <f t="shared" si="35"/>
        <v>1.8459915611814632E-3</v>
      </c>
      <c r="H504">
        <f t="shared" si="36"/>
        <v>0.85150316455697839</v>
      </c>
      <c r="I504" s="10">
        <f t="shared" si="37"/>
        <v>2.1679209637957119E-3</v>
      </c>
      <c r="J504">
        <f t="shared" si="38"/>
        <v>1.9184956135171485E-2</v>
      </c>
      <c r="K504" s="10">
        <f t="shared" si="39"/>
        <v>8.2281845337371173</v>
      </c>
    </row>
    <row r="505" spans="1:11" ht="15">
      <c r="A505" t="s">
        <v>535</v>
      </c>
      <c r="B505" s="1" t="s">
        <v>407</v>
      </c>
      <c r="C505" s="8" t="e">
        <v>#N/A</v>
      </c>
      <c r="D505" s="10" t="e">
        <v>#N/A</v>
      </c>
      <c r="E505" s="10">
        <v>0.5</v>
      </c>
      <c r="F505" s="11">
        <f>VLOOKUP(B505,Transcriptome!B:L,11,FALSE)</f>
        <v>5.0105485232068295E-3</v>
      </c>
      <c r="G505" s="10">
        <f t="shared" si="35"/>
        <v>2.5052742616034148E-3</v>
      </c>
      <c r="H505">
        <f t="shared" si="36"/>
        <v>0.85150316455697839</v>
      </c>
      <c r="I505" s="10">
        <f t="shared" si="37"/>
        <v>2.9421784508656093E-3</v>
      </c>
      <c r="J505">
        <f t="shared" si="38"/>
        <v>2.4740482999029159E-2</v>
      </c>
      <c r="K505" s="10">
        <f t="shared" si="39"/>
        <v>8.2281845337371173</v>
      </c>
    </row>
    <row r="506" spans="1:11" ht="15">
      <c r="A506" t="s">
        <v>539</v>
      </c>
      <c r="B506" s="1" t="s">
        <v>319</v>
      </c>
      <c r="C506" s="8" t="e">
        <v>#N/A</v>
      </c>
      <c r="D506" s="10" t="e">
        <v>#N/A</v>
      </c>
      <c r="E506" s="10">
        <v>0.5</v>
      </c>
      <c r="F506" s="11">
        <f>VLOOKUP(B506,Transcriptome!B:L,11,FALSE)</f>
        <v>5.2742616033756105E-4</v>
      </c>
      <c r="G506" s="10">
        <f t="shared" si="35"/>
        <v>2.6371308016878052E-4</v>
      </c>
      <c r="H506">
        <f t="shared" si="36"/>
        <v>0.85150316455697839</v>
      </c>
      <c r="I506" s="10">
        <f t="shared" si="37"/>
        <v>3.0970299482795891E-4</v>
      </c>
      <c r="J506">
        <f t="shared" si="38"/>
        <v>3.6101542462164639E-3</v>
      </c>
      <c r="K506" s="10">
        <f t="shared" si="39"/>
        <v>8.2281845337371173</v>
      </c>
    </row>
    <row r="507" spans="1:11" ht="15">
      <c r="A507" t="s">
        <v>536</v>
      </c>
      <c r="B507" s="1" t="s">
        <v>480</v>
      </c>
      <c r="C507" s="8" t="e">
        <v>#N/A</v>
      </c>
      <c r="D507" s="10" t="e">
        <v>#N/A</v>
      </c>
      <c r="E507" s="10">
        <v>0.5</v>
      </c>
      <c r="F507" s="11">
        <f>VLOOKUP(B507,Transcriptome!B:L,11,FALSE)</f>
        <v>5.2742616033756105E-4</v>
      </c>
      <c r="G507" s="10">
        <f t="shared" si="35"/>
        <v>2.6371308016878052E-4</v>
      </c>
      <c r="H507">
        <f t="shared" si="36"/>
        <v>0.85150316455697839</v>
      </c>
      <c r="I507" s="10">
        <f t="shared" si="37"/>
        <v>3.0970299482795891E-4</v>
      </c>
      <c r="J507">
        <f t="shared" si="38"/>
        <v>3.6101542462164639E-3</v>
      </c>
      <c r="K507" s="10">
        <f t="shared" si="39"/>
        <v>8.2281845337371173</v>
      </c>
    </row>
    <row r="508" spans="1:11" ht="15">
      <c r="A508" t="s">
        <v>534</v>
      </c>
      <c r="B508" s="1" t="s">
        <v>127</v>
      </c>
      <c r="C508" s="8" t="e">
        <v>#N/A</v>
      </c>
      <c r="D508" s="10" t="e">
        <v>#N/A</v>
      </c>
      <c r="E508" s="10">
        <v>0.5</v>
      </c>
      <c r="F508" s="11">
        <f>VLOOKUP(B508,Transcriptome!B:L,11,FALSE)</f>
        <v>5.2742616033756105E-4</v>
      </c>
      <c r="G508" s="10">
        <f t="shared" si="35"/>
        <v>2.6371308016878052E-4</v>
      </c>
      <c r="H508">
        <f t="shared" si="36"/>
        <v>0.85150316455697839</v>
      </c>
      <c r="I508" s="10">
        <f t="shared" si="37"/>
        <v>3.0970299482795891E-4</v>
      </c>
      <c r="J508">
        <f t="shared" si="38"/>
        <v>3.6101542462164639E-3</v>
      </c>
      <c r="K508" s="10">
        <f t="shared" si="39"/>
        <v>8.2281845337371173</v>
      </c>
    </row>
    <row r="509" spans="1:11" ht="15">
      <c r="A509" t="s">
        <v>534</v>
      </c>
      <c r="B509" s="1" t="s">
        <v>128</v>
      </c>
      <c r="C509" s="8" t="e">
        <v>#N/A</v>
      </c>
      <c r="D509" s="10" t="e">
        <v>#N/A</v>
      </c>
      <c r="E509" s="10">
        <v>0.5</v>
      </c>
      <c r="F509" s="11">
        <f>VLOOKUP(B509,Transcriptome!B:L,11,FALSE)</f>
        <v>5.2742616033756105E-4</v>
      </c>
      <c r="G509" s="10">
        <f t="shared" si="35"/>
        <v>2.6371308016878052E-4</v>
      </c>
      <c r="H509">
        <f t="shared" si="36"/>
        <v>0.85150316455697839</v>
      </c>
      <c r="I509" s="10">
        <f t="shared" si="37"/>
        <v>3.0970299482795891E-4</v>
      </c>
      <c r="J509">
        <f t="shared" si="38"/>
        <v>3.6101542462164639E-3</v>
      </c>
      <c r="K509" s="10">
        <f t="shared" si="39"/>
        <v>8.2281845337371173</v>
      </c>
    </row>
    <row r="510" spans="1:11" ht="15">
      <c r="A510" t="s">
        <v>534</v>
      </c>
      <c r="B510" s="1" t="s">
        <v>131</v>
      </c>
      <c r="C510" s="8" t="e">
        <v>#N/A</v>
      </c>
      <c r="D510" s="10" t="e">
        <v>#N/A</v>
      </c>
      <c r="E510" s="10">
        <v>0.5</v>
      </c>
      <c r="F510" s="11">
        <f>VLOOKUP(B510,Transcriptome!B:L,11,FALSE)</f>
        <v>5.2742616033756105E-4</v>
      </c>
      <c r="G510" s="10">
        <f t="shared" si="35"/>
        <v>2.6371308016878052E-4</v>
      </c>
      <c r="H510">
        <f t="shared" si="36"/>
        <v>0.85150316455697839</v>
      </c>
      <c r="I510" s="10">
        <f t="shared" si="37"/>
        <v>3.0970299482795891E-4</v>
      </c>
      <c r="J510">
        <f t="shared" si="38"/>
        <v>3.6101542462164639E-3</v>
      </c>
      <c r="K510" s="10">
        <f t="shared" si="39"/>
        <v>8.2281845337371173</v>
      </c>
    </row>
    <row r="511" spans="1:11" ht="15">
      <c r="A511" t="s">
        <v>534</v>
      </c>
      <c r="B511" s="1" t="s">
        <v>132</v>
      </c>
      <c r="C511" s="8" t="e">
        <v>#N/A</v>
      </c>
      <c r="D511" s="10" t="e">
        <v>#N/A</v>
      </c>
      <c r="E511" s="10">
        <v>0.5</v>
      </c>
      <c r="F511" s="11">
        <f>VLOOKUP(B511,Transcriptome!B:L,11,FALSE)</f>
        <v>5.2742616033756105E-4</v>
      </c>
      <c r="G511" s="10">
        <f t="shared" si="35"/>
        <v>2.6371308016878052E-4</v>
      </c>
      <c r="H511">
        <f t="shared" si="36"/>
        <v>0.85150316455697839</v>
      </c>
      <c r="I511" s="10">
        <f t="shared" si="37"/>
        <v>3.0970299482795891E-4</v>
      </c>
      <c r="J511">
        <f t="shared" si="38"/>
        <v>3.6101542462164639E-3</v>
      </c>
      <c r="K511" s="10">
        <f t="shared" si="39"/>
        <v>8.2281845337371173</v>
      </c>
    </row>
    <row r="512" spans="1:11" ht="15">
      <c r="A512" t="s">
        <v>534</v>
      </c>
      <c r="B512" s="1" t="s">
        <v>133</v>
      </c>
      <c r="C512" s="8" t="e">
        <v>#N/A</v>
      </c>
      <c r="D512" s="10" t="e">
        <v>#N/A</v>
      </c>
      <c r="E512" s="10">
        <v>0.5</v>
      </c>
      <c r="F512" s="11">
        <f>VLOOKUP(B512,Transcriptome!B:L,11,FALSE)</f>
        <v>5.2742616033756105E-4</v>
      </c>
      <c r="G512" s="10">
        <f t="shared" si="35"/>
        <v>2.6371308016878052E-4</v>
      </c>
      <c r="H512">
        <f t="shared" si="36"/>
        <v>0.85150316455697839</v>
      </c>
      <c r="I512" s="10">
        <f t="shared" si="37"/>
        <v>3.0970299482795891E-4</v>
      </c>
      <c r="J512">
        <f t="shared" si="38"/>
        <v>3.6101542462164639E-3</v>
      </c>
      <c r="K512" s="10">
        <f t="shared" si="39"/>
        <v>8.2281845337371173</v>
      </c>
    </row>
    <row r="513" spans="1:11" ht="15">
      <c r="A513" t="s">
        <v>534</v>
      </c>
      <c r="B513" s="1" t="s">
        <v>134</v>
      </c>
      <c r="C513" s="8" t="e">
        <v>#N/A</v>
      </c>
      <c r="D513" s="10" t="e">
        <v>#N/A</v>
      </c>
      <c r="E513" s="10">
        <v>0.5</v>
      </c>
      <c r="F513" s="11">
        <f>VLOOKUP(B513,Transcriptome!B:L,11,FALSE)</f>
        <v>5.2742616033756105E-4</v>
      </c>
      <c r="G513" s="10">
        <f t="shared" si="35"/>
        <v>2.6371308016878052E-4</v>
      </c>
      <c r="H513">
        <f t="shared" si="36"/>
        <v>0.85150316455697839</v>
      </c>
      <c r="I513" s="10">
        <f t="shared" si="37"/>
        <v>3.0970299482795891E-4</v>
      </c>
      <c r="J513">
        <f t="shared" si="38"/>
        <v>3.6101542462164639E-3</v>
      </c>
      <c r="K513" s="10">
        <f t="shared" si="39"/>
        <v>8.2281845337371173</v>
      </c>
    </row>
    <row r="514" spans="1:11">
      <c r="A514" t="s">
        <v>534</v>
      </c>
      <c r="B514" s="2" t="s">
        <v>137</v>
      </c>
      <c r="C514" s="8" t="e">
        <v>#N/A</v>
      </c>
      <c r="D514" s="10" t="e">
        <v>#N/A</v>
      </c>
      <c r="E514" s="10">
        <v>0.5</v>
      </c>
      <c r="F514" s="11">
        <f>VLOOKUP(B514,Transcriptome!B:L,11,FALSE)</f>
        <v>5.2742616033756105E-4</v>
      </c>
      <c r="G514" s="10">
        <f t="shared" ref="G514:G522" si="40">E514*F514</f>
        <v>2.6371308016878052E-4</v>
      </c>
      <c r="H514">
        <f t="shared" ref="H514:H522" si="41">SUM($G$2:$G$522)</f>
        <v>0.85150316455697839</v>
      </c>
      <c r="I514" s="10">
        <f t="shared" ref="I514:I522" si="42">G514/H514</f>
        <v>3.0970299482795891E-4</v>
      </c>
      <c r="J514">
        <f t="shared" ref="J514:J522" si="43">-I514*LOG(I514,2)</f>
        <v>3.6101542462164639E-3</v>
      </c>
      <c r="K514" s="10">
        <f t="shared" ref="K514:K522" si="44">SUM($J$2:$J$522)</f>
        <v>8.2281845337371173</v>
      </c>
    </row>
    <row r="515" spans="1:11" ht="15">
      <c r="A515" t="s">
        <v>538</v>
      </c>
      <c r="B515" s="1" t="s">
        <v>145</v>
      </c>
      <c r="C515" s="8" t="e">
        <v>#N/A</v>
      </c>
      <c r="D515" s="10" t="e">
        <v>#N/A</v>
      </c>
      <c r="E515" s="10">
        <v>0.5</v>
      </c>
      <c r="F515" s="11">
        <f>VLOOKUP(B515,Transcriptome!B:L,11,FALSE)</f>
        <v>5.2742616033756105E-4</v>
      </c>
      <c r="G515" s="10">
        <f t="shared" si="40"/>
        <v>2.6371308016878052E-4</v>
      </c>
      <c r="H515">
        <f t="shared" si="41"/>
        <v>0.85150316455697839</v>
      </c>
      <c r="I515" s="10">
        <f t="shared" si="42"/>
        <v>3.0970299482795891E-4</v>
      </c>
      <c r="J515">
        <f t="shared" si="43"/>
        <v>3.6101542462164639E-3</v>
      </c>
      <c r="K515" s="10">
        <f t="shared" si="44"/>
        <v>8.2281845337371173</v>
      </c>
    </row>
    <row r="516" spans="1:11" ht="15">
      <c r="A516" t="s">
        <v>536</v>
      </c>
      <c r="B516" s="1" t="s">
        <v>481</v>
      </c>
      <c r="C516" s="8" t="e">
        <v>#N/A</v>
      </c>
      <c r="D516" s="10" t="e">
        <v>#N/A</v>
      </c>
      <c r="E516" s="10">
        <v>0.5</v>
      </c>
      <c r="F516" s="11">
        <f>VLOOKUP(B516,Transcriptome!B:L,11,FALSE)</f>
        <v>3.6919831223629265E-3</v>
      </c>
      <c r="G516" s="10">
        <f t="shared" si="40"/>
        <v>1.8459915611814632E-3</v>
      </c>
      <c r="H516">
        <f t="shared" si="41"/>
        <v>0.85150316455697839</v>
      </c>
      <c r="I516" s="10">
        <f t="shared" si="42"/>
        <v>2.1679209637957119E-3</v>
      </c>
      <c r="J516">
        <f t="shared" si="43"/>
        <v>1.9184956135171485E-2</v>
      </c>
      <c r="K516" s="10">
        <f t="shared" si="44"/>
        <v>8.2281845337371173</v>
      </c>
    </row>
    <row r="517" spans="1:11" ht="15">
      <c r="A517" t="s">
        <v>535</v>
      </c>
      <c r="B517" s="1" t="s">
        <v>408</v>
      </c>
      <c r="C517" s="8" t="e">
        <v>#N/A</v>
      </c>
      <c r="D517" s="10" t="e">
        <v>#N/A</v>
      </c>
      <c r="E517" s="10">
        <v>0.5</v>
      </c>
      <c r="F517" s="11">
        <f>VLOOKUP(B517,Transcriptome!B:L,11,FALSE)</f>
        <v>5.2742616033756105E-4</v>
      </c>
      <c r="G517" s="10">
        <f t="shared" si="40"/>
        <v>2.6371308016878052E-4</v>
      </c>
      <c r="H517">
        <f t="shared" si="41"/>
        <v>0.85150316455697839</v>
      </c>
      <c r="I517" s="10">
        <f t="shared" si="42"/>
        <v>3.0970299482795891E-4</v>
      </c>
      <c r="J517">
        <f t="shared" si="43"/>
        <v>3.6101542462164639E-3</v>
      </c>
      <c r="K517" s="10">
        <f t="shared" si="44"/>
        <v>8.2281845337371173</v>
      </c>
    </row>
    <row r="518" spans="1:11" ht="15">
      <c r="A518" t="s">
        <v>535</v>
      </c>
      <c r="B518" s="1" t="s">
        <v>410</v>
      </c>
      <c r="C518" s="8" t="e">
        <v>#N/A</v>
      </c>
      <c r="D518" s="10" t="e">
        <v>#N/A</v>
      </c>
      <c r="E518" s="10">
        <v>0.5</v>
      </c>
      <c r="F518" s="11">
        <f>VLOOKUP(B518,Transcriptome!B:L,11,FALSE)</f>
        <v>5.2742616033756105E-4</v>
      </c>
      <c r="G518" s="10">
        <f t="shared" si="40"/>
        <v>2.6371308016878052E-4</v>
      </c>
      <c r="H518">
        <f t="shared" si="41"/>
        <v>0.85150316455697839</v>
      </c>
      <c r="I518" s="10">
        <f t="shared" si="42"/>
        <v>3.0970299482795891E-4</v>
      </c>
      <c r="J518">
        <f t="shared" si="43"/>
        <v>3.6101542462164639E-3</v>
      </c>
      <c r="K518" s="10">
        <f t="shared" si="44"/>
        <v>8.2281845337371173</v>
      </c>
    </row>
    <row r="519" spans="1:11" ht="15">
      <c r="A519" t="s">
        <v>536</v>
      </c>
      <c r="B519" s="1" t="s">
        <v>485</v>
      </c>
      <c r="C519" s="8" t="e">
        <v>#N/A</v>
      </c>
      <c r="D519" s="10" t="e">
        <v>#N/A</v>
      </c>
      <c r="E519" s="10">
        <v>0.5</v>
      </c>
      <c r="F519" s="11">
        <f>VLOOKUP(B519,Transcriptome!B:L,11,FALSE)</f>
        <v>5.2742616033756105E-4</v>
      </c>
      <c r="G519" s="10">
        <f t="shared" si="40"/>
        <v>2.6371308016878052E-4</v>
      </c>
      <c r="H519">
        <f t="shared" si="41"/>
        <v>0.85150316455697839</v>
      </c>
      <c r="I519" s="10">
        <f t="shared" si="42"/>
        <v>3.0970299482795891E-4</v>
      </c>
      <c r="J519">
        <f t="shared" si="43"/>
        <v>3.6101542462164639E-3</v>
      </c>
      <c r="K519" s="10">
        <f t="shared" si="44"/>
        <v>8.2281845337371173</v>
      </c>
    </row>
    <row r="520" spans="1:11" ht="15">
      <c r="A520" t="s">
        <v>536</v>
      </c>
      <c r="B520" s="1" t="s">
        <v>486</v>
      </c>
      <c r="C520" s="8" t="e">
        <v>#N/A</v>
      </c>
      <c r="D520" s="10" t="e">
        <v>#N/A</v>
      </c>
      <c r="E520" s="10">
        <v>0.5</v>
      </c>
      <c r="F520" s="11">
        <f>VLOOKUP(B520,Transcriptome!B:L,11,FALSE)</f>
        <v>5.2742616033756105E-4</v>
      </c>
      <c r="G520" s="10">
        <f t="shared" si="40"/>
        <v>2.6371308016878052E-4</v>
      </c>
      <c r="H520">
        <f t="shared" si="41"/>
        <v>0.85150316455697839</v>
      </c>
      <c r="I520" s="10">
        <f t="shared" si="42"/>
        <v>3.0970299482795891E-4</v>
      </c>
      <c r="J520">
        <f t="shared" si="43"/>
        <v>3.6101542462164639E-3</v>
      </c>
      <c r="K520" s="10">
        <f t="shared" si="44"/>
        <v>8.2281845337371173</v>
      </c>
    </row>
    <row r="521" spans="1:11" ht="15">
      <c r="A521" t="s">
        <v>536</v>
      </c>
      <c r="B521" s="1" t="s">
        <v>487</v>
      </c>
      <c r="C521" s="8" t="e">
        <v>#N/A</v>
      </c>
      <c r="D521" s="10" t="e">
        <v>#N/A</v>
      </c>
      <c r="E521" s="10">
        <v>0.5</v>
      </c>
      <c r="F521" s="11">
        <f>VLOOKUP(B521,Transcriptome!B:L,11,FALSE)</f>
        <v>3.6919831223629265E-3</v>
      </c>
      <c r="G521" s="10">
        <f t="shared" si="40"/>
        <v>1.8459915611814632E-3</v>
      </c>
      <c r="H521">
        <f t="shared" si="41"/>
        <v>0.85150316455697839</v>
      </c>
      <c r="I521" s="10">
        <f t="shared" si="42"/>
        <v>2.1679209637957119E-3</v>
      </c>
      <c r="J521">
        <f t="shared" si="43"/>
        <v>1.9184956135171485E-2</v>
      </c>
      <c r="K521" s="10">
        <f t="shared" si="44"/>
        <v>8.2281845337371173</v>
      </c>
    </row>
    <row r="522" spans="1:11" ht="15">
      <c r="A522" t="s">
        <v>535</v>
      </c>
      <c r="B522" s="1" t="s">
        <v>412</v>
      </c>
      <c r="C522" s="8" t="e">
        <v>#N/A</v>
      </c>
      <c r="D522" s="10" t="e">
        <v>#N/A</v>
      </c>
      <c r="E522" s="10">
        <v>0.5</v>
      </c>
      <c r="F522" s="11">
        <f>VLOOKUP(B522,Transcriptome!B:L,11,FALSE)</f>
        <v>5.2742616033756105E-4</v>
      </c>
      <c r="G522" s="10">
        <f t="shared" si="40"/>
        <v>2.6371308016878052E-4</v>
      </c>
      <c r="H522">
        <f t="shared" si="41"/>
        <v>0.85150316455697839</v>
      </c>
      <c r="I522" s="10">
        <f t="shared" si="42"/>
        <v>3.0970299482795891E-4</v>
      </c>
      <c r="J522">
        <f t="shared" si="43"/>
        <v>3.6101542462164639E-3</v>
      </c>
      <c r="K522" s="10">
        <f t="shared" si="44"/>
        <v>8.2281845337371173</v>
      </c>
    </row>
    <row r="523" spans="1:11">
      <c r="B523" s="2"/>
      <c r="F523" s="11"/>
    </row>
  </sheetData>
  <sortState ref="A2:K523">
    <sortCondition ref="D1"/>
  </sortState>
  <hyperlinks>
    <hyperlink ref="B407" r:id="rId1" display="http://www.uniprot.org/uniprot/Q8WTQ7"/>
    <hyperlink ref="B401" r:id="rId2" display="http://www.uniprot.org/uniprot/Q8C0V7"/>
    <hyperlink ref="B402" r:id="rId3" display="http://www.uniprot.org/uniprot/Q8C0N0"/>
    <hyperlink ref="B403" r:id="rId4" display="http://www.uniprot.org/uniprot/A0AUV4"/>
    <hyperlink ref="B463" r:id="rId5" display="http://www.uniprot.org/uniprot/Q96QS6"/>
    <hyperlink ref="B487" r:id="rId6" display="http://www.uniprot.org/uniprot/Q9UEE5"/>
    <hyperlink ref="B482" r:id="rId7" display="http://www.uniprot.org/uniprot/Q9QYZ6"/>
    <hyperlink ref="B483" r:id="rId8" display="http://www.uniprot.org/uniprot/Q9QYZ3"/>
    <hyperlink ref="B484" r:id="rId9" display="http://www.uniprot.org/uniprot/Q9QYZ5"/>
    <hyperlink ref="B514" r:id="rId10" display="http://www.uniprot.org/uniprot/Q8C1R0"/>
    <hyperlink ref="B380" r:id="rId11" display="http://www.uniprot.org/uniprot/Q8N752"/>
    <hyperlink ref="B373" r:id="rId12" display="http://www.uniprot.org/uniprot/Q9UQ88"/>
    <hyperlink ref="B117" r:id="rId13" display="http://www.uniprot.org/uniprot/Q02846"/>
    <hyperlink ref="B409" r:id="rId14" display="http://www.uniprot.org/uniprot/P52785"/>
    <hyperlink ref="B410" r:id="rId15" display="http://www.uniprot.org/uniprot/Q6TL19"/>
    <hyperlink ref="B481" r:id="rId16" display="http://www.uniprot.org/uniprot/Q9QYZ4"/>
    <hyperlink ref="B485" r:id="rId17" display="http://www.uniprot.org/uniprot/A0JLX3"/>
    <hyperlink ref="B486" r:id="rId18" display="http://www.uniprot.org/uniprot/A2KF29"/>
    <hyperlink ref="B383" r:id="rId19" display="http://www.uniprot.org/uniprot/Q8NEV1"/>
  </hyperlink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2"/>
  <sheetViews>
    <sheetView topLeftCell="A61" workbookViewId="0">
      <selection activeCell="L6" sqref="L6"/>
    </sheetView>
  </sheetViews>
  <sheetFormatPr baseColWidth="10" defaultColWidth="8.83203125" defaultRowHeight="14" x14ac:dyDescent="0"/>
  <cols>
    <col min="2" max="2" width="10.1640625" customWidth="1"/>
    <col min="3" max="3" width="11.83203125" customWidth="1"/>
    <col min="4" max="4" width="10.6640625" customWidth="1"/>
    <col min="5" max="5" width="11.5" style="10" customWidth="1"/>
    <col min="7" max="7" width="11.1640625" style="10" customWidth="1"/>
    <col min="8" max="8" width="12.33203125" customWidth="1"/>
    <col min="9" max="9" width="11.5" bestFit="1" customWidth="1"/>
    <col min="12" max="12" width="11.6640625" customWidth="1"/>
  </cols>
  <sheetData>
    <row r="1" spans="1:12" s="9" customFormat="1" ht="45">
      <c r="A1" s="9" t="s">
        <v>523</v>
      </c>
      <c r="B1" s="9" t="s">
        <v>520</v>
      </c>
      <c r="C1" s="9" t="s">
        <v>611</v>
      </c>
      <c r="D1" s="12" t="s">
        <v>615</v>
      </c>
      <c r="E1" s="9" t="s">
        <v>612</v>
      </c>
      <c r="F1" s="6" t="s">
        <v>526</v>
      </c>
      <c r="G1" s="9" t="s">
        <v>527</v>
      </c>
      <c r="H1" s="9" t="s">
        <v>613</v>
      </c>
      <c r="I1" s="6" t="s">
        <v>614</v>
      </c>
      <c r="K1" s="9" t="s">
        <v>616</v>
      </c>
      <c r="L1" s="9" t="s">
        <v>911</v>
      </c>
    </row>
    <row r="2" spans="1:12">
      <c r="A2" t="s">
        <v>537</v>
      </c>
      <c r="B2" t="s">
        <v>176</v>
      </c>
      <c r="C2">
        <f>VLOOKUP(B2,Proteome!B:I,8,FALSE)</f>
        <v>5.5901390566446578E-3</v>
      </c>
      <c r="D2">
        <f t="shared" ref="D2:D65" si="0">VLOOKUP(A2,$K$2:$L$12,2,FALSE)</f>
        <v>0.9</v>
      </c>
      <c r="E2" s="10">
        <f t="shared" ref="E2:E65" si="1">C2*D2</f>
        <v>5.0311251509801919E-3</v>
      </c>
      <c r="F2">
        <f t="shared" ref="F2:F65" si="2">SUM($E$2:$E$522)</f>
        <v>0.36158134349158805</v>
      </c>
      <c r="G2" s="10">
        <f t="shared" ref="G2:G65" si="3">E2/F2</f>
        <v>1.3914227715394386E-2</v>
      </c>
      <c r="H2">
        <f t="shared" ref="H2:H65" si="4">-G2*LOG(G2,2)</f>
        <v>8.5813151931409579E-2</v>
      </c>
      <c r="I2" s="10">
        <f t="shared" ref="I2:I65" si="5">SUM($H$2:$H$522)</f>
        <v>7.7265767205094624</v>
      </c>
      <c r="K2" t="s">
        <v>524</v>
      </c>
      <c r="L2">
        <v>0.1</v>
      </c>
    </row>
    <row r="3" spans="1:12">
      <c r="A3" t="s">
        <v>537</v>
      </c>
      <c r="B3" t="s">
        <v>186</v>
      </c>
      <c r="C3">
        <f>VLOOKUP(B3,Proteome!B:I,8,FALSE)</f>
        <v>5.5901390566446578E-3</v>
      </c>
      <c r="D3">
        <f t="shared" si="0"/>
        <v>0.9</v>
      </c>
      <c r="E3" s="10">
        <f t="shared" si="1"/>
        <v>5.0311251509801919E-3</v>
      </c>
      <c r="F3">
        <f t="shared" si="2"/>
        <v>0.36158134349158805</v>
      </c>
      <c r="G3" s="10">
        <f t="shared" si="3"/>
        <v>1.3914227715394386E-2</v>
      </c>
      <c r="H3">
        <f t="shared" si="4"/>
        <v>8.5813151931409579E-2</v>
      </c>
      <c r="I3" s="10">
        <f t="shared" si="5"/>
        <v>7.7265767205094624</v>
      </c>
      <c r="K3" t="s">
        <v>534</v>
      </c>
      <c r="L3">
        <v>0.1</v>
      </c>
    </row>
    <row r="4" spans="1:12">
      <c r="A4" t="s">
        <v>537</v>
      </c>
      <c r="B4" t="s">
        <v>193</v>
      </c>
      <c r="C4">
        <f>VLOOKUP(B4,Proteome!B:I,8,FALSE)</f>
        <v>5.5901390566446578E-3</v>
      </c>
      <c r="D4">
        <f t="shared" si="0"/>
        <v>0.9</v>
      </c>
      <c r="E4" s="10">
        <f t="shared" si="1"/>
        <v>5.0311251509801919E-3</v>
      </c>
      <c r="F4">
        <f t="shared" si="2"/>
        <v>0.36158134349158805</v>
      </c>
      <c r="G4" s="10">
        <f t="shared" si="3"/>
        <v>1.3914227715394386E-2</v>
      </c>
      <c r="H4">
        <f t="shared" si="4"/>
        <v>8.5813151931409579E-2</v>
      </c>
      <c r="I4" s="10">
        <f t="shared" si="5"/>
        <v>7.7265767205094624</v>
      </c>
      <c r="K4" t="s">
        <v>535</v>
      </c>
      <c r="L4">
        <v>0.1</v>
      </c>
    </row>
    <row r="5" spans="1:12">
      <c r="A5" t="s">
        <v>537</v>
      </c>
      <c r="B5" t="s">
        <v>196</v>
      </c>
      <c r="C5">
        <f>VLOOKUP(B5,Proteome!B:I,8,FALSE)</f>
        <v>5.5901390566446578E-3</v>
      </c>
      <c r="D5">
        <f t="shared" si="0"/>
        <v>0.9</v>
      </c>
      <c r="E5" s="10">
        <f t="shared" si="1"/>
        <v>5.0311251509801919E-3</v>
      </c>
      <c r="F5">
        <f t="shared" si="2"/>
        <v>0.36158134349158805</v>
      </c>
      <c r="G5" s="10">
        <f t="shared" si="3"/>
        <v>1.3914227715394386E-2</v>
      </c>
      <c r="H5">
        <f t="shared" si="4"/>
        <v>8.5813151931409579E-2</v>
      </c>
      <c r="I5" s="10">
        <f t="shared" si="5"/>
        <v>7.7265767205094624</v>
      </c>
      <c r="K5" t="s">
        <v>538</v>
      </c>
      <c r="L5">
        <v>0.3</v>
      </c>
    </row>
    <row r="6" spans="1:12">
      <c r="A6" t="s">
        <v>537</v>
      </c>
      <c r="B6" t="s">
        <v>197</v>
      </c>
      <c r="C6">
        <f>VLOOKUP(B6,Proteome!B:I,8,FALSE)</f>
        <v>5.5901390566446578E-3</v>
      </c>
      <c r="D6">
        <f t="shared" si="0"/>
        <v>0.9</v>
      </c>
      <c r="E6" s="10">
        <f t="shared" si="1"/>
        <v>5.0311251509801919E-3</v>
      </c>
      <c r="F6">
        <f t="shared" si="2"/>
        <v>0.36158134349158805</v>
      </c>
      <c r="G6" s="10">
        <f t="shared" si="3"/>
        <v>1.3914227715394386E-2</v>
      </c>
      <c r="H6">
        <f t="shared" si="4"/>
        <v>8.5813151931409579E-2</v>
      </c>
      <c r="I6" s="10">
        <f t="shared" si="5"/>
        <v>7.7265767205094624</v>
      </c>
      <c r="K6" t="s">
        <v>542</v>
      </c>
      <c r="L6">
        <v>0.5</v>
      </c>
    </row>
    <row r="7" spans="1:12">
      <c r="A7" t="s">
        <v>537</v>
      </c>
      <c r="B7" t="s">
        <v>198</v>
      </c>
      <c r="C7">
        <f>VLOOKUP(B7,Proteome!B:I,8,FALSE)</f>
        <v>5.5901390566446578E-3</v>
      </c>
      <c r="D7">
        <f t="shared" si="0"/>
        <v>0.9</v>
      </c>
      <c r="E7" s="10">
        <f t="shared" si="1"/>
        <v>5.0311251509801919E-3</v>
      </c>
      <c r="F7">
        <f t="shared" si="2"/>
        <v>0.36158134349158805</v>
      </c>
      <c r="G7" s="10">
        <f t="shared" si="3"/>
        <v>1.3914227715394386E-2</v>
      </c>
      <c r="H7">
        <f t="shared" si="4"/>
        <v>8.5813151931409579E-2</v>
      </c>
      <c r="I7" s="10">
        <f t="shared" si="5"/>
        <v>7.7265767205094624</v>
      </c>
      <c r="K7" t="s">
        <v>536</v>
      </c>
      <c r="L7">
        <v>0.5</v>
      </c>
    </row>
    <row r="8" spans="1:12">
      <c r="A8" t="s">
        <v>537</v>
      </c>
      <c r="B8" t="s">
        <v>200</v>
      </c>
      <c r="C8">
        <f>VLOOKUP(B8,Proteome!B:I,8,FALSE)</f>
        <v>5.5901390566446578E-3</v>
      </c>
      <c r="D8">
        <f t="shared" si="0"/>
        <v>0.9</v>
      </c>
      <c r="E8" s="10">
        <f t="shared" si="1"/>
        <v>5.0311251509801919E-3</v>
      </c>
      <c r="F8">
        <f t="shared" si="2"/>
        <v>0.36158134349158805</v>
      </c>
      <c r="G8" s="10">
        <f t="shared" si="3"/>
        <v>1.3914227715394386E-2</v>
      </c>
      <c r="H8">
        <f t="shared" si="4"/>
        <v>8.5813151931409579E-2</v>
      </c>
      <c r="I8" s="10">
        <f t="shared" si="5"/>
        <v>7.7265767205094624</v>
      </c>
      <c r="K8" t="s">
        <v>539</v>
      </c>
      <c r="L8">
        <v>0.3</v>
      </c>
    </row>
    <row r="9" spans="1:12">
      <c r="A9" t="s">
        <v>537</v>
      </c>
      <c r="B9" t="s">
        <v>208</v>
      </c>
      <c r="C9">
        <f>VLOOKUP(B9,Proteome!B:I,8,FALSE)</f>
        <v>5.5901390566446578E-3</v>
      </c>
      <c r="D9">
        <f t="shared" si="0"/>
        <v>0.9</v>
      </c>
      <c r="E9" s="10">
        <f t="shared" si="1"/>
        <v>5.0311251509801919E-3</v>
      </c>
      <c r="F9">
        <f t="shared" si="2"/>
        <v>0.36158134349158805</v>
      </c>
      <c r="G9" s="10">
        <f t="shared" si="3"/>
        <v>1.3914227715394386E-2</v>
      </c>
      <c r="H9">
        <f t="shared" si="4"/>
        <v>8.5813151931409579E-2</v>
      </c>
      <c r="I9" s="10">
        <f t="shared" si="5"/>
        <v>7.7265767205094624</v>
      </c>
      <c r="K9" t="s">
        <v>537</v>
      </c>
      <c r="L9">
        <v>0.9</v>
      </c>
    </row>
    <row r="10" spans="1:12">
      <c r="A10" t="s">
        <v>537</v>
      </c>
      <c r="B10" t="s">
        <v>162</v>
      </c>
      <c r="C10">
        <f>VLOOKUP(B10,Proteome!B:I,8,FALSE)</f>
        <v>5.5901390566446578E-3</v>
      </c>
      <c r="D10">
        <f t="shared" si="0"/>
        <v>0.9</v>
      </c>
      <c r="E10" s="10">
        <f t="shared" si="1"/>
        <v>5.0311251509801919E-3</v>
      </c>
      <c r="F10">
        <f t="shared" si="2"/>
        <v>0.36158134349158805</v>
      </c>
      <c r="G10" s="10">
        <f t="shared" si="3"/>
        <v>1.3914227715394386E-2</v>
      </c>
      <c r="H10">
        <f t="shared" si="4"/>
        <v>8.5813151931409579E-2</v>
      </c>
      <c r="I10" s="10">
        <f t="shared" si="5"/>
        <v>7.7265767205094624</v>
      </c>
      <c r="K10" t="s">
        <v>540</v>
      </c>
      <c r="L10">
        <v>0.3</v>
      </c>
    </row>
    <row r="11" spans="1:12">
      <c r="A11" t="s">
        <v>537</v>
      </c>
      <c r="B11" t="s">
        <v>165</v>
      </c>
      <c r="C11">
        <f>VLOOKUP(B11,Proteome!B:I,8,FALSE)</f>
        <v>5.5901390566446578E-3</v>
      </c>
      <c r="D11">
        <f t="shared" si="0"/>
        <v>0.9</v>
      </c>
      <c r="E11" s="10">
        <f t="shared" si="1"/>
        <v>5.0311251509801919E-3</v>
      </c>
      <c r="F11">
        <f t="shared" si="2"/>
        <v>0.36158134349158805</v>
      </c>
      <c r="G11" s="10">
        <f t="shared" si="3"/>
        <v>1.3914227715394386E-2</v>
      </c>
      <c r="H11">
        <f t="shared" si="4"/>
        <v>8.5813151931409579E-2</v>
      </c>
      <c r="I11" s="10">
        <f t="shared" si="5"/>
        <v>7.7265767205094624</v>
      </c>
      <c r="K11" t="s">
        <v>543</v>
      </c>
      <c r="L11">
        <v>0.1</v>
      </c>
    </row>
    <row r="12" spans="1:12">
      <c r="A12" t="s">
        <v>537</v>
      </c>
      <c r="B12" t="s">
        <v>167</v>
      </c>
      <c r="C12">
        <f>VLOOKUP(B12,Proteome!B:I,8,FALSE)</f>
        <v>5.5901390566446578E-3</v>
      </c>
      <c r="D12">
        <f t="shared" si="0"/>
        <v>0.9</v>
      </c>
      <c r="E12" s="10">
        <f t="shared" si="1"/>
        <v>5.0311251509801919E-3</v>
      </c>
      <c r="F12">
        <f t="shared" si="2"/>
        <v>0.36158134349158805</v>
      </c>
      <c r="G12" s="10">
        <f t="shared" si="3"/>
        <v>1.3914227715394386E-2</v>
      </c>
      <c r="H12">
        <f t="shared" si="4"/>
        <v>8.5813151931409579E-2</v>
      </c>
      <c r="I12" s="10">
        <f t="shared" si="5"/>
        <v>7.7265767205094624</v>
      </c>
      <c r="K12" t="s">
        <v>541</v>
      </c>
      <c r="L12">
        <v>0.3</v>
      </c>
    </row>
    <row r="13" spans="1:12">
      <c r="A13" t="s">
        <v>537</v>
      </c>
      <c r="B13" t="s">
        <v>169</v>
      </c>
      <c r="C13">
        <f>VLOOKUP(B13,Proteome!B:I,8,FALSE)</f>
        <v>5.5901390566446578E-3</v>
      </c>
      <c r="D13">
        <f t="shared" si="0"/>
        <v>0.9</v>
      </c>
      <c r="E13" s="10">
        <f t="shared" si="1"/>
        <v>5.0311251509801919E-3</v>
      </c>
      <c r="F13">
        <f t="shared" si="2"/>
        <v>0.36158134349158805</v>
      </c>
      <c r="G13" s="10">
        <f t="shared" si="3"/>
        <v>1.3914227715394386E-2</v>
      </c>
      <c r="H13">
        <f t="shared" si="4"/>
        <v>8.5813151931409579E-2</v>
      </c>
      <c r="I13" s="10">
        <f t="shared" si="5"/>
        <v>7.7265767205094624</v>
      </c>
    </row>
    <row r="14" spans="1:12">
      <c r="A14" t="s">
        <v>537</v>
      </c>
      <c r="B14" t="s">
        <v>170</v>
      </c>
      <c r="C14">
        <f>VLOOKUP(B14,Proteome!B:I,8,FALSE)</f>
        <v>5.5901390566446578E-3</v>
      </c>
      <c r="D14">
        <f t="shared" si="0"/>
        <v>0.9</v>
      </c>
      <c r="E14" s="10">
        <f t="shared" si="1"/>
        <v>5.0311251509801919E-3</v>
      </c>
      <c r="F14">
        <f t="shared" si="2"/>
        <v>0.36158134349158805</v>
      </c>
      <c r="G14" s="10">
        <f t="shared" si="3"/>
        <v>1.3914227715394386E-2</v>
      </c>
      <c r="H14">
        <f t="shared" si="4"/>
        <v>8.5813151931409579E-2</v>
      </c>
      <c r="I14" s="10">
        <f t="shared" si="5"/>
        <v>7.7265767205094624</v>
      </c>
    </row>
    <row r="15" spans="1:12">
      <c r="A15" t="s">
        <v>537</v>
      </c>
      <c r="B15" t="s">
        <v>171</v>
      </c>
      <c r="C15">
        <f>VLOOKUP(B15,Proteome!B:I,8,FALSE)</f>
        <v>5.5901390566446578E-3</v>
      </c>
      <c r="D15">
        <f t="shared" si="0"/>
        <v>0.9</v>
      </c>
      <c r="E15" s="10">
        <f t="shared" si="1"/>
        <v>5.0311251509801919E-3</v>
      </c>
      <c r="F15">
        <f t="shared" si="2"/>
        <v>0.36158134349158805</v>
      </c>
      <c r="G15" s="10">
        <f t="shared" si="3"/>
        <v>1.3914227715394386E-2</v>
      </c>
      <c r="H15">
        <f t="shared" si="4"/>
        <v>8.5813151931409579E-2</v>
      </c>
      <c r="I15" s="10">
        <f t="shared" si="5"/>
        <v>7.7265767205094624</v>
      </c>
    </row>
    <row r="16" spans="1:12">
      <c r="A16" t="s">
        <v>537</v>
      </c>
      <c r="B16" t="s">
        <v>177</v>
      </c>
      <c r="C16">
        <f>VLOOKUP(B16,Proteome!B:I,8,FALSE)</f>
        <v>5.5901390566446578E-3</v>
      </c>
      <c r="D16">
        <f t="shared" si="0"/>
        <v>0.9</v>
      </c>
      <c r="E16" s="10">
        <f t="shared" si="1"/>
        <v>5.0311251509801919E-3</v>
      </c>
      <c r="F16">
        <f t="shared" si="2"/>
        <v>0.36158134349158805</v>
      </c>
      <c r="G16" s="10">
        <f t="shared" si="3"/>
        <v>1.3914227715394386E-2</v>
      </c>
      <c r="H16">
        <f t="shared" si="4"/>
        <v>8.5813151931409579E-2</v>
      </c>
      <c r="I16" s="10">
        <f t="shared" si="5"/>
        <v>7.7265767205094624</v>
      </c>
    </row>
    <row r="17" spans="1:9">
      <c r="A17" t="s">
        <v>537</v>
      </c>
      <c r="B17" t="s">
        <v>180</v>
      </c>
      <c r="C17">
        <f>VLOOKUP(B17,Proteome!B:I,8,FALSE)</f>
        <v>5.5901390566446578E-3</v>
      </c>
      <c r="D17">
        <f t="shared" si="0"/>
        <v>0.9</v>
      </c>
      <c r="E17" s="10">
        <f t="shared" si="1"/>
        <v>5.0311251509801919E-3</v>
      </c>
      <c r="F17">
        <f t="shared" si="2"/>
        <v>0.36158134349158805</v>
      </c>
      <c r="G17" s="10">
        <f t="shared" si="3"/>
        <v>1.3914227715394386E-2</v>
      </c>
      <c r="H17">
        <f t="shared" si="4"/>
        <v>8.5813151931409579E-2</v>
      </c>
      <c r="I17" s="10">
        <f t="shared" si="5"/>
        <v>7.7265767205094624</v>
      </c>
    </row>
    <row r="18" spans="1:9">
      <c r="A18" t="s">
        <v>537</v>
      </c>
      <c r="B18" t="s">
        <v>187</v>
      </c>
      <c r="C18">
        <f>VLOOKUP(B18,Proteome!B:I,8,FALSE)</f>
        <v>2.9421784508656093E-3</v>
      </c>
      <c r="D18">
        <f t="shared" si="0"/>
        <v>0.9</v>
      </c>
      <c r="E18" s="10">
        <f t="shared" si="1"/>
        <v>2.6479606057790484E-3</v>
      </c>
      <c r="F18">
        <f t="shared" si="2"/>
        <v>0.36158134349158805</v>
      </c>
      <c r="G18" s="10">
        <f t="shared" si="3"/>
        <v>7.3232777449444139E-3</v>
      </c>
      <c r="H18">
        <f t="shared" si="4"/>
        <v>5.1946167739749298E-2</v>
      </c>
      <c r="I18" s="10">
        <f t="shared" si="5"/>
        <v>7.7265767205094624</v>
      </c>
    </row>
    <row r="19" spans="1:9">
      <c r="A19" t="s">
        <v>537</v>
      </c>
      <c r="B19" t="s">
        <v>189</v>
      </c>
      <c r="C19">
        <f>VLOOKUP(B19,Proteome!B:I,8,FALSE)</f>
        <v>2.9421784508656093E-3</v>
      </c>
      <c r="D19">
        <f t="shared" si="0"/>
        <v>0.9</v>
      </c>
      <c r="E19" s="10">
        <f t="shared" si="1"/>
        <v>2.6479606057790484E-3</v>
      </c>
      <c r="F19">
        <f t="shared" si="2"/>
        <v>0.36158134349158805</v>
      </c>
      <c r="G19" s="10">
        <f t="shared" si="3"/>
        <v>7.3232777449444139E-3</v>
      </c>
      <c r="H19">
        <f t="shared" si="4"/>
        <v>5.1946167739749298E-2</v>
      </c>
      <c r="I19" s="10">
        <f t="shared" si="5"/>
        <v>7.7265767205094624</v>
      </c>
    </row>
    <row r="20" spans="1:9">
      <c r="A20" t="s">
        <v>537</v>
      </c>
      <c r="B20" t="s">
        <v>202</v>
      </c>
      <c r="C20">
        <f>VLOOKUP(B20,Proteome!B:I,8,FALSE)</f>
        <v>5.5901390566446578E-3</v>
      </c>
      <c r="D20">
        <f t="shared" si="0"/>
        <v>0.9</v>
      </c>
      <c r="E20" s="10">
        <f t="shared" si="1"/>
        <v>5.0311251509801919E-3</v>
      </c>
      <c r="F20">
        <f t="shared" si="2"/>
        <v>0.36158134349158805</v>
      </c>
      <c r="G20" s="10">
        <f t="shared" si="3"/>
        <v>1.3914227715394386E-2</v>
      </c>
      <c r="H20">
        <f t="shared" si="4"/>
        <v>8.5813151931409579E-2</v>
      </c>
      <c r="I20" s="10">
        <f t="shared" si="5"/>
        <v>7.7265767205094624</v>
      </c>
    </row>
    <row r="21" spans="1:9">
      <c r="A21" t="s">
        <v>537</v>
      </c>
      <c r="B21" t="s">
        <v>207</v>
      </c>
      <c r="C21">
        <f>VLOOKUP(B21,Proteome!B:I,8,FALSE)</f>
        <v>5.5901390566446578E-3</v>
      </c>
      <c r="D21">
        <f t="shared" si="0"/>
        <v>0.9</v>
      </c>
      <c r="E21" s="10">
        <f t="shared" si="1"/>
        <v>5.0311251509801919E-3</v>
      </c>
      <c r="F21">
        <f t="shared" si="2"/>
        <v>0.36158134349158805</v>
      </c>
      <c r="G21" s="10">
        <f t="shared" si="3"/>
        <v>1.3914227715394386E-2</v>
      </c>
      <c r="H21">
        <f t="shared" si="4"/>
        <v>8.5813151931409579E-2</v>
      </c>
      <c r="I21" s="10">
        <f t="shared" si="5"/>
        <v>7.7265767205094624</v>
      </c>
    </row>
    <row r="22" spans="1:9">
      <c r="A22" t="s">
        <v>537</v>
      </c>
      <c r="B22" t="s">
        <v>209</v>
      </c>
      <c r="C22">
        <f>VLOOKUP(B22,Proteome!B:I,8,FALSE)</f>
        <v>5.5901390566446578E-3</v>
      </c>
      <c r="D22">
        <f t="shared" si="0"/>
        <v>0.9</v>
      </c>
      <c r="E22" s="10">
        <f t="shared" si="1"/>
        <v>5.0311251509801919E-3</v>
      </c>
      <c r="F22">
        <f t="shared" si="2"/>
        <v>0.36158134349158805</v>
      </c>
      <c r="G22" s="10">
        <f t="shared" si="3"/>
        <v>1.3914227715394386E-2</v>
      </c>
      <c r="H22">
        <f t="shared" si="4"/>
        <v>8.5813151931409579E-2</v>
      </c>
      <c r="I22" s="10">
        <f t="shared" si="5"/>
        <v>7.7265767205094624</v>
      </c>
    </row>
    <row r="23" spans="1:9">
      <c r="A23" t="s">
        <v>537</v>
      </c>
      <c r="B23" t="s">
        <v>166</v>
      </c>
      <c r="C23">
        <f>VLOOKUP(B23,Proteome!B:I,8,FALSE)</f>
        <v>4.1190498312118524E-3</v>
      </c>
      <c r="D23">
        <f t="shared" si="0"/>
        <v>0.9</v>
      </c>
      <c r="E23" s="10">
        <f t="shared" si="1"/>
        <v>3.7071448480906675E-3</v>
      </c>
      <c r="F23">
        <f t="shared" si="2"/>
        <v>0.36158134349158805</v>
      </c>
      <c r="G23" s="10">
        <f t="shared" si="3"/>
        <v>1.0252588842922178E-2</v>
      </c>
      <c r="H23">
        <f t="shared" si="4"/>
        <v>6.7747753163348273E-2</v>
      </c>
      <c r="I23" s="10">
        <f t="shared" si="5"/>
        <v>7.7265767205094624</v>
      </c>
    </row>
    <row r="24" spans="1:9">
      <c r="A24" t="s">
        <v>537</v>
      </c>
      <c r="B24" t="s">
        <v>179</v>
      </c>
      <c r="C24">
        <f>VLOOKUP(B24,Proteome!B:I,8,FALSE)</f>
        <v>2.1679209637957119E-3</v>
      </c>
      <c r="D24">
        <f t="shared" si="0"/>
        <v>0.9</v>
      </c>
      <c r="E24" s="10">
        <f t="shared" si="1"/>
        <v>1.9511288674161408E-3</v>
      </c>
      <c r="F24">
        <f t="shared" si="2"/>
        <v>0.36158134349158805</v>
      </c>
      <c r="G24" s="10">
        <f t="shared" si="3"/>
        <v>5.3960993910116732E-3</v>
      </c>
      <c r="H24">
        <f t="shared" si="4"/>
        <v>4.0653497089784343E-2</v>
      </c>
      <c r="I24" s="10">
        <f t="shared" si="5"/>
        <v>7.7265767205094624</v>
      </c>
    </row>
    <row r="25" spans="1:9">
      <c r="A25" t="s">
        <v>537</v>
      </c>
      <c r="B25" t="s">
        <v>185</v>
      </c>
      <c r="C25">
        <f>VLOOKUP(B25,Proteome!B:I,8,FALSE)</f>
        <v>4.1190498312118524E-3</v>
      </c>
      <c r="D25">
        <f t="shared" si="0"/>
        <v>0.9</v>
      </c>
      <c r="E25" s="10">
        <f t="shared" si="1"/>
        <v>3.7071448480906675E-3</v>
      </c>
      <c r="F25">
        <f t="shared" si="2"/>
        <v>0.36158134349158805</v>
      </c>
      <c r="G25" s="10">
        <f t="shared" si="3"/>
        <v>1.0252588842922178E-2</v>
      </c>
      <c r="H25">
        <f t="shared" si="4"/>
        <v>6.7747753163348273E-2</v>
      </c>
      <c r="I25" s="10">
        <f t="shared" si="5"/>
        <v>7.7265767205094624</v>
      </c>
    </row>
    <row r="26" spans="1:9">
      <c r="A26" t="s">
        <v>537</v>
      </c>
      <c r="B26" t="s">
        <v>188</v>
      </c>
      <c r="C26">
        <f>VLOOKUP(B26,Proteome!B:I,8,FALSE)</f>
        <v>4.1190498312118524E-3</v>
      </c>
      <c r="D26">
        <f t="shared" si="0"/>
        <v>0.9</v>
      </c>
      <c r="E26" s="10">
        <f t="shared" si="1"/>
        <v>3.7071448480906675E-3</v>
      </c>
      <c r="F26">
        <f t="shared" si="2"/>
        <v>0.36158134349158805</v>
      </c>
      <c r="G26" s="10">
        <f t="shared" si="3"/>
        <v>1.0252588842922178E-2</v>
      </c>
      <c r="H26">
        <f t="shared" si="4"/>
        <v>6.7747753163348273E-2</v>
      </c>
      <c r="I26" s="10">
        <f t="shared" si="5"/>
        <v>7.7265767205094624</v>
      </c>
    </row>
    <row r="27" spans="1:9">
      <c r="A27" t="s">
        <v>537</v>
      </c>
      <c r="B27" t="s">
        <v>204</v>
      </c>
      <c r="C27">
        <f>VLOOKUP(B27,Proteome!B:I,8,FALSE)</f>
        <v>4.1190498312118524E-3</v>
      </c>
      <c r="D27">
        <f t="shared" si="0"/>
        <v>0.9</v>
      </c>
      <c r="E27" s="10">
        <f t="shared" si="1"/>
        <v>3.7071448480906675E-3</v>
      </c>
      <c r="F27">
        <f t="shared" si="2"/>
        <v>0.36158134349158805</v>
      </c>
      <c r="G27" s="10">
        <f t="shared" si="3"/>
        <v>1.0252588842922178E-2</v>
      </c>
      <c r="H27">
        <f t="shared" si="4"/>
        <v>6.7747753163348273E-2</v>
      </c>
      <c r="I27" s="10">
        <f t="shared" si="5"/>
        <v>7.7265767205094624</v>
      </c>
    </row>
    <row r="28" spans="1:9">
      <c r="A28" t="s">
        <v>537</v>
      </c>
      <c r="B28" t="s">
        <v>183</v>
      </c>
      <c r="C28">
        <f>VLOOKUP(B28,Proteome!B:I,8,FALSE)</f>
        <v>5.8843569017312199E-4</v>
      </c>
      <c r="D28">
        <f t="shared" si="0"/>
        <v>0.9</v>
      </c>
      <c r="E28" s="10">
        <f t="shared" si="1"/>
        <v>5.2959212115580984E-4</v>
      </c>
      <c r="F28">
        <f t="shared" si="2"/>
        <v>0.36158134349158805</v>
      </c>
      <c r="G28" s="10">
        <f t="shared" si="3"/>
        <v>1.4646555489888833E-3</v>
      </c>
      <c r="H28">
        <f t="shared" si="4"/>
        <v>1.3790058416479825E-2</v>
      </c>
      <c r="I28" s="10">
        <f t="shared" si="5"/>
        <v>7.7265767205094624</v>
      </c>
    </row>
    <row r="29" spans="1:9">
      <c r="A29" t="s">
        <v>537</v>
      </c>
      <c r="B29" t="s">
        <v>150</v>
      </c>
      <c r="C29">
        <f>VLOOKUP(B29,Proteome!B:I,8,FALSE)</f>
        <v>5.8843569017312199E-4</v>
      </c>
      <c r="D29">
        <f t="shared" si="0"/>
        <v>0.9</v>
      </c>
      <c r="E29" s="10">
        <f t="shared" si="1"/>
        <v>5.2959212115580984E-4</v>
      </c>
      <c r="F29">
        <f t="shared" si="2"/>
        <v>0.36158134349158805</v>
      </c>
      <c r="G29" s="10">
        <f t="shared" si="3"/>
        <v>1.4646555489888833E-3</v>
      </c>
      <c r="H29">
        <f t="shared" si="4"/>
        <v>1.3790058416479825E-2</v>
      </c>
      <c r="I29" s="10">
        <f t="shared" si="5"/>
        <v>7.7265767205094624</v>
      </c>
    </row>
    <row r="30" spans="1:9">
      <c r="A30" t="s">
        <v>537</v>
      </c>
      <c r="B30" t="s">
        <v>151</v>
      </c>
      <c r="C30">
        <f>VLOOKUP(B30,Proteome!B:I,8,FALSE)</f>
        <v>5.8843569017312199E-4</v>
      </c>
      <c r="D30">
        <f t="shared" si="0"/>
        <v>0.9</v>
      </c>
      <c r="E30" s="10">
        <f t="shared" si="1"/>
        <v>5.2959212115580984E-4</v>
      </c>
      <c r="F30">
        <f t="shared" si="2"/>
        <v>0.36158134349158805</v>
      </c>
      <c r="G30" s="10">
        <f t="shared" si="3"/>
        <v>1.4646555489888833E-3</v>
      </c>
      <c r="H30">
        <f t="shared" si="4"/>
        <v>1.3790058416479825E-2</v>
      </c>
      <c r="I30" s="10">
        <f t="shared" si="5"/>
        <v>7.7265767205094624</v>
      </c>
    </row>
    <row r="31" spans="1:9">
      <c r="A31" t="s">
        <v>537</v>
      </c>
      <c r="B31" t="s">
        <v>152</v>
      </c>
      <c r="C31">
        <f>VLOOKUP(B31,Proteome!B:I,8,FALSE)</f>
        <v>3.0970299482795891E-4</v>
      </c>
      <c r="D31">
        <f t="shared" si="0"/>
        <v>0.9</v>
      </c>
      <c r="E31" s="10">
        <f t="shared" si="1"/>
        <v>2.7873269534516303E-4</v>
      </c>
      <c r="F31">
        <f t="shared" si="2"/>
        <v>0.36158134349158805</v>
      </c>
      <c r="G31" s="10">
        <f t="shared" si="3"/>
        <v>7.7087134157309632E-4</v>
      </c>
      <c r="H31">
        <f t="shared" si="4"/>
        <v>7.9717518964361432E-3</v>
      </c>
      <c r="I31" s="10">
        <f t="shared" si="5"/>
        <v>7.7265767205094624</v>
      </c>
    </row>
    <row r="32" spans="1:9">
      <c r="A32" t="s">
        <v>537</v>
      </c>
      <c r="B32" t="s">
        <v>153</v>
      </c>
      <c r="C32">
        <f>VLOOKUP(B32,Proteome!B:I,8,FALSE)</f>
        <v>5.8843569017312199E-4</v>
      </c>
      <c r="D32">
        <f t="shared" si="0"/>
        <v>0.9</v>
      </c>
      <c r="E32" s="10">
        <f t="shared" si="1"/>
        <v>5.2959212115580984E-4</v>
      </c>
      <c r="F32">
        <f t="shared" si="2"/>
        <v>0.36158134349158805</v>
      </c>
      <c r="G32" s="10">
        <f t="shared" si="3"/>
        <v>1.4646555489888833E-3</v>
      </c>
      <c r="H32">
        <f t="shared" si="4"/>
        <v>1.3790058416479825E-2</v>
      </c>
      <c r="I32" s="10">
        <f t="shared" si="5"/>
        <v>7.7265767205094624</v>
      </c>
    </row>
    <row r="33" spans="1:9">
      <c r="A33" t="s">
        <v>537</v>
      </c>
      <c r="B33" t="s">
        <v>154</v>
      </c>
      <c r="C33">
        <f>VLOOKUP(B33,Proteome!B:I,8,FALSE)</f>
        <v>5.8843569017312199E-4</v>
      </c>
      <c r="D33">
        <f t="shared" si="0"/>
        <v>0.9</v>
      </c>
      <c r="E33" s="10">
        <f t="shared" si="1"/>
        <v>5.2959212115580984E-4</v>
      </c>
      <c r="F33">
        <f t="shared" si="2"/>
        <v>0.36158134349158805</v>
      </c>
      <c r="G33" s="10">
        <f t="shared" si="3"/>
        <v>1.4646555489888833E-3</v>
      </c>
      <c r="H33">
        <f t="shared" si="4"/>
        <v>1.3790058416479825E-2</v>
      </c>
      <c r="I33" s="10">
        <f t="shared" si="5"/>
        <v>7.7265767205094624</v>
      </c>
    </row>
    <row r="34" spans="1:9">
      <c r="A34" t="s">
        <v>537</v>
      </c>
      <c r="B34" t="s">
        <v>155</v>
      </c>
      <c r="C34">
        <f>VLOOKUP(B34,Proteome!B:I,8,FALSE)</f>
        <v>5.8843569017312199E-4</v>
      </c>
      <c r="D34">
        <f t="shared" si="0"/>
        <v>0.9</v>
      </c>
      <c r="E34" s="10">
        <f t="shared" si="1"/>
        <v>5.2959212115580984E-4</v>
      </c>
      <c r="F34">
        <f t="shared" si="2"/>
        <v>0.36158134349158805</v>
      </c>
      <c r="G34" s="10">
        <f t="shared" si="3"/>
        <v>1.4646555489888833E-3</v>
      </c>
      <c r="H34">
        <f t="shared" si="4"/>
        <v>1.3790058416479825E-2</v>
      </c>
      <c r="I34" s="10">
        <f t="shared" si="5"/>
        <v>7.7265767205094624</v>
      </c>
    </row>
    <row r="35" spans="1:9">
      <c r="A35" t="s">
        <v>537</v>
      </c>
      <c r="B35" t="s">
        <v>156</v>
      </c>
      <c r="C35">
        <f>VLOOKUP(B35,Proteome!B:I,8,FALSE)</f>
        <v>5.8843569017312199E-4</v>
      </c>
      <c r="D35">
        <f t="shared" si="0"/>
        <v>0.9</v>
      </c>
      <c r="E35" s="10">
        <f t="shared" si="1"/>
        <v>5.2959212115580984E-4</v>
      </c>
      <c r="F35">
        <f t="shared" si="2"/>
        <v>0.36158134349158805</v>
      </c>
      <c r="G35" s="10">
        <f t="shared" si="3"/>
        <v>1.4646555489888833E-3</v>
      </c>
      <c r="H35">
        <f t="shared" si="4"/>
        <v>1.3790058416479825E-2</v>
      </c>
      <c r="I35" s="10">
        <f t="shared" si="5"/>
        <v>7.7265767205094624</v>
      </c>
    </row>
    <row r="36" spans="1:9">
      <c r="A36" t="s">
        <v>537</v>
      </c>
      <c r="B36" t="s">
        <v>157</v>
      </c>
      <c r="C36">
        <f>VLOOKUP(B36,Proteome!B:I,8,FALSE)</f>
        <v>5.8843569017312199E-4</v>
      </c>
      <c r="D36">
        <f t="shared" si="0"/>
        <v>0.9</v>
      </c>
      <c r="E36" s="10">
        <f t="shared" si="1"/>
        <v>5.2959212115580984E-4</v>
      </c>
      <c r="F36">
        <f t="shared" si="2"/>
        <v>0.36158134349158805</v>
      </c>
      <c r="G36" s="10">
        <f t="shared" si="3"/>
        <v>1.4646555489888833E-3</v>
      </c>
      <c r="H36">
        <f t="shared" si="4"/>
        <v>1.3790058416479825E-2</v>
      </c>
      <c r="I36" s="10">
        <f t="shared" si="5"/>
        <v>7.7265767205094624</v>
      </c>
    </row>
    <row r="37" spans="1:9">
      <c r="A37" t="s">
        <v>537</v>
      </c>
      <c r="B37" t="s">
        <v>158</v>
      </c>
      <c r="C37">
        <f>VLOOKUP(B37,Proteome!B:I,8,FALSE)</f>
        <v>5.8843569017312199E-4</v>
      </c>
      <c r="D37">
        <f t="shared" si="0"/>
        <v>0.9</v>
      </c>
      <c r="E37" s="10">
        <f t="shared" si="1"/>
        <v>5.2959212115580984E-4</v>
      </c>
      <c r="F37">
        <f t="shared" si="2"/>
        <v>0.36158134349158805</v>
      </c>
      <c r="G37" s="10">
        <f t="shared" si="3"/>
        <v>1.4646555489888833E-3</v>
      </c>
      <c r="H37">
        <f t="shared" si="4"/>
        <v>1.3790058416479825E-2</v>
      </c>
      <c r="I37" s="10">
        <f t="shared" si="5"/>
        <v>7.7265767205094624</v>
      </c>
    </row>
    <row r="38" spans="1:9">
      <c r="A38" t="s">
        <v>537</v>
      </c>
      <c r="B38" t="s">
        <v>159</v>
      </c>
      <c r="C38">
        <f>VLOOKUP(B38,Proteome!B:I,8,FALSE)</f>
        <v>5.8843569017312199E-4</v>
      </c>
      <c r="D38">
        <f t="shared" si="0"/>
        <v>0.9</v>
      </c>
      <c r="E38" s="10">
        <f t="shared" si="1"/>
        <v>5.2959212115580984E-4</v>
      </c>
      <c r="F38">
        <f t="shared" si="2"/>
        <v>0.36158134349158805</v>
      </c>
      <c r="G38" s="10">
        <f t="shared" si="3"/>
        <v>1.4646555489888833E-3</v>
      </c>
      <c r="H38">
        <f t="shared" si="4"/>
        <v>1.3790058416479825E-2</v>
      </c>
      <c r="I38" s="10">
        <f t="shared" si="5"/>
        <v>7.7265767205094624</v>
      </c>
    </row>
    <row r="39" spans="1:9">
      <c r="A39" t="s">
        <v>537</v>
      </c>
      <c r="B39" t="s">
        <v>160</v>
      </c>
      <c r="C39">
        <f>VLOOKUP(B39,Proteome!B:I,8,FALSE)</f>
        <v>5.8843569017312199E-4</v>
      </c>
      <c r="D39">
        <f t="shared" si="0"/>
        <v>0.9</v>
      </c>
      <c r="E39" s="10">
        <f t="shared" si="1"/>
        <v>5.2959212115580984E-4</v>
      </c>
      <c r="F39">
        <f t="shared" si="2"/>
        <v>0.36158134349158805</v>
      </c>
      <c r="G39" s="10">
        <f t="shared" si="3"/>
        <v>1.4646555489888833E-3</v>
      </c>
      <c r="H39">
        <f t="shared" si="4"/>
        <v>1.3790058416479825E-2</v>
      </c>
      <c r="I39" s="10">
        <f t="shared" si="5"/>
        <v>7.7265767205094624</v>
      </c>
    </row>
    <row r="40" spans="1:9">
      <c r="A40" t="s">
        <v>537</v>
      </c>
      <c r="B40" t="s">
        <v>161</v>
      </c>
      <c r="C40">
        <f>VLOOKUP(B40,Proteome!B:I,8,FALSE)</f>
        <v>3.0970299482795891E-4</v>
      </c>
      <c r="D40">
        <f t="shared" si="0"/>
        <v>0.9</v>
      </c>
      <c r="E40" s="10">
        <f t="shared" si="1"/>
        <v>2.7873269534516303E-4</v>
      </c>
      <c r="F40">
        <f t="shared" si="2"/>
        <v>0.36158134349158805</v>
      </c>
      <c r="G40" s="10">
        <f t="shared" si="3"/>
        <v>7.7087134157309632E-4</v>
      </c>
      <c r="H40">
        <f t="shared" si="4"/>
        <v>7.9717518964361432E-3</v>
      </c>
      <c r="I40" s="10">
        <f t="shared" si="5"/>
        <v>7.7265767205094624</v>
      </c>
    </row>
    <row r="41" spans="1:9">
      <c r="A41" t="s">
        <v>537</v>
      </c>
      <c r="B41" t="s">
        <v>163</v>
      </c>
      <c r="C41">
        <f>VLOOKUP(B41,Proteome!B:I,8,FALSE)</f>
        <v>5.8843569017312199E-4</v>
      </c>
      <c r="D41">
        <f t="shared" si="0"/>
        <v>0.9</v>
      </c>
      <c r="E41" s="10">
        <f t="shared" si="1"/>
        <v>5.2959212115580984E-4</v>
      </c>
      <c r="F41">
        <f t="shared" si="2"/>
        <v>0.36158134349158805</v>
      </c>
      <c r="G41" s="10">
        <f t="shared" si="3"/>
        <v>1.4646555489888833E-3</v>
      </c>
      <c r="H41">
        <f t="shared" si="4"/>
        <v>1.3790058416479825E-2</v>
      </c>
      <c r="I41" s="10">
        <f t="shared" si="5"/>
        <v>7.7265767205094624</v>
      </c>
    </row>
    <row r="42" spans="1:9">
      <c r="A42" t="s">
        <v>537</v>
      </c>
      <c r="B42" t="s">
        <v>164</v>
      </c>
      <c r="C42">
        <f>VLOOKUP(B42,Proteome!B:I,8,FALSE)</f>
        <v>3.0970299482795891E-4</v>
      </c>
      <c r="D42">
        <f t="shared" si="0"/>
        <v>0.9</v>
      </c>
      <c r="E42" s="10">
        <f t="shared" si="1"/>
        <v>2.7873269534516303E-4</v>
      </c>
      <c r="F42">
        <f t="shared" si="2"/>
        <v>0.36158134349158805</v>
      </c>
      <c r="G42" s="10">
        <f t="shared" si="3"/>
        <v>7.7087134157309632E-4</v>
      </c>
      <c r="H42">
        <f t="shared" si="4"/>
        <v>7.9717518964361432E-3</v>
      </c>
      <c r="I42" s="10">
        <f t="shared" si="5"/>
        <v>7.7265767205094624</v>
      </c>
    </row>
    <row r="43" spans="1:9">
      <c r="A43" t="s">
        <v>537</v>
      </c>
      <c r="B43" t="s">
        <v>168</v>
      </c>
      <c r="C43">
        <f>VLOOKUP(B43,Proteome!B:I,8,FALSE)</f>
        <v>5.8843569017312199E-4</v>
      </c>
      <c r="D43">
        <f t="shared" si="0"/>
        <v>0.9</v>
      </c>
      <c r="E43" s="10">
        <f t="shared" si="1"/>
        <v>5.2959212115580984E-4</v>
      </c>
      <c r="F43">
        <f t="shared" si="2"/>
        <v>0.36158134349158805</v>
      </c>
      <c r="G43" s="10">
        <f t="shared" si="3"/>
        <v>1.4646555489888833E-3</v>
      </c>
      <c r="H43">
        <f t="shared" si="4"/>
        <v>1.3790058416479825E-2</v>
      </c>
      <c r="I43" s="10">
        <f t="shared" si="5"/>
        <v>7.7265767205094624</v>
      </c>
    </row>
    <row r="44" spans="1:9">
      <c r="A44" t="s">
        <v>537</v>
      </c>
      <c r="B44" t="s">
        <v>172</v>
      </c>
      <c r="C44">
        <f>VLOOKUP(B44,Proteome!B:I,8,FALSE)</f>
        <v>3.0970299482795891E-4</v>
      </c>
      <c r="D44">
        <f t="shared" si="0"/>
        <v>0.9</v>
      </c>
      <c r="E44" s="10">
        <f t="shared" si="1"/>
        <v>2.7873269534516303E-4</v>
      </c>
      <c r="F44">
        <f t="shared" si="2"/>
        <v>0.36158134349158805</v>
      </c>
      <c r="G44" s="10">
        <f t="shared" si="3"/>
        <v>7.7087134157309632E-4</v>
      </c>
      <c r="H44">
        <f t="shared" si="4"/>
        <v>7.9717518964361432E-3</v>
      </c>
      <c r="I44" s="10">
        <f t="shared" si="5"/>
        <v>7.7265767205094624</v>
      </c>
    </row>
    <row r="45" spans="1:9">
      <c r="A45" t="s">
        <v>537</v>
      </c>
      <c r="B45" t="s">
        <v>173</v>
      </c>
      <c r="C45">
        <f>VLOOKUP(B45,Proteome!B:I,8,FALSE)</f>
        <v>5.8843569017312199E-4</v>
      </c>
      <c r="D45">
        <f t="shared" si="0"/>
        <v>0.9</v>
      </c>
      <c r="E45" s="10">
        <f t="shared" si="1"/>
        <v>5.2959212115580984E-4</v>
      </c>
      <c r="F45">
        <f t="shared" si="2"/>
        <v>0.36158134349158805</v>
      </c>
      <c r="G45" s="10">
        <f t="shared" si="3"/>
        <v>1.4646555489888833E-3</v>
      </c>
      <c r="H45">
        <f t="shared" si="4"/>
        <v>1.3790058416479825E-2</v>
      </c>
      <c r="I45" s="10">
        <f t="shared" si="5"/>
        <v>7.7265767205094624</v>
      </c>
    </row>
    <row r="46" spans="1:9">
      <c r="A46" t="s">
        <v>537</v>
      </c>
      <c r="B46" t="s">
        <v>174</v>
      </c>
      <c r="C46">
        <f>VLOOKUP(B46,Proteome!B:I,8,FALSE)</f>
        <v>3.0970299482795891E-4</v>
      </c>
      <c r="D46">
        <f t="shared" si="0"/>
        <v>0.9</v>
      </c>
      <c r="E46" s="10">
        <f t="shared" si="1"/>
        <v>2.7873269534516303E-4</v>
      </c>
      <c r="F46">
        <f t="shared" si="2"/>
        <v>0.36158134349158805</v>
      </c>
      <c r="G46" s="10">
        <f t="shared" si="3"/>
        <v>7.7087134157309632E-4</v>
      </c>
      <c r="H46">
        <f t="shared" si="4"/>
        <v>7.9717518964361432E-3</v>
      </c>
      <c r="I46" s="10">
        <f t="shared" si="5"/>
        <v>7.7265767205094624</v>
      </c>
    </row>
    <row r="47" spans="1:9">
      <c r="A47" t="s">
        <v>537</v>
      </c>
      <c r="B47" t="s">
        <v>175</v>
      </c>
      <c r="C47">
        <f>VLOOKUP(B47,Proteome!B:I,8,FALSE)</f>
        <v>5.8843569017312199E-4</v>
      </c>
      <c r="D47">
        <f t="shared" si="0"/>
        <v>0.9</v>
      </c>
      <c r="E47" s="10">
        <f t="shared" si="1"/>
        <v>5.2959212115580984E-4</v>
      </c>
      <c r="F47">
        <f t="shared" si="2"/>
        <v>0.36158134349158805</v>
      </c>
      <c r="G47" s="10">
        <f t="shared" si="3"/>
        <v>1.4646555489888833E-3</v>
      </c>
      <c r="H47">
        <f t="shared" si="4"/>
        <v>1.3790058416479825E-2</v>
      </c>
      <c r="I47" s="10">
        <f t="shared" si="5"/>
        <v>7.7265767205094624</v>
      </c>
    </row>
    <row r="48" spans="1:9">
      <c r="A48" t="s">
        <v>537</v>
      </c>
      <c r="B48" t="s">
        <v>178</v>
      </c>
      <c r="C48">
        <f>VLOOKUP(B48,Proteome!B:I,8,FALSE)</f>
        <v>5.8843569017312199E-4</v>
      </c>
      <c r="D48">
        <f t="shared" si="0"/>
        <v>0.9</v>
      </c>
      <c r="E48" s="10">
        <f t="shared" si="1"/>
        <v>5.2959212115580984E-4</v>
      </c>
      <c r="F48">
        <f t="shared" si="2"/>
        <v>0.36158134349158805</v>
      </c>
      <c r="G48" s="10">
        <f t="shared" si="3"/>
        <v>1.4646555489888833E-3</v>
      </c>
      <c r="H48">
        <f t="shared" si="4"/>
        <v>1.3790058416479825E-2</v>
      </c>
      <c r="I48" s="10">
        <f t="shared" si="5"/>
        <v>7.7265767205094624</v>
      </c>
    </row>
    <row r="49" spans="1:9">
      <c r="A49" t="s">
        <v>537</v>
      </c>
      <c r="B49" t="s">
        <v>181</v>
      </c>
      <c r="C49">
        <f>VLOOKUP(B49,Proteome!B:I,8,FALSE)</f>
        <v>5.8843569017312199E-4</v>
      </c>
      <c r="D49">
        <f t="shared" si="0"/>
        <v>0.9</v>
      </c>
      <c r="E49" s="10">
        <f t="shared" si="1"/>
        <v>5.2959212115580984E-4</v>
      </c>
      <c r="F49">
        <f t="shared" si="2"/>
        <v>0.36158134349158805</v>
      </c>
      <c r="G49" s="10">
        <f t="shared" si="3"/>
        <v>1.4646555489888833E-3</v>
      </c>
      <c r="H49">
        <f t="shared" si="4"/>
        <v>1.3790058416479825E-2</v>
      </c>
      <c r="I49" s="10">
        <f t="shared" si="5"/>
        <v>7.7265767205094624</v>
      </c>
    </row>
    <row r="50" spans="1:9">
      <c r="A50" t="s">
        <v>537</v>
      </c>
      <c r="B50" t="s">
        <v>182</v>
      </c>
      <c r="C50">
        <f>VLOOKUP(B50,Proteome!B:I,8,FALSE)</f>
        <v>5.8843569017312199E-4</v>
      </c>
      <c r="D50">
        <f t="shared" si="0"/>
        <v>0.9</v>
      </c>
      <c r="E50" s="10">
        <f t="shared" si="1"/>
        <v>5.2959212115580984E-4</v>
      </c>
      <c r="F50">
        <f t="shared" si="2"/>
        <v>0.36158134349158805</v>
      </c>
      <c r="G50" s="10">
        <f t="shared" si="3"/>
        <v>1.4646555489888833E-3</v>
      </c>
      <c r="H50">
        <f t="shared" si="4"/>
        <v>1.3790058416479825E-2</v>
      </c>
      <c r="I50" s="10">
        <f t="shared" si="5"/>
        <v>7.7265767205094624</v>
      </c>
    </row>
    <row r="51" spans="1:9">
      <c r="A51" t="s">
        <v>537</v>
      </c>
      <c r="B51" t="s">
        <v>184</v>
      </c>
      <c r="C51">
        <f>VLOOKUP(B51,Proteome!B:I,8,FALSE)</f>
        <v>3.0970299482795891E-4</v>
      </c>
      <c r="D51">
        <f t="shared" si="0"/>
        <v>0.9</v>
      </c>
      <c r="E51" s="10">
        <f t="shared" si="1"/>
        <v>2.7873269534516303E-4</v>
      </c>
      <c r="F51">
        <f t="shared" si="2"/>
        <v>0.36158134349158805</v>
      </c>
      <c r="G51" s="10">
        <f t="shared" si="3"/>
        <v>7.7087134157309632E-4</v>
      </c>
      <c r="H51">
        <f t="shared" si="4"/>
        <v>7.9717518964361432E-3</v>
      </c>
      <c r="I51" s="10">
        <f t="shared" si="5"/>
        <v>7.7265767205094624</v>
      </c>
    </row>
    <row r="52" spans="1:9">
      <c r="A52" t="s">
        <v>537</v>
      </c>
      <c r="B52" t="s">
        <v>190</v>
      </c>
      <c r="C52">
        <f>VLOOKUP(B52,Proteome!B:I,8,FALSE)</f>
        <v>5.8843569017312199E-4</v>
      </c>
      <c r="D52">
        <f t="shared" si="0"/>
        <v>0.9</v>
      </c>
      <c r="E52" s="10">
        <f t="shared" si="1"/>
        <v>5.2959212115580984E-4</v>
      </c>
      <c r="F52">
        <f t="shared" si="2"/>
        <v>0.36158134349158805</v>
      </c>
      <c r="G52" s="10">
        <f t="shared" si="3"/>
        <v>1.4646555489888833E-3</v>
      </c>
      <c r="H52">
        <f t="shared" si="4"/>
        <v>1.3790058416479825E-2</v>
      </c>
      <c r="I52" s="10">
        <f t="shared" si="5"/>
        <v>7.7265767205094624</v>
      </c>
    </row>
    <row r="53" spans="1:9">
      <c r="A53" t="s">
        <v>537</v>
      </c>
      <c r="B53" t="s">
        <v>191</v>
      </c>
      <c r="C53">
        <f>VLOOKUP(B53,Proteome!B:I,8,FALSE)</f>
        <v>5.8843569017312199E-4</v>
      </c>
      <c r="D53">
        <f t="shared" si="0"/>
        <v>0.9</v>
      </c>
      <c r="E53" s="10">
        <f t="shared" si="1"/>
        <v>5.2959212115580984E-4</v>
      </c>
      <c r="F53">
        <f t="shared" si="2"/>
        <v>0.36158134349158805</v>
      </c>
      <c r="G53" s="10">
        <f t="shared" si="3"/>
        <v>1.4646555489888833E-3</v>
      </c>
      <c r="H53">
        <f t="shared" si="4"/>
        <v>1.3790058416479825E-2</v>
      </c>
      <c r="I53" s="10">
        <f t="shared" si="5"/>
        <v>7.7265767205094624</v>
      </c>
    </row>
    <row r="54" spans="1:9">
      <c r="A54" t="s">
        <v>537</v>
      </c>
      <c r="B54" t="s">
        <v>192</v>
      </c>
      <c r="C54">
        <f>VLOOKUP(B54,Proteome!B:I,8,FALSE)</f>
        <v>5.8843569017312199E-4</v>
      </c>
      <c r="D54">
        <f t="shared" si="0"/>
        <v>0.9</v>
      </c>
      <c r="E54" s="10">
        <f t="shared" si="1"/>
        <v>5.2959212115580984E-4</v>
      </c>
      <c r="F54">
        <f t="shared" si="2"/>
        <v>0.36158134349158805</v>
      </c>
      <c r="G54" s="10">
        <f t="shared" si="3"/>
        <v>1.4646555489888833E-3</v>
      </c>
      <c r="H54">
        <f t="shared" si="4"/>
        <v>1.3790058416479825E-2</v>
      </c>
      <c r="I54" s="10">
        <f t="shared" si="5"/>
        <v>7.7265767205094624</v>
      </c>
    </row>
    <row r="55" spans="1:9">
      <c r="A55" t="s">
        <v>537</v>
      </c>
      <c r="B55" t="s">
        <v>194</v>
      </c>
      <c r="C55">
        <f>VLOOKUP(B55,Proteome!B:I,8,FALSE)</f>
        <v>5.8843569017312199E-4</v>
      </c>
      <c r="D55">
        <f t="shared" si="0"/>
        <v>0.9</v>
      </c>
      <c r="E55" s="10">
        <f t="shared" si="1"/>
        <v>5.2959212115580984E-4</v>
      </c>
      <c r="F55">
        <f t="shared" si="2"/>
        <v>0.36158134349158805</v>
      </c>
      <c r="G55" s="10">
        <f t="shared" si="3"/>
        <v>1.4646555489888833E-3</v>
      </c>
      <c r="H55">
        <f t="shared" si="4"/>
        <v>1.3790058416479825E-2</v>
      </c>
      <c r="I55" s="10">
        <f t="shared" si="5"/>
        <v>7.7265767205094624</v>
      </c>
    </row>
    <row r="56" spans="1:9">
      <c r="A56" t="s">
        <v>537</v>
      </c>
      <c r="B56" t="s">
        <v>195</v>
      </c>
      <c r="C56">
        <f>VLOOKUP(B56,Proteome!B:I,8,FALSE)</f>
        <v>5.8843569017312199E-4</v>
      </c>
      <c r="D56">
        <f t="shared" si="0"/>
        <v>0.9</v>
      </c>
      <c r="E56" s="10">
        <f t="shared" si="1"/>
        <v>5.2959212115580984E-4</v>
      </c>
      <c r="F56">
        <f t="shared" si="2"/>
        <v>0.36158134349158805</v>
      </c>
      <c r="G56" s="10">
        <f t="shared" si="3"/>
        <v>1.4646555489888833E-3</v>
      </c>
      <c r="H56">
        <f t="shared" si="4"/>
        <v>1.3790058416479825E-2</v>
      </c>
      <c r="I56" s="10">
        <f t="shared" si="5"/>
        <v>7.7265767205094624</v>
      </c>
    </row>
    <row r="57" spans="1:9">
      <c r="A57" t="s">
        <v>537</v>
      </c>
      <c r="B57" t="s">
        <v>199</v>
      </c>
      <c r="C57">
        <f>VLOOKUP(B57,Proteome!B:I,8,FALSE)</f>
        <v>5.8843569017312199E-4</v>
      </c>
      <c r="D57">
        <f t="shared" si="0"/>
        <v>0.9</v>
      </c>
      <c r="E57" s="10">
        <f t="shared" si="1"/>
        <v>5.2959212115580984E-4</v>
      </c>
      <c r="F57">
        <f t="shared" si="2"/>
        <v>0.36158134349158805</v>
      </c>
      <c r="G57" s="10">
        <f t="shared" si="3"/>
        <v>1.4646555489888833E-3</v>
      </c>
      <c r="H57">
        <f t="shared" si="4"/>
        <v>1.3790058416479825E-2</v>
      </c>
      <c r="I57" s="10">
        <f t="shared" si="5"/>
        <v>7.7265767205094624</v>
      </c>
    </row>
    <row r="58" spans="1:9">
      <c r="A58" t="s">
        <v>537</v>
      </c>
      <c r="B58" t="s">
        <v>201</v>
      </c>
      <c r="C58">
        <f>VLOOKUP(B58,Proteome!B:I,8,FALSE)</f>
        <v>5.8843569017312199E-4</v>
      </c>
      <c r="D58">
        <f t="shared" si="0"/>
        <v>0.9</v>
      </c>
      <c r="E58" s="10">
        <f t="shared" si="1"/>
        <v>5.2959212115580984E-4</v>
      </c>
      <c r="F58">
        <f t="shared" si="2"/>
        <v>0.36158134349158805</v>
      </c>
      <c r="G58" s="10">
        <f t="shared" si="3"/>
        <v>1.4646555489888833E-3</v>
      </c>
      <c r="H58">
        <f t="shared" si="4"/>
        <v>1.3790058416479825E-2</v>
      </c>
      <c r="I58" s="10">
        <f t="shared" si="5"/>
        <v>7.7265767205094624</v>
      </c>
    </row>
    <row r="59" spans="1:9">
      <c r="A59" t="s">
        <v>537</v>
      </c>
      <c r="B59" t="s">
        <v>203</v>
      </c>
      <c r="C59">
        <f>VLOOKUP(B59,Proteome!B:I,8,FALSE)</f>
        <v>5.8843569017312199E-4</v>
      </c>
      <c r="D59">
        <f t="shared" si="0"/>
        <v>0.9</v>
      </c>
      <c r="E59" s="10">
        <f t="shared" si="1"/>
        <v>5.2959212115580984E-4</v>
      </c>
      <c r="F59">
        <f t="shared" si="2"/>
        <v>0.36158134349158805</v>
      </c>
      <c r="G59" s="10">
        <f t="shared" si="3"/>
        <v>1.4646555489888833E-3</v>
      </c>
      <c r="H59">
        <f t="shared" si="4"/>
        <v>1.3790058416479825E-2</v>
      </c>
      <c r="I59" s="10">
        <f t="shared" si="5"/>
        <v>7.7265767205094624</v>
      </c>
    </row>
    <row r="60" spans="1:9">
      <c r="A60" t="s">
        <v>537</v>
      </c>
      <c r="B60" t="s">
        <v>205</v>
      </c>
      <c r="C60">
        <f>VLOOKUP(B60,Proteome!B:I,8,FALSE)</f>
        <v>5.8843569017312199E-4</v>
      </c>
      <c r="D60">
        <f t="shared" si="0"/>
        <v>0.9</v>
      </c>
      <c r="E60" s="10">
        <f t="shared" si="1"/>
        <v>5.2959212115580984E-4</v>
      </c>
      <c r="F60">
        <f t="shared" si="2"/>
        <v>0.36158134349158805</v>
      </c>
      <c r="G60" s="10">
        <f t="shared" si="3"/>
        <v>1.4646555489888833E-3</v>
      </c>
      <c r="H60">
        <f t="shared" si="4"/>
        <v>1.3790058416479825E-2</v>
      </c>
      <c r="I60" s="10">
        <f t="shared" si="5"/>
        <v>7.7265767205094624</v>
      </c>
    </row>
    <row r="61" spans="1:9">
      <c r="A61" t="s">
        <v>537</v>
      </c>
      <c r="B61" t="s">
        <v>206</v>
      </c>
      <c r="C61">
        <f>VLOOKUP(B61,Proteome!B:I,8,FALSE)</f>
        <v>3.0970299482795891E-4</v>
      </c>
      <c r="D61">
        <f t="shared" si="0"/>
        <v>0.9</v>
      </c>
      <c r="E61" s="10">
        <f t="shared" si="1"/>
        <v>2.7873269534516303E-4</v>
      </c>
      <c r="F61">
        <f t="shared" si="2"/>
        <v>0.36158134349158805</v>
      </c>
      <c r="G61" s="10">
        <f t="shared" si="3"/>
        <v>7.7087134157309632E-4</v>
      </c>
      <c r="H61">
        <f t="shared" si="4"/>
        <v>7.9717518964361432E-3</v>
      </c>
      <c r="I61" s="10">
        <f t="shared" si="5"/>
        <v>7.7265767205094624</v>
      </c>
    </row>
    <row r="62" spans="1:9">
      <c r="A62" t="s">
        <v>537</v>
      </c>
      <c r="B62" t="s">
        <v>210</v>
      </c>
      <c r="C62">
        <f>VLOOKUP(B62,Proteome!B:I,8,FALSE)</f>
        <v>5.8843569017312199E-4</v>
      </c>
      <c r="D62">
        <f t="shared" si="0"/>
        <v>0.9</v>
      </c>
      <c r="E62" s="10">
        <f t="shared" si="1"/>
        <v>5.2959212115580984E-4</v>
      </c>
      <c r="F62">
        <f t="shared" si="2"/>
        <v>0.36158134349158805</v>
      </c>
      <c r="G62" s="10">
        <f t="shared" si="3"/>
        <v>1.4646555489888833E-3</v>
      </c>
      <c r="H62">
        <f t="shared" si="4"/>
        <v>1.3790058416479825E-2</v>
      </c>
      <c r="I62" s="10">
        <f t="shared" si="5"/>
        <v>7.7265767205094624</v>
      </c>
    </row>
    <row r="63" spans="1:9">
      <c r="A63" t="s">
        <v>537</v>
      </c>
      <c r="B63" t="s">
        <v>211</v>
      </c>
      <c r="C63">
        <f>VLOOKUP(B63,Proteome!B:I,8,FALSE)</f>
        <v>5.8843569017312199E-4</v>
      </c>
      <c r="D63">
        <f t="shared" si="0"/>
        <v>0.9</v>
      </c>
      <c r="E63" s="10">
        <f t="shared" si="1"/>
        <v>5.2959212115580984E-4</v>
      </c>
      <c r="F63">
        <f t="shared" si="2"/>
        <v>0.36158134349158805</v>
      </c>
      <c r="G63" s="10">
        <f t="shared" si="3"/>
        <v>1.4646555489888833E-3</v>
      </c>
      <c r="H63">
        <f t="shared" si="4"/>
        <v>1.3790058416479825E-2</v>
      </c>
      <c r="I63" s="10">
        <f t="shared" si="5"/>
        <v>7.7265767205094624</v>
      </c>
    </row>
    <row r="64" spans="1:9">
      <c r="A64" t="s">
        <v>538</v>
      </c>
      <c r="B64" t="s">
        <v>138</v>
      </c>
      <c r="C64">
        <f>VLOOKUP(B64,Proteome!B:I,8,FALSE)</f>
        <v>5.5901390566446578E-3</v>
      </c>
      <c r="D64">
        <f t="shared" si="0"/>
        <v>0.3</v>
      </c>
      <c r="E64" s="10">
        <f t="shared" si="1"/>
        <v>1.6770417169933974E-3</v>
      </c>
      <c r="F64">
        <f t="shared" si="2"/>
        <v>0.36158134349158805</v>
      </c>
      <c r="G64" s="10">
        <f t="shared" si="3"/>
        <v>4.6380759051314622E-3</v>
      </c>
      <c r="H64">
        <f t="shared" si="4"/>
        <v>3.5955560362268227E-2</v>
      </c>
      <c r="I64" s="10">
        <f t="shared" si="5"/>
        <v>7.7265767205094624</v>
      </c>
    </row>
    <row r="65" spans="1:9">
      <c r="A65" t="s">
        <v>538</v>
      </c>
      <c r="B65" t="s">
        <v>140</v>
      </c>
      <c r="C65">
        <f>VLOOKUP(B65,Proteome!B:I,8,FALSE)</f>
        <v>5.5901390566446578E-3</v>
      </c>
      <c r="D65">
        <f t="shared" si="0"/>
        <v>0.3</v>
      </c>
      <c r="E65" s="10">
        <f t="shared" si="1"/>
        <v>1.6770417169933974E-3</v>
      </c>
      <c r="F65">
        <f t="shared" si="2"/>
        <v>0.36158134349158805</v>
      </c>
      <c r="G65" s="10">
        <f t="shared" si="3"/>
        <v>4.6380759051314622E-3</v>
      </c>
      <c r="H65">
        <f t="shared" si="4"/>
        <v>3.5955560362268227E-2</v>
      </c>
      <c r="I65" s="10">
        <f t="shared" si="5"/>
        <v>7.7265767205094624</v>
      </c>
    </row>
    <row r="66" spans="1:9">
      <c r="A66" t="s">
        <v>538</v>
      </c>
      <c r="B66" t="s">
        <v>141</v>
      </c>
      <c r="C66">
        <f>VLOOKUP(B66,Proteome!B:I,8,FALSE)</f>
        <v>5.5901390566446578E-3</v>
      </c>
      <c r="D66">
        <f t="shared" ref="D66:D129" si="6">VLOOKUP(A66,$K$2:$L$12,2,FALSE)</f>
        <v>0.3</v>
      </c>
      <c r="E66" s="10">
        <f t="shared" ref="E66:E129" si="7">C66*D66</f>
        <v>1.6770417169933974E-3</v>
      </c>
      <c r="F66">
        <f t="shared" ref="F66:F129" si="8">SUM($E$2:$E$522)</f>
        <v>0.36158134349158805</v>
      </c>
      <c r="G66" s="10">
        <f t="shared" ref="G66:G129" si="9">E66/F66</f>
        <v>4.6380759051314622E-3</v>
      </c>
      <c r="H66">
        <f t="shared" ref="H66:H129" si="10">-G66*LOG(G66,2)</f>
        <v>3.5955560362268227E-2</v>
      </c>
      <c r="I66" s="10">
        <f t="shared" ref="I66:I129" si="11">SUM($H$2:$H$522)</f>
        <v>7.7265767205094624</v>
      </c>
    </row>
    <row r="67" spans="1:9">
      <c r="A67" t="s">
        <v>538</v>
      </c>
      <c r="B67" t="s">
        <v>143</v>
      </c>
      <c r="C67">
        <f>VLOOKUP(B67,Proteome!B:I,8,FALSE)</f>
        <v>2.9421784508656093E-3</v>
      </c>
      <c r="D67">
        <f t="shared" si="6"/>
        <v>0.3</v>
      </c>
      <c r="E67" s="10">
        <f t="shared" si="7"/>
        <v>8.8265353525968278E-4</v>
      </c>
      <c r="F67">
        <f t="shared" si="8"/>
        <v>0.36158134349158805</v>
      </c>
      <c r="G67" s="10">
        <f t="shared" si="9"/>
        <v>2.4410925816481378E-3</v>
      </c>
      <c r="H67">
        <f t="shared" si="10"/>
        <v>2.1184429449283997E-2</v>
      </c>
      <c r="I67" s="10">
        <f t="shared" si="11"/>
        <v>7.7265767205094624</v>
      </c>
    </row>
    <row r="68" spans="1:9">
      <c r="A68" t="s">
        <v>538</v>
      </c>
      <c r="B68" t="s">
        <v>147</v>
      </c>
      <c r="C68">
        <f>VLOOKUP(B68,Proteome!B:I,8,FALSE)</f>
        <v>5.5901390566446578E-3</v>
      </c>
      <c r="D68">
        <f t="shared" si="6"/>
        <v>0.3</v>
      </c>
      <c r="E68" s="10">
        <f t="shared" si="7"/>
        <v>1.6770417169933974E-3</v>
      </c>
      <c r="F68">
        <f t="shared" si="8"/>
        <v>0.36158134349158805</v>
      </c>
      <c r="G68" s="10">
        <f t="shared" si="9"/>
        <v>4.6380759051314622E-3</v>
      </c>
      <c r="H68">
        <f t="shared" si="10"/>
        <v>3.5955560362268227E-2</v>
      </c>
      <c r="I68" s="10">
        <f t="shared" si="11"/>
        <v>7.7265767205094624</v>
      </c>
    </row>
    <row r="69" spans="1:9">
      <c r="A69" t="s">
        <v>538</v>
      </c>
      <c r="B69" t="s">
        <v>149</v>
      </c>
      <c r="C69">
        <f>VLOOKUP(B69,Proteome!B:I,8,FALSE)</f>
        <v>5.5901390566446578E-3</v>
      </c>
      <c r="D69">
        <f t="shared" si="6"/>
        <v>0.3</v>
      </c>
      <c r="E69" s="10">
        <f t="shared" si="7"/>
        <v>1.6770417169933974E-3</v>
      </c>
      <c r="F69">
        <f t="shared" si="8"/>
        <v>0.36158134349158805</v>
      </c>
      <c r="G69" s="10">
        <f t="shared" si="9"/>
        <v>4.6380759051314622E-3</v>
      </c>
      <c r="H69">
        <f t="shared" si="10"/>
        <v>3.5955560362268227E-2</v>
      </c>
      <c r="I69" s="10">
        <f t="shared" si="11"/>
        <v>7.7265767205094624</v>
      </c>
    </row>
    <row r="70" spans="1:9">
      <c r="A70" t="s">
        <v>538</v>
      </c>
      <c r="B70" t="s">
        <v>142</v>
      </c>
      <c r="C70">
        <f>VLOOKUP(B70,Proteome!B:I,8,FALSE)</f>
        <v>2.1679209637957119E-3</v>
      </c>
      <c r="D70">
        <f t="shared" si="6"/>
        <v>0.3</v>
      </c>
      <c r="E70" s="10">
        <f t="shared" si="7"/>
        <v>6.5037628913871355E-4</v>
      </c>
      <c r="F70">
        <f t="shared" si="8"/>
        <v>0.36158134349158805</v>
      </c>
      <c r="G70" s="10">
        <f t="shared" si="9"/>
        <v>1.7986997970038908E-3</v>
      </c>
      <c r="H70">
        <f t="shared" si="10"/>
        <v>1.6402037424900703E-2</v>
      </c>
      <c r="I70" s="10">
        <f t="shared" si="11"/>
        <v>7.7265767205094624</v>
      </c>
    </row>
    <row r="71" spans="1:9">
      <c r="A71" t="s">
        <v>538</v>
      </c>
      <c r="B71" t="s">
        <v>144</v>
      </c>
      <c r="C71">
        <f>VLOOKUP(B71,Proteome!B:I,8,FALSE)</f>
        <v>4.1190498312118524E-3</v>
      </c>
      <c r="D71">
        <f t="shared" si="6"/>
        <v>0.3</v>
      </c>
      <c r="E71" s="10">
        <f t="shared" si="7"/>
        <v>1.2357149493635556E-3</v>
      </c>
      <c r="F71">
        <f t="shared" si="8"/>
        <v>0.36158134349158805</v>
      </c>
      <c r="G71" s="10">
        <f t="shared" si="9"/>
        <v>3.4175296143073922E-3</v>
      </c>
      <c r="H71">
        <f t="shared" si="10"/>
        <v>2.7999240671564011E-2</v>
      </c>
      <c r="I71" s="10">
        <f t="shared" si="11"/>
        <v>7.7265767205094624</v>
      </c>
    </row>
    <row r="72" spans="1:9">
      <c r="A72" t="s">
        <v>538</v>
      </c>
      <c r="B72" t="s">
        <v>139</v>
      </c>
      <c r="C72">
        <f>VLOOKUP(B72,Proteome!B:I,8,FALSE)</f>
        <v>3.0970299482795891E-4</v>
      </c>
      <c r="D72">
        <f t="shared" si="6"/>
        <v>0.3</v>
      </c>
      <c r="E72" s="10">
        <f t="shared" si="7"/>
        <v>9.2910898448387671E-5</v>
      </c>
      <c r="F72">
        <f t="shared" si="8"/>
        <v>0.36158134349158805</v>
      </c>
      <c r="G72" s="10">
        <f t="shared" si="9"/>
        <v>2.5695711385769875E-4</v>
      </c>
      <c r="H72">
        <f t="shared" si="10"/>
        <v>3.0645180219033711E-3</v>
      </c>
      <c r="I72" s="10">
        <f t="shared" si="11"/>
        <v>7.7265767205094624</v>
      </c>
    </row>
    <row r="73" spans="1:9">
      <c r="A73" t="s">
        <v>538</v>
      </c>
      <c r="B73" t="s">
        <v>145</v>
      </c>
      <c r="C73">
        <f>VLOOKUP(B73,Proteome!B:I,8,FALSE)</f>
        <v>3.0970299482795891E-4</v>
      </c>
      <c r="D73">
        <f t="shared" si="6"/>
        <v>0.3</v>
      </c>
      <c r="E73" s="10">
        <f t="shared" si="7"/>
        <v>9.2910898448387671E-5</v>
      </c>
      <c r="F73">
        <f t="shared" si="8"/>
        <v>0.36158134349158805</v>
      </c>
      <c r="G73" s="10">
        <f t="shared" si="9"/>
        <v>2.5695711385769875E-4</v>
      </c>
      <c r="H73">
        <f t="shared" si="10"/>
        <v>3.0645180219033711E-3</v>
      </c>
      <c r="I73" s="10">
        <f t="shared" si="11"/>
        <v>7.7265767205094624</v>
      </c>
    </row>
    <row r="74" spans="1:9">
      <c r="A74" t="s">
        <v>538</v>
      </c>
      <c r="B74" t="s">
        <v>146</v>
      </c>
      <c r="C74">
        <f>VLOOKUP(B74,Proteome!B:I,8,FALSE)</f>
        <v>5.8843569017312199E-4</v>
      </c>
      <c r="D74">
        <f t="shared" si="6"/>
        <v>0.3</v>
      </c>
      <c r="E74" s="10">
        <f t="shared" si="7"/>
        <v>1.765307070519366E-4</v>
      </c>
      <c r="F74">
        <f t="shared" si="8"/>
        <v>0.36158134349158805</v>
      </c>
      <c r="G74" s="10">
        <f t="shared" si="9"/>
        <v>4.8821851632962771E-4</v>
      </c>
      <c r="H74">
        <f t="shared" si="10"/>
        <v>5.370494179366787E-3</v>
      </c>
      <c r="I74" s="10">
        <f t="shared" si="11"/>
        <v>7.7265767205094624</v>
      </c>
    </row>
    <row r="75" spans="1:9">
      <c r="A75" t="s">
        <v>538</v>
      </c>
      <c r="B75" t="s">
        <v>148</v>
      </c>
      <c r="C75">
        <f>VLOOKUP(B75,Proteome!B:I,8,FALSE)</f>
        <v>5.8843569017312199E-4</v>
      </c>
      <c r="D75">
        <f t="shared" si="6"/>
        <v>0.3</v>
      </c>
      <c r="E75" s="10">
        <f t="shared" si="7"/>
        <v>1.765307070519366E-4</v>
      </c>
      <c r="F75">
        <f t="shared" si="8"/>
        <v>0.36158134349158805</v>
      </c>
      <c r="G75" s="10">
        <f t="shared" si="9"/>
        <v>4.8821851632962771E-4</v>
      </c>
      <c r="H75">
        <f t="shared" si="10"/>
        <v>5.370494179366787E-3</v>
      </c>
      <c r="I75" s="10">
        <f t="shared" si="11"/>
        <v>7.7265767205094624</v>
      </c>
    </row>
    <row r="76" spans="1:9">
      <c r="A76" t="s">
        <v>536</v>
      </c>
      <c r="B76" t="s">
        <v>434</v>
      </c>
      <c r="C76">
        <f>VLOOKUP(B76,Proteome!B:I,8,FALSE)</f>
        <v>5.5901390566446578E-3</v>
      </c>
      <c r="D76">
        <f t="shared" si="6"/>
        <v>0.5</v>
      </c>
      <c r="E76" s="10">
        <f t="shared" si="7"/>
        <v>2.7950695283223289E-3</v>
      </c>
      <c r="F76">
        <f t="shared" si="8"/>
        <v>0.36158134349158805</v>
      </c>
      <c r="G76" s="10">
        <f t="shared" si="9"/>
        <v>7.7301265085524366E-3</v>
      </c>
      <c r="H76">
        <f t="shared" si="10"/>
        <v>5.422909666175843E-2</v>
      </c>
      <c r="I76" s="10">
        <f t="shared" si="11"/>
        <v>7.7265767205094624</v>
      </c>
    </row>
    <row r="77" spans="1:9">
      <c r="A77" t="s">
        <v>542</v>
      </c>
      <c r="B77" t="s">
        <v>506</v>
      </c>
      <c r="C77">
        <f>VLOOKUP(B77,Proteome!B:I,8,FALSE)</f>
        <v>5.5901390566446578E-3</v>
      </c>
      <c r="D77">
        <f t="shared" si="6"/>
        <v>0.5</v>
      </c>
      <c r="E77" s="10">
        <f t="shared" si="7"/>
        <v>2.7950695283223289E-3</v>
      </c>
      <c r="F77">
        <f t="shared" si="8"/>
        <v>0.36158134349158805</v>
      </c>
      <c r="G77" s="10">
        <f t="shared" si="9"/>
        <v>7.7301265085524366E-3</v>
      </c>
      <c r="H77">
        <f t="shared" si="10"/>
        <v>5.422909666175843E-2</v>
      </c>
      <c r="I77" s="10">
        <f t="shared" si="11"/>
        <v>7.7265767205094624</v>
      </c>
    </row>
    <row r="78" spans="1:9">
      <c r="A78" t="s">
        <v>542</v>
      </c>
      <c r="B78" t="s">
        <v>513</v>
      </c>
      <c r="C78">
        <f>VLOOKUP(B78,Proteome!B:I,8,FALSE)</f>
        <v>5.5901390566446578E-3</v>
      </c>
      <c r="D78">
        <f t="shared" si="6"/>
        <v>0.5</v>
      </c>
      <c r="E78" s="10">
        <f t="shared" si="7"/>
        <v>2.7950695283223289E-3</v>
      </c>
      <c r="F78">
        <f t="shared" si="8"/>
        <v>0.36158134349158805</v>
      </c>
      <c r="G78" s="10">
        <f t="shared" si="9"/>
        <v>7.7301265085524366E-3</v>
      </c>
      <c r="H78">
        <f t="shared" si="10"/>
        <v>5.422909666175843E-2</v>
      </c>
      <c r="I78" s="10">
        <f t="shared" si="11"/>
        <v>7.7265767205094624</v>
      </c>
    </row>
    <row r="79" spans="1:9">
      <c r="A79" t="s">
        <v>542</v>
      </c>
      <c r="B79" t="s">
        <v>503</v>
      </c>
      <c r="C79">
        <f>VLOOKUP(B79,Proteome!B:I,8,FALSE)</f>
        <v>5.5901390566446578E-3</v>
      </c>
      <c r="D79">
        <f t="shared" si="6"/>
        <v>0.5</v>
      </c>
      <c r="E79" s="10">
        <f t="shared" si="7"/>
        <v>2.7950695283223289E-3</v>
      </c>
      <c r="F79">
        <f t="shared" si="8"/>
        <v>0.36158134349158805</v>
      </c>
      <c r="G79" s="10">
        <f t="shared" si="9"/>
        <v>7.7301265085524366E-3</v>
      </c>
      <c r="H79">
        <f t="shared" si="10"/>
        <v>5.422909666175843E-2</v>
      </c>
      <c r="I79" s="10">
        <f t="shared" si="11"/>
        <v>7.7265767205094624</v>
      </c>
    </row>
    <row r="80" spans="1:9">
      <c r="A80" t="s">
        <v>536</v>
      </c>
      <c r="B80" t="s">
        <v>489</v>
      </c>
      <c r="C80">
        <f>VLOOKUP(B80,Proteome!B:I,8,FALSE)</f>
        <v>5.5901390566446578E-3</v>
      </c>
      <c r="D80">
        <f t="shared" si="6"/>
        <v>0.5</v>
      </c>
      <c r="E80" s="10">
        <f t="shared" si="7"/>
        <v>2.7950695283223289E-3</v>
      </c>
      <c r="F80">
        <f t="shared" si="8"/>
        <v>0.36158134349158805</v>
      </c>
      <c r="G80" s="10">
        <f t="shared" si="9"/>
        <v>7.7301265085524366E-3</v>
      </c>
      <c r="H80">
        <f t="shared" si="10"/>
        <v>5.422909666175843E-2</v>
      </c>
      <c r="I80" s="10">
        <f t="shared" si="11"/>
        <v>7.7265767205094624</v>
      </c>
    </row>
    <row r="81" spans="1:9">
      <c r="A81" t="s">
        <v>542</v>
      </c>
      <c r="B81" t="s">
        <v>511</v>
      </c>
      <c r="C81">
        <f>VLOOKUP(B81,Proteome!B:I,8,FALSE)</f>
        <v>4.1190498312118524E-3</v>
      </c>
      <c r="D81">
        <f t="shared" si="6"/>
        <v>0.5</v>
      </c>
      <c r="E81" s="10">
        <f t="shared" si="7"/>
        <v>2.0595249156059262E-3</v>
      </c>
      <c r="F81">
        <f t="shared" si="8"/>
        <v>0.36158134349158805</v>
      </c>
      <c r="G81" s="10">
        <f t="shared" si="9"/>
        <v>5.6958826905123211E-3</v>
      </c>
      <c r="H81">
        <f t="shared" si="10"/>
        <v>4.2467731547958937E-2</v>
      </c>
      <c r="I81" s="10">
        <f t="shared" si="11"/>
        <v>7.7265767205094624</v>
      </c>
    </row>
    <row r="82" spans="1:9">
      <c r="A82" t="s">
        <v>542</v>
      </c>
      <c r="B82" t="s">
        <v>508</v>
      </c>
      <c r="C82">
        <f>VLOOKUP(B82,Proteome!B:I,8,FALSE)</f>
        <v>4.1190498312118524E-3</v>
      </c>
      <c r="D82">
        <f t="shared" si="6"/>
        <v>0.5</v>
      </c>
      <c r="E82" s="10">
        <f t="shared" si="7"/>
        <v>2.0595249156059262E-3</v>
      </c>
      <c r="F82">
        <f t="shared" si="8"/>
        <v>0.36158134349158805</v>
      </c>
      <c r="G82" s="10">
        <f t="shared" si="9"/>
        <v>5.6958826905123211E-3</v>
      </c>
      <c r="H82">
        <f t="shared" si="10"/>
        <v>4.2467731547958937E-2</v>
      </c>
      <c r="I82" s="10">
        <f t="shared" si="11"/>
        <v>7.7265767205094624</v>
      </c>
    </row>
    <row r="83" spans="1:9">
      <c r="A83" t="s">
        <v>542</v>
      </c>
      <c r="B83" t="s">
        <v>515</v>
      </c>
      <c r="C83">
        <f>VLOOKUP(B83,Proteome!B:I,8,FALSE)</f>
        <v>4.1190498312118524E-3</v>
      </c>
      <c r="D83">
        <f t="shared" si="6"/>
        <v>0.5</v>
      </c>
      <c r="E83" s="10">
        <f t="shared" si="7"/>
        <v>2.0595249156059262E-3</v>
      </c>
      <c r="F83">
        <f t="shared" si="8"/>
        <v>0.36158134349158805</v>
      </c>
      <c r="G83" s="10">
        <f t="shared" si="9"/>
        <v>5.6958826905123211E-3</v>
      </c>
      <c r="H83">
        <f t="shared" si="10"/>
        <v>4.2467731547958937E-2</v>
      </c>
      <c r="I83" s="10">
        <f t="shared" si="11"/>
        <v>7.7265767205094624</v>
      </c>
    </row>
    <row r="84" spans="1:9">
      <c r="A84" t="s">
        <v>536</v>
      </c>
      <c r="B84" t="s">
        <v>483</v>
      </c>
      <c r="C84">
        <f>VLOOKUP(B84,Proteome!B:I,8,FALSE)</f>
        <v>4.1190498312118524E-3</v>
      </c>
      <c r="D84">
        <f t="shared" si="6"/>
        <v>0.5</v>
      </c>
      <c r="E84" s="10">
        <f t="shared" si="7"/>
        <v>2.0595249156059262E-3</v>
      </c>
      <c r="F84">
        <f t="shared" si="8"/>
        <v>0.36158134349158805</v>
      </c>
      <c r="G84" s="10">
        <f t="shared" si="9"/>
        <v>5.6958826905123211E-3</v>
      </c>
      <c r="H84">
        <f t="shared" si="10"/>
        <v>4.2467731547958937E-2</v>
      </c>
      <c r="I84" s="10">
        <f t="shared" si="11"/>
        <v>7.7265767205094624</v>
      </c>
    </row>
    <row r="85" spans="1:9">
      <c r="A85" t="s">
        <v>536</v>
      </c>
      <c r="B85" t="s">
        <v>492</v>
      </c>
      <c r="C85">
        <f>VLOOKUP(B85,Proteome!B:I,8,FALSE)</f>
        <v>4.1190498312118524E-3</v>
      </c>
      <c r="D85">
        <f t="shared" si="6"/>
        <v>0.5</v>
      </c>
      <c r="E85" s="10">
        <f t="shared" si="7"/>
        <v>2.0595249156059262E-3</v>
      </c>
      <c r="F85">
        <f t="shared" si="8"/>
        <v>0.36158134349158805</v>
      </c>
      <c r="G85" s="10">
        <f t="shared" si="9"/>
        <v>5.6958826905123211E-3</v>
      </c>
      <c r="H85">
        <f t="shared" si="10"/>
        <v>4.2467731547958937E-2</v>
      </c>
      <c r="I85" s="10">
        <f t="shared" si="11"/>
        <v>7.7265767205094624</v>
      </c>
    </row>
    <row r="86" spans="1:9">
      <c r="A86" t="s">
        <v>536</v>
      </c>
      <c r="B86" t="s">
        <v>413</v>
      </c>
      <c r="C86">
        <f>VLOOKUP(B86,Proteome!B:I,8,FALSE)</f>
        <v>5.5901390566446578E-3</v>
      </c>
      <c r="D86">
        <f t="shared" si="6"/>
        <v>0.5</v>
      </c>
      <c r="E86" s="10">
        <f t="shared" si="7"/>
        <v>2.7950695283223289E-3</v>
      </c>
      <c r="F86">
        <f t="shared" si="8"/>
        <v>0.36158134349158805</v>
      </c>
      <c r="G86" s="10">
        <f t="shared" si="9"/>
        <v>7.7301265085524366E-3</v>
      </c>
      <c r="H86">
        <f t="shared" si="10"/>
        <v>5.422909666175843E-2</v>
      </c>
      <c r="I86" s="10">
        <f t="shared" si="11"/>
        <v>7.7265767205094624</v>
      </c>
    </row>
    <row r="87" spans="1:9">
      <c r="A87" t="s">
        <v>536</v>
      </c>
      <c r="B87" t="s">
        <v>414</v>
      </c>
      <c r="C87">
        <f>VLOOKUP(B87,Proteome!B:I,8,FALSE)</f>
        <v>5.5901390566446578E-3</v>
      </c>
      <c r="D87">
        <f t="shared" si="6"/>
        <v>0.5</v>
      </c>
      <c r="E87" s="10">
        <f t="shared" si="7"/>
        <v>2.7950695283223289E-3</v>
      </c>
      <c r="F87">
        <f t="shared" si="8"/>
        <v>0.36158134349158805</v>
      </c>
      <c r="G87" s="10">
        <f t="shared" si="9"/>
        <v>7.7301265085524366E-3</v>
      </c>
      <c r="H87">
        <f t="shared" si="10"/>
        <v>5.422909666175843E-2</v>
      </c>
      <c r="I87" s="10">
        <f t="shared" si="11"/>
        <v>7.7265767205094624</v>
      </c>
    </row>
    <row r="88" spans="1:9">
      <c r="A88" t="s">
        <v>536</v>
      </c>
      <c r="B88" t="s">
        <v>418</v>
      </c>
      <c r="C88">
        <f>VLOOKUP(B88,Proteome!B:I,8,FALSE)</f>
        <v>5.5901390566446578E-3</v>
      </c>
      <c r="D88">
        <f t="shared" si="6"/>
        <v>0.5</v>
      </c>
      <c r="E88" s="10">
        <f t="shared" si="7"/>
        <v>2.7950695283223289E-3</v>
      </c>
      <c r="F88">
        <f t="shared" si="8"/>
        <v>0.36158134349158805</v>
      </c>
      <c r="G88" s="10">
        <f t="shared" si="9"/>
        <v>7.7301265085524366E-3</v>
      </c>
      <c r="H88">
        <f t="shared" si="10"/>
        <v>5.422909666175843E-2</v>
      </c>
      <c r="I88" s="10">
        <f t="shared" si="11"/>
        <v>7.7265767205094624</v>
      </c>
    </row>
    <row r="89" spans="1:9">
      <c r="A89" t="s">
        <v>536</v>
      </c>
      <c r="B89" t="s">
        <v>419</v>
      </c>
      <c r="C89">
        <f>VLOOKUP(B89,Proteome!B:I,8,FALSE)</f>
        <v>5.5901390566446578E-3</v>
      </c>
      <c r="D89">
        <f t="shared" si="6"/>
        <v>0.5</v>
      </c>
      <c r="E89" s="10">
        <f t="shared" si="7"/>
        <v>2.7950695283223289E-3</v>
      </c>
      <c r="F89">
        <f t="shared" si="8"/>
        <v>0.36158134349158805</v>
      </c>
      <c r="G89" s="10">
        <f t="shared" si="9"/>
        <v>7.7301265085524366E-3</v>
      </c>
      <c r="H89">
        <f t="shared" si="10"/>
        <v>5.422909666175843E-2</v>
      </c>
      <c r="I89" s="10">
        <f t="shared" si="11"/>
        <v>7.7265767205094624</v>
      </c>
    </row>
    <row r="90" spans="1:9">
      <c r="A90" t="s">
        <v>536</v>
      </c>
      <c r="B90" t="s">
        <v>421</v>
      </c>
      <c r="C90">
        <f>VLOOKUP(B90,Proteome!B:I,8,FALSE)</f>
        <v>5.5901390566446578E-3</v>
      </c>
      <c r="D90">
        <f t="shared" si="6"/>
        <v>0.5</v>
      </c>
      <c r="E90" s="10">
        <f t="shared" si="7"/>
        <v>2.7950695283223289E-3</v>
      </c>
      <c r="F90">
        <f t="shared" si="8"/>
        <v>0.36158134349158805</v>
      </c>
      <c r="G90" s="10">
        <f t="shared" si="9"/>
        <v>7.7301265085524366E-3</v>
      </c>
      <c r="H90">
        <f t="shared" si="10"/>
        <v>5.422909666175843E-2</v>
      </c>
      <c r="I90" s="10">
        <f t="shared" si="11"/>
        <v>7.7265767205094624</v>
      </c>
    </row>
    <row r="91" spans="1:9">
      <c r="A91" t="s">
        <v>536</v>
      </c>
      <c r="B91" t="s">
        <v>422</v>
      </c>
      <c r="C91">
        <f>VLOOKUP(B91,Proteome!B:I,8,FALSE)</f>
        <v>5.5901390566446578E-3</v>
      </c>
      <c r="D91">
        <f t="shared" si="6"/>
        <v>0.5</v>
      </c>
      <c r="E91" s="10">
        <f t="shared" si="7"/>
        <v>2.7950695283223289E-3</v>
      </c>
      <c r="F91">
        <f t="shared" si="8"/>
        <v>0.36158134349158805</v>
      </c>
      <c r="G91" s="10">
        <f t="shared" si="9"/>
        <v>7.7301265085524366E-3</v>
      </c>
      <c r="H91">
        <f t="shared" si="10"/>
        <v>5.422909666175843E-2</v>
      </c>
      <c r="I91" s="10">
        <f t="shared" si="11"/>
        <v>7.7265767205094624</v>
      </c>
    </row>
    <row r="92" spans="1:9">
      <c r="A92" t="s">
        <v>536</v>
      </c>
      <c r="B92" t="s">
        <v>423</v>
      </c>
      <c r="C92">
        <f>VLOOKUP(B92,Proteome!B:I,8,FALSE)</f>
        <v>2.9421784508656093E-3</v>
      </c>
      <c r="D92">
        <f t="shared" si="6"/>
        <v>0.5</v>
      </c>
      <c r="E92" s="10">
        <f t="shared" si="7"/>
        <v>1.4710892254328047E-3</v>
      </c>
      <c r="F92">
        <f t="shared" si="8"/>
        <v>0.36158134349158805</v>
      </c>
      <c r="G92" s="10">
        <f t="shared" si="9"/>
        <v>4.0684876360802301E-3</v>
      </c>
      <c r="H92">
        <f t="shared" si="10"/>
        <v>3.2309047007391602E-2</v>
      </c>
      <c r="I92" s="10">
        <f t="shared" si="11"/>
        <v>7.7265767205094624</v>
      </c>
    </row>
    <row r="93" spans="1:9">
      <c r="A93" t="s">
        <v>536</v>
      </c>
      <c r="B93" t="s">
        <v>424</v>
      </c>
      <c r="C93">
        <f>VLOOKUP(B93,Proteome!B:I,8,FALSE)</f>
        <v>5.5901390566446578E-3</v>
      </c>
      <c r="D93">
        <f t="shared" si="6"/>
        <v>0.5</v>
      </c>
      <c r="E93" s="10">
        <f t="shared" si="7"/>
        <v>2.7950695283223289E-3</v>
      </c>
      <c r="F93">
        <f t="shared" si="8"/>
        <v>0.36158134349158805</v>
      </c>
      <c r="G93" s="10">
        <f t="shared" si="9"/>
        <v>7.7301265085524366E-3</v>
      </c>
      <c r="H93">
        <f t="shared" si="10"/>
        <v>5.422909666175843E-2</v>
      </c>
      <c r="I93" s="10">
        <f t="shared" si="11"/>
        <v>7.7265767205094624</v>
      </c>
    </row>
    <row r="94" spans="1:9">
      <c r="A94" t="s">
        <v>536</v>
      </c>
      <c r="B94" t="s">
        <v>425</v>
      </c>
      <c r="C94">
        <f>VLOOKUP(B94,Proteome!B:I,8,FALSE)</f>
        <v>5.5901390566446578E-3</v>
      </c>
      <c r="D94">
        <f t="shared" si="6"/>
        <v>0.5</v>
      </c>
      <c r="E94" s="10">
        <f t="shared" si="7"/>
        <v>2.7950695283223289E-3</v>
      </c>
      <c r="F94">
        <f t="shared" si="8"/>
        <v>0.36158134349158805</v>
      </c>
      <c r="G94" s="10">
        <f t="shared" si="9"/>
        <v>7.7301265085524366E-3</v>
      </c>
      <c r="H94">
        <f t="shared" si="10"/>
        <v>5.422909666175843E-2</v>
      </c>
      <c r="I94" s="10">
        <f t="shared" si="11"/>
        <v>7.7265767205094624</v>
      </c>
    </row>
    <row r="95" spans="1:9">
      <c r="A95" t="s">
        <v>536</v>
      </c>
      <c r="B95" t="s">
        <v>436</v>
      </c>
      <c r="C95">
        <f>VLOOKUP(B95,Proteome!B:I,8,FALSE)</f>
        <v>5.5901390566446578E-3</v>
      </c>
      <c r="D95">
        <f t="shared" si="6"/>
        <v>0.5</v>
      </c>
      <c r="E95" s="10">
        <f t="shared" si="7"/>
        <v>2.7950695283223289E-3</v>
      </c>
      <c r="F95">
        <f t="shared" si="8"/>
        <v>0.36158134349158805</v>
      </c>
      <c r="G95" s="10">
        <f t="shared" si="9"/>
        <v>7.7301265085524366E-3</v>
      </c>
      <c r="H95">
        <f t="shared" si="10"/>
        <v>5.422909666175843E-2</v>
      </c>
      <c r="I95" s="10">
        <f t="shared" si="11"/>
        <v>7.7265767205094624</v>
      </c>
    </row>
    <row r="96" spans="1:9">
      <c r="A96" t="s">
        <v>536</v>
      </c>
      <c r="B96" t="s">
        <v>443</v>
      </c>
      <c r="C96">
        <f>VLOOKUP(B96,Proteome!B:I,8,FALSE)</f>
        <v>2.9421784508656093E-3</v>
      </c>
      <c r="D96">
        <f t="shared" si="6"/>
        <v>0.5</v>
      </c>
      <c r="E96" s="10">
        <f t="shared" si="7"/>
        <v>1.4710892254328047E-3</v>
      </c>
      <c r="F96">
        <f t="shared" si="8"/>
        <v>0.36158134349158805</v>
      </c>
      <c r="G96" s="10">
        <f t="shared" si="9"/>
        <v>4.0684876360802301E-3</v>
      </c>
      <c r="H96">
        <f t="shared" si="10"/>
        <v>3.2309047007391602E-2</v>
      </c>
      <c r="I96" s="10">
        <f t="shared" si="11"/>
        <v>7.7265767205094624</v>
      </c>
    </row>
    <row r="97" spans="1:9">
      <c r="A97" t="s">
        <v>536</v>
      </c>
      <c r="B97" t="s">
        <v>448</v>
      </c>
      <c r="C97">
        <f>VLOOKUP(B97,Proteome!B:I,8,FALSE)</f>
        <v>5.5901390566446578E-3</v>
      </c>
      <c r="D97">
        <f t="shared" si="6"/>
        <v>0.5</v>
      </c>
      <c r="E97" s="10">
        <f t="shared" si="7"/>
        <v>2.7950695283223289E-3</v>
      </c>
      <c r="F97">
        <f t="shared" si="8"/>
        <v>0.36158134349158805</v>
      </c>
      <c r="G97" s="10">
        <f t="shared" si="9"/>
        <v>7.7301265085524366E-3</v>
      </c>
      <c r="H97">
        <f t="shared" si="10"/>
        <v>5.422909666175843E-2</v>
      </c>
      <c r="I97" s="10">
        <f t="shared" si="11"/>
        <v>7.7265767205094624</v>
      </c>
    </row>
    <row r="98" spans="1:9">
      <c r="A98" t="s">
        <v>536</v>
      </c>
      <c r="B98" t="s">
        <v>449</v>
      </c>
      <c r="C98">
        <f>VLOOKUP(B98,Proteome!B:I,8,FALSE)</f>
        <v>5.5901390566446578E-3</v>
      </c>
      <c r="D98">
        <f t="shared" si="6"/>
        <v>0.5</v>
      </c>
      <c r="E98" s="10">
        <f t="shared" si="7"/>
        <v>2.7950695283223289E-3</v>
      </c>
      <c r="F98">
        <f t="shared" si="8"/>
        <v>0.36158134349158805</v>
      </c>
      <c r="G98" s="10">
        <f t="shared" si="9"/>
        <v>7.7301265085524366E-3</v>
      </c>
      <c r="H98">
        <f t="shared" si="10"/>
        <v>5.422909666175843E-2</v>
      </c>
      <c r="I98" s="10">
        <f t="shared" si="11"/>
        <v>7.7265767205094624</v>
      </c>
    </row>
    <row r="99" spans="1:9">
      <c r="A99" t="s">
        <v>536</v>
      </c>
      <c r="B99" t="s">
        <v>450</v>
      </c>
      <c r="C99">
        <f>VLOOKUP(B99,Proteome!B:I,8,FALSE)</f>
        <v>5.5901390566446578E-3</v>
      </c>
      <c r="D99">
        <f t="shared" si="6"/>
        <v>0.5</v>
      </c>
      <c r="E99" s="10">
        <f t="shared" si="7"/>
        <v>2.7950695283223289E-3</v>
      </c>
      <c r="F99">
        <f t="shared" si="8"/>
        <v>0.36158134349158805</v>
      </c>
      <c r="G99" s="10">
        <f t="shared" si="9"/>
        <v>7.7301265085524366E-3</v>
      </c>
      <c r="H99">
        <f t="shared" si="10"/>
        <v>5.422909666175843E-2</v>
      </c>
      <c r="I99" s="10">
        <f t="shared" si="11"/>
        <v>7.7265767205094624</v>
      </c>
    </row>
    <row r="100" spans="1:9">
      <c r="A100" t="s">
        <v>536</v>
      </c>
      <c r="B100" t="s">
        <v>452</v>
      </c>
      <c r="C100">
        <f>VLOOKUP(B100,Proteome!B:I,8,FALSE)</f>
        <v>2.9421784508656093E-3</v>
      </c>
      <c r="D100">
        <f t="shared" si="6"/>
        <v>0.5</v>
      </c>
      <c r="E100" s="10">
        <f t="shared" si="7"/>
        <v>1.4710892254328047E-3</v>
      </c>
      <c r="F100">
        <f t="shared" si="8"/>
        <v>0.36158134349158805</v>
      </c>
      <c r="G100" s="10">
        <f t="shared" si="9"/>
        <v>4.0684876360802301E-3</v>
      </c>
      <c r="H100">
        <f t="shared" si="10"/>
        <v>3.2309047007391602E-2</v>
      </c>
      <c r="I100" s="10">
        <f t="shared" si="11"/>
        <v>7.7265767205094624</v>
      </c>
    </row>
    <row r="101" spans="1:9">
      <c r="A101" t="s">
        <v>542</v>
      </c>
      <c r="B101" t="s">
        <v>519</v>
      </c>
      <c r="C101">
        <f>VLOOKUP(B101,Proteome!B:I,8,FALSE)</f>
        <v>5.5901390566446578E-3</v>
      </c>
      <c r="D101">
        <f t="shared" si="6"/>
        <v>0.5</v>
      </c>
      <c r="E101" s="10">
        <f t="shared" si="7"/>
        <v>2.7950695283223289E-3</v>
      </c>
      <c r="F101">
        <f t="shared" si="8"/>
        <v>0.36158134349158805</v>
      </c>
      <c r="G101" s="10">
        <f t="shared" si="9"/>
        <v>7.7301265085524366E-3</v>
      </c>
      <c r="H101">
        <f t="shared" si="10"/>
        <v>5.422909666175843E-2</v>
      </c>
      <c r="I101" s="10">
        <f t="shared" si="11"/>
        <v>7.7265767205094624</v>
      </c>
    </row>
    <row r="102" spans="1:9">
      <c r="A102" t="s">
        <v>536</v>
      </c>
      <c r="B102" t="s">
        <v>476</v>
      </c>
      <c r="C102">
        <f>VLOOKUP(B102,Proteome!B:I,8,FALSE)</f>
        <v>5.5901390566446578E-3</v>
      </c>
      <c r="D102">
        <f t="shared" si="6"/>
        <v>0.5</v>
      </c>
      <c r="E102" s="10">
        <f t="shared" si="7"/>
        <v>2.7950695283223289E-3</v>
      </c>
      <c r="F102">
        <f t="shared" si="8"/>
        <v>0.36158134349158805</v>
      </c>
      <c r="G102" s="10">
        <f t="shared" si="9"/>
        <v>7.7301265085524366E-3</v>
      </c>
      <c r="H102">
        <f t="shared" si="10"/>
        <v>5.422909666175843E-2</v>
      </c>
      <c r="I102" s="10">
        <f t="shared" si="11"/>
        <v>7.7265767205094624</v>
      </c>
    </row>
    <row r="103" spans="1:9">
      <c r="A103" t="s">
        <v>536</v>
      </c>
      <c r="B103" t="s">
        <v>478</v>
      </c>
      <c r="C103">
        <f>VLOOKUP(B103,Proteome!B:I,8,FALSE)</f>
        <v>5.5901390566446578E-3</v>
      </c>
      <c r="D103">
        <f t="shared" si="6"/>
        <v>0.5</v>
      </c>
      <c r="E103" s="10">
        <f t="shared" si="7"/>
        <v>2.7950695283223289E-3</v>
      </c>
      <c r="F103">
        <f t="shared" si="8"/>
        <v>0.36158134349158805</v>
      </c>
      <c r="G103" s="10">
        <f t="shared" si="9"/>
        <v>7.7301265085524366E-3</v>
      </c>
      <c r="H103">
        <f t="shared" si="10"/>
        <v>5.422909666175843E-2</v>
      </c>
      <c r="I103" s="10">
        <f t="shared" si="11"/>
        <v>7.7265767205094624</v>
      </c>
    </row>
    <row r="104" spans="1:9">
      <c r="A104" t="s">
        <v>536</v>
      </c>
      <c r="B104" t="s">
        <v>479</v>
      </c>
      <c r="C104">
        <f>VLOOKUP(B104,Proteome!B:I,8,FALSE)</f>
        <v>5.5901390566446578E-3</v>
      </c>
      <c r="D104">
        <f t="shared" si="6"/>
        <v>0.5</v>
      </c>
      <c r="E104" s="10">
        <f t="shared" si="7"/>
        <v>2.7950695283223289E-3</v>
      </c>
      <c r="F104">
        <f t="shared" si="8"/>
        <v>0.36158134349158805</v>
      </c>
      <c r="G104" s="10">
        <f t="shared" si="9"/>
        <v>7.7301265085524366E-3</v>
      </c>
      <c r="H104">
        <f t="shared" si="10"/>
        <v>5.422909666175843E-2</v>
      </c>
      <c r="I104" s="10">
        <f t="shared" si="11"/>
        <v>7.7265767205094624</v>
      </c>
    </row>
    <row r="105" spans="1:9">
      <c r="A105" t="s">
        <v>542</v>
      </c>
      <c r="B105" t="s">
        <v>497</v>
      </c>
      <c r="C105">
        <f>VLOOKUP(B105,Proteome!B:I,8,FALSE)</f>
        <v>4.1190498312118524E-3</v>
      </c>
      <c r="D105">
        <f t="shared" si="6"/>
        <v>0.5</v>
      </c>
      <c r="E105" s="10">
        <f t="shared" si="7"/>
        <v>2.0595249156059262E-3</v>
      </c>
      <c r="F105">
        <f t="shared" si="8"/>
        <v>0.36158134349158805</v>
      </c>
      <c r="G105" s="10">
        <f t="shared" si="9"/>
        <v>5.6958826905123211E-3</v>
      </c>
      <c r="H105">
        <f t="shared" si="10"/>
        <v>4.2467731547958937E-2</v>
      </c>
      <c r="I105" s="10">
        <f t="shared" si="11"/>
        <v>7.7265767205094624</v>
      </c>
    </row>
    <row r="106" spans="1:9">
      <c r="A106" t="s">
        <v>542</v>
      </c>
      <c r="B106" t="s">
        <v>510</v>
      </c>
      <c r="C106">
        <f>VLOOKUP(B106,Proteome!B:I,8,FALSE)</f>
        <v>4.1190498312118524E-3</v>
      </c>
      <c r="D106">
        <f t="shared" si="6"/>
        <v>0.5</v>
      </c>
      <c r="E106" s="10">
        <f t="shared" si="7"/>
        <v>2.0595249156059262E-3</v>
      </c>
      <c r="F106">
        <f t="shared" si="8"/>
        <v>0.36158134349158805</v>
      </c>
      <c r="G106" s="10">
        <f t="shared" si="9"/>
        <v>5.6958826905123211E-3</v>
      </c>
      <c r="H106">
        <f t="shared" si="10"/>
        <v>4.2467731547958937E-2</v>
      </c>
      <c r="I106" s="10">
        <f t="shared" si="11"/>
        <v>7.7265767205094624</v>
      </c>
    </row>
    <row r="107" spans="1:9">
      <c r="A107" t="s">
        <v>536</v>
      </c>
      <c r="B107" t="s">
        <v>415</v>
      </c>
      <c r="C107">
        <f>VLOOKUP(B107,Proteome!B:I,8,FALSE)</f>
        <v>4.1190498312118524E-3</v>
      </c>
      <c r="D107">
        <f t="shared" si="6"/>
        <v>0.5</v>
      </c>
      <c r="E107" s="10">
        <f t="shared" si="7"/>
        <v>2.0595249156059262E-3</v>
      </c>
      <c r="F107">
        <f t="shared" si="8"/>
        <v>0.36158134349158805</v>
      </c>
      <c r="G107" s="10">
        <f t="shared" si="9"/>
        <v>5.6958826905123211E-3</v>
      </c>
      <c r="H107">
        <f t="shared" si="10"/>
        <v>4.2467731547958937E-2</v>
      </c>
      <c r="I107" s="10">
        <f t="shared" si="11"/>
        <v>7.7265767205094624</v>
      </c>
    </row>
    <row r="108" spans="1:9">
      <c r="A108" t="s">
        <v>542</v>
      </c>
      <c r="B108" t="s">
        <v>505</v>
      </c>
      <c r="C108">
        <f>VLOOKUP(B108,Proteome!B:I,8,FALSE)</f>
        <v>4.1190498312118524E-3</v>
      </c>
      <c r="D108">
        <f t="shared" si="6"/>
        <v>0.5</v>
      </c>
      <c r="E108" s="10">
        <f t="shared" si="7"/>
        <v>2.0595249156059262E-3</v>
      </c>
      <c r="F108">
        <f t="shared" si="8"/>
        <v>0.36158134349158805</v>
      </c>
      <c r="G108" s="10">
        <f t="shared" si="9"/>
        <v>5.6958826905123211E-3</v>
      </c>
      <c r="H108">
        <f t="shared" si="10"/>
        <v>4.2467731547958937E-2</v>
      </c>
      <c r="I108" s="10">
        <f t="shared" si="11"/>
        <v>7.7265767205094624</v>
      </c>
    </row>
    <row r="109" spans="1:9">
      <c r="A109" t="s">
        <v>536</v>
      </c>
      <c r="B109" t="s">
        <v>417</v>
      </c>
      <c r="C109">
        <f>VLOOKUP(B109,Proteome!B:I,8,FALSE)</f>
        <v>4.1190498312118524E-3</v>
      </c>
      <c r="D109">
        <f t="shared" si="6"/>
        <v>0.5</v>
      </c>
      <c r="E109" s="10">
        <f t="shared" si="7"/>
        <v>2.0595249156059262E-3</v>
      </c>
      <c r="F109">
        <f t="shared" si="8"/>
        <v>0.36158134349158805</v>
      </c>
      <c r="G109" s="10">
        <f t="shared" si="9"/>
        <v>5.6958826905123211E-3</v>
      </c>
      <c r="H109">
        <f t="shared" si="10"/>
        <v>4.2467731547958937E-2</v>
      </c>
      <c r="I109" s="10">
        <f t="shared" si="11"/>
        <v>7.7265767205094624</v>
      </c>
    </row>
    <row r="110" spans="1:9">
      <c r="A110" t="s">
        <v>536</v>
      </c>
      <c r="B110" t="s">
        <v>430</v>
      </c>
      <c r="C110">
        <f>VLOOKUP(B110,Proteome!B:I,8,FALSE)</f>
        <v>2.1679209637957119E-3</v>
      </c>
      <c r="D110">
        <f t="shared" si="6"/>
        <v>0.5</v>
      </c>
      <c r="E110" s="10">
        <f t="shared" si="7"/>
        <v>1.083960481897856E-3</v>
      </c>
      <c r="F110">
        <f t="shared" si="8"/>
        <v>0.36158134349158805</v>
      </c>
      <c r="G110" s="10">
        <f t="shared" si="9"/>
        <v>2.9978329950064849E-3</v>
      </c>
      <c r="H110">
        <f t="shared" si="10"/>
        <v>2.5127429267125155E-2</v>
      </c>
      <c r="I110" s="10">
        <f t="shared" si="11"/>
        <v>7.7265767205094624</v>
      </c>
    </row>
    <row r="111" spans="1:9">
      <c r="A111" t="s">
        <v>536</v>
      </c>
      <c r="B111" t="s">
        <v>440</v>
      </c>
      <c r="C111">
        <f>VLOOKUP(B111,Proteome!B:I,8,FALSE)</f>
        <v>4.1190498312118524E-3</v>
      </c>
      <c r="D111">
        <f t="shared" si="6"/>
        <v>0.5</v>
      </c>
      <c r="E111" s="10">
        <f t="shared" si="7"/>
        <v>2.0595249156059262E-3</v>
      </c>
      <c r="F111">
        <f t="shared" si="8"/>
        <v>0.36158134349158805</v>
      </c>
      <c r="G111" s="10">
        <f t="shared" si="9"/>
        <v>5.6958826905123211E-3</v>
      </c>
      <c r="H111">
        <f t="shared" si="10"/>
        <v>4.2467731547958937E-2</v>
      </c>
      <c r="I111" s="10">
        <f t="shared" si="11"/>
        <v>7.7265767205094624</v>
      </c>
    </row>
    <row r="112" spans="1:9">
      <c r="A112" t="s">
        <v>536</v>
      </c>
      <c r="B112" t="s">
        <v>441</v>
      </c>
      <c r="C112">
        <f>VLOOKUP(B112,Proteome!B:I,8,FALSE)</f>
        <v>4.1190498312118524E-3</v>
      </c>
      <c r="D112">
        <f t="shared" si="6"/>
        <v>0.5</v>
      </c>
      <c r="E112" s="10">
        <f t="shared" si="7"/>
        <v>2.0595249156059262E-3</v>
      </c>
      <c r="F112">
        <f t="shared" si="8"/>
        <v>0.36158134349158805</v>
      </c>
      <c r="G112" s="10">
        <f t="shared" si="9"/>
        <v>5.6958826905123211E-3</v>
      </c>
      <c r="H112">
        <f t="shared" si="10"/>
        <v>4.2467731547958937E-2</v>
      </c>
      <c r="I112" s="10">
        <f t="shared" si="11"/>
        <v>7.7265767205094624</v>
      </c>
    </row>
    <row r="113" spans="1:9">
      <c r="A113" t="s">
        <v>536</v>
      </c>
      <c r="B113" t="s">
        <v>442</v>
      </c>
      <c r="C113">
        <f>VLOOKUP(B113,Proteome!B:I,8,FALSE)</f>
        <v>4.1190498312118524E-3</v>
      </c>
      <c r="D113">
        <f t="shared" si="6"/>
        <v>0.5</v>
      </c>
      <c r="E113" s="10">
        <f t="shared" si="7"/>
        <v>2.0595249156059262E-3</v>
      </c>
      <c r="F113">
        <f t="shared" si="8"/>
        <v>0.36158134349158805</v>
      </c>
      <c r="G113" s="10">
        <f t="shared" si="9"/>
        <v>5.6958826905123211E-3</v>
      </c>
      <c r="H113">
        <f t="shared" si="10"/>
        <v>4.2467731547958937E-2</v>
      </c>
      <c r="I113" s="10">
        <f t="shared" si="11"/>
        <v>7.7265767205094624</v>
      </c>
    </row>
    <row r="114" spans="1:9">
      <c r="A114" t="s">
        <v>536</v>
      </c>
      <c r="B114" t="s">
        <v>455</v>
      </c>
      <c r="C114">
        <f>VLOOKUP(B114,Proteome!B:I,8,FALSE)</f>
        <v>4.1190498312118524E-3</v>
      </c>
      <c r="D114">
        <f t="shared" si="6"/>
        <v>0.5</v>
      </c>
      <c r="E114" s="10">
        <f t="shared" si="7"/>
        <v>2.0595249156059262E-3</v>
      </c>
      <c r="F114">
        <f t="shared" si="8"/>
        <v>0.36158134349158805</v>
      </c>
      <c r="G114" s="10">
        <f t="shared" si="9"/>
        <v>5.6958826905123211E-3</v>
      </c>
      <c r="H114">
        <f t="shared" si="10"/>
        <v>4.2467731547958937E-2</v>
      </c>
      <c r="I114" s="10">
        <f t="shared" si="11"/>
        <v>7.7265767205094624</v>
      </c>
    </row>
    <row r="115" spans="1:9">
      <c r="A115" t="s">
        <v>536</v>
      </c>
      <c r="B115" t="s">
        <v>461</v>
      </c>
      <c r="C115">
        <f>VLOOKUP(B115,Proteome!B:I,8,FALSE)</f>
        <v>4.1190498312118524E-3</v>
      </c>
      <c r="D115">
        <f t="shared" si="6"/>
        <v>0.5</v>
      </c>
      <c r="E115" s="10">
        <f t="shared" si="7"/>
        <v>2.0595249156059262E-3</v>
      </c>
      <c r="F115">
        <f t="shared" si="8"/>
        <v>0.36158134349158805</v>
      </c>
      <c r="G115" s="10">
        <f t="shared" si="9"/>
        <v>5.6958826905123211E-3</v>
      </c>
      <c r="H115">
        <f t="shared" si="10"/>
        <v>4.2467731547958937E-2</v>
      </c>
      <c r="I115" s="10">
        <f t="shared" si="11"/>
        <v>7.7265767205094624</v>
      </c>
    </row>
    <row r="116" spans="1:9">
      <c r="A116" t="s">
        <v>536</v>
      </c>
      <c r="B116" t="s">
        <v>481</v>
      </c>
      <c r="C116">
        <f>VLOOKUP(B116,Proteome!B:I,8,FALSE)</f>
        <v>2.1679209637957119E-3</v>
      </c>
      <c r="D116">
        <f t="shared" si="6"/>
        <v>0.5</v>
      </c>
      <c r="E116" s="10">
        <f t="shared" si="7"/>
        <v>1.083960481897856E-3</v>
      </c>
      <c r="F116">
        <f t="shared" si="8"/>
        <v>0.36158134349158805</v>
      </c>
      <c r="G116" s="10">
        <f t="shared" si="9"/>
        <v>2.9978329950064849E-3</v>
      </c>
      <c r="H116">
        <f t="shared" si="10"/>
        <v>2.5127429267125155E-2</v>
      </c>
      <c r="I116" s="10">
        <f t="shared" si="11"/>
        <v>7.7265767205094624</v>
      </c>
    </row>
    <row r="117" spans="1:9">
      <c r="A117" t="s">
        <v>536</v>
      </c>
      <c r="B117" t="s">
        <v>487</v>
      </c>
      <c r="C117">
        <f>VLOOKUP(B117,Proteome!B:I,8,FALSE)</f>
        <v>2.1679209637957119E-3</v>
      </c>
      <c r="D117">
        <f t="shared" si="6"/>
        <v>0.5</v>
      </c>
      <c r="E117" s="10">
        <f t="shared" si="7"/>
        <v>1.083960481897856E-3</v>
      </c>
      <c r="F117">
        <f t="shared" si="8"/>
        <v>0.36158134349158805</v>
      </c>
      <c r="G117" s="10">
        <f t="shared" si="9"/>
        <v>2.9978329950064849E-3</v>
      </c>
      <c r="H117">
        <f t="shared" si="10"/>
        <v>2.5127429267125155E-2</v>
      </c>
      <c r="I117" s="10">
        <f t="shared" si="11"/>
        <v>7.7265767205094624</v>
      </c>
    </row>
    <row r="118" spans="1:9">
      <c r="A118" t="s">
        <v>542</v>
      </c>
      <c r="B118" t="s">
        <v>500</v>
      </c>
      <c r="C118">
        <f>VLOOKUP(B118,Proteome!B:I,8,FALSE)</f>
        <v>5.8843569017312199E-4</v>
      </c>
      <c r="D118">
        <f t="shared" si="6"/>
        <v>0.5</v>
      </c>
      <c r="E118" s="10">
        <f t="shared" si="7"/>
        <v>2.94217845086561E-4</v>
      </c>
      <c r="F118">
        <f t="shared" si="8"/>
        <v>0.36158134349158805</v>
      </c>
      <c r="G118" s="10">
        <f t="shared" si="9"/>
        <v>8.1369752721604616E-4</v>
      </c>
      <c r="H118">
        <f t="shared" si="10"/>
        <v>8.3511565506616311E-3</v>
      </c>
      <c r="I118" s="10">
        <f t="shared" si="11"/>
        <v>7.7265767205094624</v>
      </c>
    </row>
    <row r="119" spans="1:9">
      <c r="A119" t="s">
        <v>536</v>
      </c>
      <c r="B119" t="s">
        <v>446</v>
      </c>
      <c r="C119">
        <f>VLOOKUP(B119,Proteome!B:I,8,FALSE)</f>
        <v>5.8843569017312199E-4</v>
      </c>
      <c r="D119">
        <f t="shared" si="6"/>
        <v>0.5</v>
      </c>
      <c r="E119" s="10">
        <f t="shared" si="7"/>
        <v>2.94217845086561E-4</v>
      </c>
      <c r="F119">
        <f t="shared" si="8"/>
        <v>0.36158134349158805</v>
      </c>
      <c r="G119" s="10">
        <f t="shared" si="9"/>
        <v>8.1369752721604616E-4</v>
      </c>
      <c r="H119">
        <f t="shared" si="10"/>
        <v>8.3511565506616311E-3</v>
      </c>
      <c r="I119" s="10">
        <f t="shared" si="11"/>
        <v>7.7265767205094624</v>
      </c>
    </row>
    <row r="120" spans="1:9">
      <c r="A120" t="s">
        <v>542</v>
      </c>
      <c r="B120" t="s">
        <v>502</v>
      </c>
      <c r="C120">
        <f>VLOOKUP(B120,Proteome!B:I,8,FALSE)</f>
        <v>5.8843569017312199E-4</v>
      </c>
      <c r="D120">
        <f t="shared" si="6"/>
        <v>0.5</v>
      </c>
      <c r="E120" s="10">
        <f t="shared" si="7"/>
        <v>2.94217845086561E-4</v>
      </c>
      <c r="F120">
        <f t="shared" si="8"/>
        <v>0.36158134349158805</v>
      </c>
      <c r="G120" s="10">
        <f t="shared" si="9"/>
        <v>8.1369752721604616E-4</v>
      </c>
      <c r="H120">
        <f t="shared" si="10"/>
        <v>8.3511565506616311E-3</v>
      </c>
      <c r="I120" s="10">
        <f t="shared" si="11"/>
        <v>7.7265767205094624</v>
      </c>
    </row>
    <row r="121" spans="1:9">
      <c r="A121" t="s">
        <v>542</v>
      </c>
      <c r="B121" t="s">
        <v>493</v>
      </c>
      <c r="C121">
        <f>VLOOKUP(B121,Proteome!B:I,8,FALSE)</f>
        <v>5.8843569017312199E-4</v>
      </c>
      <c r="D121">
        <f t="shared" si="6"/>
        <v>0.5</v>
      </c>
      <c r="E121" s="10">
        <f t="shared" si="7"/>
        <v>2.94217845086561E-4</v>
      </c>
      <c r="F121">
        <f t="shared" si="8"/>
        <v>0.36158134349158805</v>
      </c>
      <c r="G121" s="10">
        <f t="shared" si="9"/>
        <v>8.1369752721604616E-4</v>
      </c>
      <c r="H121">
        <f t="shared" si="10"/>
        <v>8.3511565506616311E-3</v>
      </c>
      <c r="I121" s="10">
        <f t="shared" si="11"/>
        <v>7.7265767205094624</v>
      </c>
    </row>
    <row r="122" spans="1:9">
      <c r="A122" t="s">
        <v>542</v>
      </c>
      <c r="B122" t="s">
        <v>494</v>
      </c>
      <c r="C122">
        <f>VLOOKUP(B122,Proteome!B:I,8,FALSE)</f>
        <v>3.0970299482795891E-4</v>
      </c>
      <c r="D122">
        <f t="shared" si="6"/>
        <v>0.5</v>
      </c>
      <c r="E122" s="10">
        <f t="shared" si="7"/>
        <v>1.5485149741397946E-4</v>
      </c>
      <c r="F122">
        <f t="shared" si="8"/>
        <v>0.36158134349158805</v>
      </c>
      <c r="G122" s="10">
        <f t="shared" si="9"/>
        <v>4.2826185642949794E-4</v>
      </c>
      <c r="H122">
        <f t="shared" si="10"/>
        <v>4.7919157830233301E-3</v>
      </c>
      <c r="I122" s="10">
        <f t="shared" si="11"/>
        <v>7.7265767205094624</v>
      </c>
    </row>
    <row r="123" spans="1:9">
      <c r="A123" t="s">
        <v>542</v>
      </c>
      <c r="B123" t="s">
        <v>495</v>
      </c>
      <c r="C123">
        <f>VLOOKUP(B123,Proteome!B:I,8,FALSE)</f>
        <v>3.0970299482795891E-4</v>
      </c>
      <c r="D123">
        <f t="shared" si="6"/>
        <v>0.5</v>
      </c>
      <c r="E123" s="10">
        <f t="shared" si="7"/>
        <v>1.5485149741397946E-4</v>
      </c>
      <c r="F123">
        <f t="shared" si="8"/>
        <v>0.36158134349158805</v>
      </c>
      <c r="G123" s="10">
        <f t="shared" si="9"/>
        <v>4.2826185642949794E-4</v>
      </c>
      <c r="H123">
        <f t="shared" si="10"/>
        <v>4.7919157830233301E-3</v>
      </c>
      <c r="I123" s="10">
        <f t="shared" si="11"/>
        <v>7.7265767205094624</v>
      </c>
    </row>
    <row r="124" spans="1:9">
      <c r="A124" t="s">
        <v>542</v>
      </c>
      <c r="B124" t="s">
        <v>496</v>
      </c>
      <c r="C124">
        <f>VLOOKUP(B124,Proteome!B:I,8,FALSE)</f>
        <v>3.0970299482795891E-4</v>
      </c>
      <c r="D124">
        <f t="shared" si="6"/>
        <v>0.5</v>
      </c>
      <c r="E124" s="10">
        <f t="shared" si="7"/>
        <v>1.5485149741397946E-4</v>
      </c>
      <c r="F124">
        <f t="shared" si="8"/>
        <v>0.36158134349158805</v>
      </c>
      <c r="G124" s="10">
        <f t="shared" si="9"/>
        <v>4.2826185642949794E-4</v>
      </c>
      <c r="H124">
        <f t="shared" si="10"/>
        <v>4.7919157830233301E-3</v>
      </c>
      <c r="I124" s="10">
        <f t="shared" si="11"/>
        <v>7.7265767205094624</v>
      </c>
    </row>
    <row r="125" spans="1:9">
      <c r="A125" t="s">
        <v>542</v>
      </c>
      <c r="B125" t="s">
        <v>498</v>
      </c>
      <c r="C125">
        <f>VLOOKUP(B125,Proteome!B:I,8,FALSE)</f>
        <v>3.0970299482795891E-4</v>
      </c>
      <c r="D125">
        <f t="shared" si="6"/>
        <v>0.5</v>
      </c>
      <c r="E125" s="10">
        <f t="shared" si="7"/>
        <v>1.5485149741397946E-4</v>
      </c>
      <c r="F125">
        <f t="shared" si="8"/>
        <v>0.36158134349158805</v>
      </c>
      <c r="G125" s="10">
        <f t="shared" si="9"/>
        <v>4.2826185642949794E-4</v>
      </c>
      <c r="H125">
        <f t="shared" si="10"/>
        <v>4.7919157830233301E-3</v>
      </c>
      <c r="I125" s="10">
        <f t="shared" si="11"/>
        <v>7.7265767205094624</v>
      </c>
    </row>
    <row r="126" spans="1:9">
      <c r="A126" t="s">
        <v>542</v>
      </c>
      <c r="B126" t="s">
        <v>499</v>
      </c>
      <c r="C126">
        <f>VLOOKUP(B126,Proteome!B:I,8,FALSE)</f>
        <v>5.8843569017312199E-4</v>
      </c>
      <c r="D126">
        <f t="shared" si="6"/>
        <v>0.5</v>
      </c>
      <c r="E126" s="10">
        <f t="shared" si="7"/>
        <v>2.94217845086561E-4</v>
      </c>
      <c r="F126">
        <f t="shared" si="8"/>
        <v>0.36158134349158805</v>
      </c>
      <c r="G126" s="10">
        <f t="shared" si="9"/>
        <v>8.1369752721604616E-4</v>
      </c>
      <c r="H126">
        <f t="shared" si="10"/>
        <v>8.3511565506616311E-3</v>
      </c>
      <c r="I126" s="10">
        <f t="shared" si="11"/>
        <v>7.7265767205094624</v>
      </c>
    </row>
    <row r="127" spans="1:9">
      <c r="A127" t="s">
        <v>536</v>
      </c>
      <c r="B127" t="s">
        <v>416</v>
      </c>
      <c r="C127">
        <f>VLOOKUP(B127,Proteome!B:I,8,FALSE)</f>
        <v>3.0970299482795891E-4</v>
      </c>
      <c r="D127">
        <f t="shared" si="6"/>
        <v>0.5</v>
      </c>
      <c r="E127" s="10">
        <f t="shared" si="7"/>
        <v>1.5485149741397946E-4</v>
      </c>
      <c r="F127">
        <f t="shared" si="8"/>
        <v>0.36158134349158805</v>
      </c>
      <c r="G127" s="10">
        <f t="shared" si="9"/>
        <v>4.2826185642949794E-4</v>
      </c>
      <c r="H127">
        <f t="shared" si="10"/>
        <v>4.7919157830233301E-3</v>
      </c>
      <c r="I127" s="10">
        <f t="shared" si="11"/>
        <v>7.7265767205094624</v>
      </c>
    </row>
    <row r="128" spans="1:9">
      <c r="A128" t="s">
        <v>536</v>
      </c>
      <c r="B128" t="s">
        <v>420</v>
      </c>
      <c r="C128">
        <f>VLOOKUP(B128,Proteome!B:I,8,FALSE)</f>
        <v>3.0970299482795891E-4</v>
      </c>
      <c r="D128">
        <f t="shared" si="6"/>
        <v>0.5</v>
      </c>
      <c r="E128" s="10">
        <f t="shared" si="7"/>
        <v>1.5485149741397946E-4</v>
      </c>
      <c r="F128">
        <f t="shared" si="8"/>
        <v>0.36158134349158805</v>
      </c>
      <c r="G128" s="10">
        <f t="shared" si="9"/>
        <v>4.2826185642949794E-4</v>
      </c>
      <c r="H128">
        <f t="shared" si="10"/>
        <v>4.7919157830233301E-3</v>
      </c>
      <c r="I128" s="10">
        <f t="shared" si="11"/>
        <v>7.7265767205094624</v>
      </c>
    </row>
    <row r="129" spans="1:9">
      <c r="A129" t="s">
        <v>536</v>
      </c>
      <c r="B129" t="s">
        <v>426</v>
      </c>
      <c r="C129">
        <f>VLOOKUP(B129,Proteome!B:I,8,FALSE)</f>
        <v>3.0970299482795891E-4</v>
      </c>
      <c r="D129">
        <f t="shared" si="6"/>
        <v>0.5</v>
      </c>
      <c r="E129" s="10">
        <f t="shared" si="7"/>
        <v>1.5485149741397946E-4</v>
      </c>
      <c r="F129">
        <f t="shared" si="8"/>
        <v>0.36158134349158805</v>
      </c>
      <c r="G129" s="10">
        <f t="shared" si="9"/>
        <v>4.2826185642949794E-4</v>
      </c>
      <c r="H129">
        <f t="shared" si="10"/>
        <v>4.7919157830233301E-3</v>
      </c>
      <c r="I129" s="10">
        <f t="shared" si="11"/>
        <v>7.7265767205094624</v>
      </c>
    </row>
    <row r="130" spans="1:9">
      <c r="A130" t="s">
        <v>536</v>
      </c>
      <c r="B130" t="s">
        <v>427</v>
      </c>
      <c r="C130">
        <f>VLOOKUP(B130,Proteome!B:I,8,FALSE)</f>
        <v>3.0970299482795891E-4</v>
      </c>
      <c r="D130">
        <f t="shared" ref="D130:D193" si="12">VLOOKUP(A130,$K$2:$L$12,2,FALSE)</f>
        <v>0.5</v>
      </c>
      <c r="E130" s="10">
        <f t="shared" ref="E130:E193" si="13">C130*D130</f>
        <v>1.5485149741397946E-4</v>
      </c>
      <c r="F130">
        <f t="shared" ref="F130:F193" si="14">SUM($E$2:$E$522)</f>
        <v>0.36158134349158805</v>
      </c>
      <c r="G130" s="10">
        <f t="shared" ref="G130:G193" si="15">E130/F130</f>
        <v>4.2826185642949794E-4</v>
      </c>
      <c r="H130">
        <f t="shared" ref="H130:H193" si="16">-G130*LOG(G130,2)</f>
        <v>4.7919157830233301E-3</v>
      </c>
      <c r="I130" s="10">
        <f t="shared" ref="I130:I193" si="17">SUM($H$2:$H$522)</f>
        <v>7.7265767205094624</v>
      </c>
    </row>
    <row r="131" spans="1:9">
      <c r="A131" t="s">
        <v>542</v>
      </c>
      <c r="B131" t="s">
        <v>501</v>
      </c>
      <c r="C131">
        <f>VLOOKUP(B131,Proteome!B:I,8,FALSE)</f>
        <v>5.8843569017312199E-4</v>
      </c>
      <c r="D131">
        <f t="shared" si="12"/>
        <v>0.5</v>
      </c>
      <c r="E131" s="10">
        <f t="shared" si="13"/>
        <v>2.94217845086561E-4</v>
      </c>
      <c r="F131">
        <f t="shared" si="14"/>
        <v>0.36158134349158805</v>
      </c>
      <c r="G131" s="10">
        <f t="shared" si="15"/>
        <v>8.1369752721604616E-4</v>
      </c>
      <c r="H131">
        <f t="shared" si="16"/>
        <v>8.3511565506616311E-3</v>
      </c>
      <c r="I131" s="10">
        <f t="shared" si="17"/>
        <v>7.7265767205094624</v>
      </c>
    </row>
    <row r="132" spans="1:9">
      <c r="A132" t="s">
        <v>536</v>
      </c>
      <c r="B132" t="s">
        <v>428</v>
      </c>
      <c r="C132">
        <f>VLOOKUP(B132,Proteome!B:I,8,FALSE)</f>
        <v>3.0970299482795891E-4</v>
      </c>
      <c r="D132">
        <f t="shared" si="12"/>
        <v>0.5</v>
      </c>
      <c r="E132" s="10">
        <f t="shared" si="13"/>
        <v>1.5485149741397946E-4</v>
      </c>
      <c r="F132">
        <f t="shared" si="14"/>
        <v>0.36158134349158805</v>
      </c>
      <c r="G132" s="10">
        <f t="shared" si="15"/>
        <v>4.2826185642949794E-4</v>
      </c>
      <c r="H132">
        <f t="shared" si="16"/>
        <v>4.7919157830233301E-3</v>
      </c>
      <c r="I132" s="10">
        <f t="shared" si="17"/>
        <v>7.7265767205094624</v>
      </c>
    </row>
    <row r="133" spans="1:9">
      <c r="A133" t="s">
        <v>536</v>
      </c>
      <c r="B133" t="s">
        <v>429</v>
      </c>
      <c r="C133">
        <f>VLOOKUP(B133,Proteome!B:I,8,FALSE)</f>
        <v>5.8843569017312199E-4</v>
      </c>
      <c r="D133">
        <f t="shared" si="12"/>
        <v>0.5</v>
      </c>
      <c r="E133" s="10">
        <f t="shared" si="13"/>
        <v>2.94217845086561E-4</v>
      </c>
      <c r="F133">
        <f t="shared" si="14"/>
        <v>0.36158134349158805</v>
      </c>
      <c r="G133" s="10">
        <f t="shared" si="15"/>
        <v>8.1369752721604616E-4</v>
      </c>
      <c r="H133">
        <f t="shared" si="16"/>
        <v>8.3511565506616311E-3</v>
      </c>
      <c r="I133" s="10">
        <f t="shared" si="17"/>
        <v>7.7265767205094624</v>
      </c>
    </row>
    <row r="134" spans="1:9">
      <c r="A134" t="s">
        <v>536</v>
      </c>
      <c r="B134" t="s">
        <v>431</v>
      </c>
      <c r="C134">
        <f>VLOOKUP(B134,Proteome!B:I,8,FALSE)</f>
        <v>5.8843569017312199E-4</v>
      </c>
      <c r="D134">
        <f t="shared" si="12"/>
        <v>0.5</v>
      </c>
      <c r="E134" s="10">
        <f t="shared" si="13"/>
        <v>2.94217845086561E-4</v>
      </c>
      <c r="F134">
        <f t="shared" si="14"/>
        <v>0.36158134349158805</v>
      </c>
      <c r="G134" s="10">
        <f t="shared" si="15"/>
        <v>8.1369752721604616E-4</v>
      </c>
      <c r="H134">
        <f t="shared" si="16"/>
        <v>8.3511565506616311E-3</v>
      </c>
      <c r="I134" s="10">
        <f t="shared" si="17"/>
        <v>7.7265767205094624</v>
      </c>
    </row>
    <row r="135" spans="1:9">
      <c r="A135" t="s">
        <v>536</v>
      </c>
      <c r="B135" t="s">
        <v>432</v>
      </c>
      <c r="C135">
        <f>VLOOKUP(B135,Proteome!B:I,8,FALSE)</f>
        <v>5.8843569017312199E-4</v>
      </c>
      <c r="D135">
        <f t="shared" si="12"/>
        <v>0.5</v>
      </c>
      <c r="E135" s="10">
        <f t="shared" si="13"/>
        <v>2.94217845086561E-4</v>
      </c>
      <c r="F135">
        <f t="shared" si="14"/>
        <v>0.36158134349158805</v>
      </c>
      <c r="G135" s="10">
        <f t="shared" si="15"/>
        <v>8.1369752721604616E-4</v>
      </c>
      <c r="H135">
        <f t="shared" si="16"/>
        <v>8.3511565506616311E-3</v>
      </c>
      <c r="I135" s="10">
        <f t="shared" si="17"/>
        <v>7.7265767205094624</v>
      </c>
    </row>
    <row r="136" spans="1:9">
      <c r="A136" t="s">
        <v>536</v>
      </c>
      <c r="B136" t="s">
        <v>433</v>
      </c>
      <c r="C136">
        <f>VLOOKUP(B136,Proteome!B:I,8,FALSE)</f>
        <v>3.0970299482795891E-4</v>
      </c>
      <c r="D136">
        <f t="shared" si="12"/>
        <v>0.5</v>
      </c>
      <c r="E136" s="10">
        <f t="shared" si="13"/>
        <v>1.5485149741397946E-4</v>
      </c>
      <c r="F136">
        <f t="shared" si="14"/>
        <v>0.36158134349158805</v>
      </c>
      <c r="G136" s="10">
        <f t="shared" si="15"/>
        <v>4.2826185642949794E-4</v>
      </c>
      <c r="H136">
        <f t="shared" si="16"/>
        <v>4.7919157830233301E-3</v>
      </c>
      <c r="I136" s="10">
        <f t="shared" si="17"/>
        <v>7.7265767205094624</v>
      </c>
    </row>
    <row r="137" spans="1:9">
      <c r="A137" t="s">
        <v>542</v>
      </c>
      <c r="B137" t="s">
        <v>504</v>
      </c>
      <c r="C137">
        <f>VLOOKUP(B137,Proteome!B:I,8,FALSE)</f>
        <v>5.8843569017312199E-4</v>
      </c>
      <c r="D137">
        <f t="shared" si="12"/>
        <v>0.5</v>
      </c>
      <c r="E137" s="10">
        <f t="shared" si="13"/>
        <v>2.94217845086561E-4</v>
      </c>
      <c r="F137">
        <f t="shared" si="14"/>
        <v>0.36158134349158805</v>
      </c>
      <c r="G137" s="10">
        <f t="shared" si="15"/>
        <v>8.1369752721604616E-4</v>
      </c>
      <c r="H137">
        <f t="shared" si="16"/>
        <v>8.3511565506616311E-3</v>
      </c>
      <c r="I137" s="10">
        <f t="shared" si="17"/>
        <v>7.7265767205094624</v>
      </c>
    </row>
    <row r="138" spans="1:9">
      <c r="A138" t="s">
        <v>536</v>
      </c>
      <c r="B138" t="s">
        <v>435</v>
      </c>
      <c r="C138">
        <f>VLOOKUP(B138,Proteome!B:I,8,FALSE)</f>
        <v>5.8843569017312199E-4</v>
      </c>
      <c r="D138">
        <f t="shared" si="12"/>
        <v>0.5</v>
      </c>
      <c r="E138" s="10">
        <f t="shared" si="13"/>
        <v>2.94217845086561E-4</v>
      </c>
      <c r="F138">
        <f t="shared" si="14"/>
        <v>0.36158134349158805</v>
      </c>
      <c r="G138" s="10">
        <f t="shared" si="15"/>
        <v>8.1369752721604616E-4</v>
      </c>
      <c r="H138">
        <f t="shared" si="16"/>
        <v>8.3511565506616311E-3</v>
      </c>
      <c r="I138" s="10">
        <f t="shared" si="17"/>
        <v>7.7265767205094624</v>
      </c>
    </row>
    <row r="139" spans="1:9">
      <c r="A139" t="s">
        <v>536</v>
      </c>
      <c r="B139" t="s">
        <v>437</v>
      </c>
      <c r="C139">
        <f>VLOOKUP(B139,Proteome!B:I,8,FALSE)</f>
        <v>3.0970299482795891E-4</v>
      </c>
      <c r="D139">
        <f t="shared" si="12"/>
        <v>0.5</v>
      </c>
      <c r="E139" s="10">
        <f t="shared" si="13"/>
        <v>1.5485149741397946E-4</v>
      </c>
      <c r="F139">
        <f t="shared" si="14"/>
        <v>0.36158134349158805</v>
      </c>
      <c r="G139" s="10">
        <f t="shared" si="15"/>
        <v>4.2826185642949794E-4</v>
      </c>
      <c r="H139">
        <f t="shared" si="16"/>
        <v>4.7919157830233301E-3</v>
      </c>
      <c r="I139" s="10">
        <f t="shared" si="17"/>
        <v>7.7265767205094624</v>
      </c>
    </row>
    <row r="140" spans="1:9">
      <c r="A140" t="s">
        <v>536</v>
      </c>
      <c r="B140" t="s">
        <v>438</v>
      </c>
      <c r="C140">
        <f>VLOOKUP(B140,Proteome!B:I,8,FALSE)</f>
        <v>5.8843569017312199E-4</v>
      </c>
      <c r="D140">
        <f t="shared" si="12"/>
        <v>0.5</v>
      </c>
      <c r="E140" s="10">
        <f t="shared" si="13"/>
        <v>2.94217845086561E-4</v>
      </c>
      <c r="F140">
        <f t="shared" si="14"/>
        <v>0.36158134349158805</v>
      </c>
      <c r="G140" s="10">
        <f t="shared" si="15"/>
        <v>8.1369752721604616E-4</v>
      </c>
      <c r="H140">
        <f t="shared" si="16"/>
        <v>8.3511565506616311E-3</v>
      </c>
      <c r="I140" s="10">
        <f t="shared" si="17"/>
        <v>7.7265767205094624</v>
      </c>
    </row>
    <row r="141" spans="1:9">
      <c r="A141" t="s">
        <v>536</v>
      </c>
      <c r="B141" t="s">
        <v>439</v>
      </c>
      <c r="C141">
        <f>VLOOKUP(B141,Proteome!B:I,8,FALSE)</f>
        <v>3.0970299482795891E-4</v>
      </c>
      <c r="D141">
        <f t="shared" si="12"/>
        <v>0.5</v>
      </c>
      <c r="E141" s="10">
        <f t="shared" si="13"/>
        <v>1.5485149741397946E-4</v>
      </c>
      <c r="F141">
        <f t="shared" si="14"/>
        <v>0.36158134349158805</v>
      </c>
      <c r="G141" s="10">
        <f t="shared" si="15"/>
        <v>4.2826185642949794E-4</v>
      </c>
      <c r="H141">
        <f t="shared" si="16"/>
        <v>4.7919157830233301E-3</v>
      </c>
      <c r="I141" s="10">
        <f t="shared" si="17"/>
        <v>7.7265767205094624</v>
      </c>
    </row>
    <row r="142" spans="1:9">
      <c r="A142" t="s">
        <v>542</v>
      </c>
      <c r="B142" t="s">
        <v>512</v>
      </c>
      <c r="C142">
        <f>VLOOKUP(B142,Proteome!B:I,8,FALSE)</f>
        <v>5.8843569017312199E-4</v>
      </c>
      <c r="D142">
        <f t="shared" si="12"/>
        <v>0.5</v>
      </c>
      <c r="E142" s="10">
        <f t="shared" si="13"/>
        <v>2.94217845086561E-4</v>
      </c>
      <c r="F142">
        <f t="shared" si="14"/>
        <v>0.36158134349158805</v>
      </c>
      <c r="G142" s="10">
        <f t="shared" si="15"/>
        <v>8.1369752721604616E-4</v>
      </c>
      <c r="H142">
        <f t="shared" si="16"/>
        <v>8.3511565506616311E-3</v>
      </c>
      <c r="I142" s="10">
        <f t="shared" si="17"/>
        <v>7.7265767205094624</v>
      </c>
    </row>
    <row r="143" spans="1:9">
      <c r="A143" t="s">
        <v>542</v>
      </c>
      <c r="B143" t="s">
        <v>507</v>
      </c>
      <c r="C143">
        <f>VLOOKUP(B143,Proteome!B:I,8,FALSE)</f>
        <v>5.8843569017312199E-4</v>
      </c>
      <c r="D143">
        <f t="shared" si="12"/>
        <v>0.5</v>
      </c>
      <c r="E143" s="10">
        <f t="shared" si="13"/>
        <v>2.94217845086561E-4</v>
      </c>
      <c r="F143">
        <f t="shared" si="14"/>
        <v>0.36158134349158805</v>
      </c>
      <c r="G143" s="10">
        <f t="shared" si="15"/>
        <v>8.1369752721604616E-4</v>
      </c>
      <c r="H143">
        <f t="shared" si="16"/>
        <v>8.3511565506616311E-3</v>
      </c>
      <c r="I143" s="10">
        <f t="shared" si="17"/>
        <v>7.7265767205094624</v>
      </c>
    </row>
    <row r="144" spans="1:9">
      <c r="A144" t="s">
        <v>542</v>
      </c>
      <c r="B144" t="s">
        <v>509</v>
      </c>
      <c r="C144">
        <f>VLOOKUP(B144,Proteome!B:I,8,FALSE)</f>
        <v>5.8843569017312199E-4</v>
      </c>
      <c r="D144">
        <f t="shared" si="12"/>
        <v>0.5</v>
      </c>
      <c r="E144" s="10">
        <f t="shared" si="13"/>
        <v>2.94217845086561E-4</v>
      </c>
      <c r="F144">
        <f t="shared" si="14"/>
        <v>0.36158134349158805</v>
      </c>
      <c r="G144" s="10">
        <f t="shared" si="15"/>
        <v>8.1369752721604616E-4</v>
      </c>
      <c r="H144">
        <f t="shared" si="16"/>
        <v>8.3511565506616311E-3</v>
      </c>
      <c r="I144" s="10">
        <f t="shared" si="17"/>
        <v>7.7265767205094624</v>
      </c>
    </row>
    <row r="145" spans="1:9">
      <c r="A145" t="s">
        <v>536</v>
      </c>
      <c r="B145" t="s">
        <v>444</v>
      </c>
      <c r="C145">
        <f>VLOOKUP(B145,Proteome!B:I,8,FALSE)</f>
        <v>3.0970299482795891E-4</v>
      </c>
      <c r="D145">
        <f t="shared" si="12"/>
        <v>0.5</v>
      </c>
      <c r="E145" s="10">
        <f t="shared" si="13"/>
        <v>1.5485149741397946E-4</v>
      </c>
      <c r="F145">
        <f t="shared" si="14"/>
        <v>0.36158134349158805</v>
      </c>
      <c r="G145" s="10">
        <f t="shared" si="15"/>
        <v>4.2826185642949794E-4</v>
      </c>
      <c r="H145">
        <f t="shared" si="16"/>
        <v>4.7919157830233301E-3</v>
      </c>
      <c r="I145" s="10">
        <f t="shared" si="17"/>
        <v>7.7265767205094624</v>
      </c>
    </row>
    <row r="146" spans="1:9">
      <c r="A146" t="s">
        <v>542</v>
      </c>
      <c r="B146" t="s">
        <v>514</v>
      </c>
      <c r="C146">
        <f>VLOOKUP(B146,Proteome!B:I,8,FALSE)</f>
        <v>3.0970299482795891E-4</v>
      </c>
      <c r="D146">
        <f t="shared" si="12"/>
        <v>0.5</v>
      </c>
      <c r="E146" s="10">
        <f t="shared" si="13"/>
        <v>1.5485149741397946E-4</v>
      </c>
      <c r="F146">
        <f t="shared" si="14"/>
        <v>0.36158134349158805</v>
      </c>
      <c r="G146" s="10">
        <f t="shared" si="15"/>
        <v>4.2826185642949794E-4</v>
      </c>
      <c r="H146">
        <f t="shared" si="16"/>
        <v>4.7919157830233301E-3</v>
      </c>
      <c r="I146" s="10">
        <f t="shared" si="17"/>
        <v>7.7265767205094624</v>
      </c>
    </row>
    <row r="147" spans="1:9">
      <c r="A147" t="s">
        <v>536</v>
      </c>
      <c r="B147" t="s">
        <v>445</v>
      </c>
      <c r="C147">
        <f>VLOOKUP(B147,Proteome!B:I,8,FALSE)</f>
        <v>5.8843569017312199E-4</v>
      </c>
      <c r="D147">
        <f t="shared" si="12"/>
        <v>0.5</v>
      </c>
      <c r="E147" s="10">
        <f t="shared" si="13"/>
        <v>2.94217845086561E-4</v>
      </c>
      <c r="F147">
        <f t="shared" si="14"/>
        <v>0.36158134349158805</v>
      </c>
      <c r="G147" s="10">
        <f t="shared" si="15"/>
        <v>8.1369752721604616E-4</v>
      </c>
      <c r="H147">
        <f t="shared" si="16"/>
        <v>8.3511565506616311E-3</v>
      </c>
      <c r="I147" s="10">
        <f t="shared" si="17"/>
        <v>7.7265767205094624</v>
      </c>
    </row>
    <row r="148" spans="1:9">
      <c r="A148" t="s">
        <v>536</v>
      </c>
      <c r="B148" t="s">
        <v>447</v>
      </c>
      <c r="C148">
        <f>VLOOKUP(B148,Proteome!B:I,8,FALSE)</f>
        <v>3.0970299482795891E-4</v>
      </c>
      <c r="D148">
        <f t="shared" si="12"/>
        <v>0.5</v>
      </c>
      <c r="E148" s="10">
        <f t="shared" si="13"/>
        <v>1.5485149741397946E-4</v>
      </c>
      <c r="F148">
        <f t="shared" si="14"/>
        <v>0.36158134349158805</v>
      </c>
      <c r="G148" s="10">
        <f t="shared" si="15"/>
        <v>4.2826185642949794E-4</v>
      </c>
      <c r="H148">
        <f t="shared" si="16"/>
        <v>4.7919157830233301E-3</v>
      </c>
      <c r="I148" s="10">
        <f t="shared" si="17"/>
        <v>7.7265767205094624</v>
      </c>
    </row>
    <row r="149" spans="1:9">
      <c r="A149" t="s">
        <v>536</v>
      </c>
      <c r="B149" t="s">
        <v>451</v>
      </c>
      <c r="C149">
        <f>VLOOKUP(B149,Proteome!B:I,8,FALSE)</f>
        <v>5.8843569017312199E-4</v>
      </c>
      <c r="D149">
        <f t="shared" si="12"/>
        <v>0.5</v>
      </c>
      <c r="E149" s="10">
        <f t="shared" si="13"/>
        <v>2.94217845086561E-4</v>
      </c>
      <c r="F149">
        <f t="shared" si="14"/>
        <v>0.36158134349158805</v>
      </c>
      <c r="G149" s="10">
        <f t="shared" si="15"/>
        <v>8.1369752721604616E-4</v>
      </c>
      <c r="H149">
        <f t="shared" si="16"/>
        <v>8.3511565506616311E-3</v>
      </c>
      <c r="I149" s="10">
        <f t="shared" si="17"/>
        <v>7.7265767205094624</v>
      </c>
    </row>
    <row r="150" spans="1:9">
      <c r="A150" t="s">
        <v>536</v>
      </c>
      <c r="B150" t="s">
        <v>453</v>
      </c>
      <c r="C150">
        <f>VLOOKUP(B150,Proteome!B:I,8,FALSE)</f>
        <v>5.8843569017312199E-4</v>
      </c>
      <c r="D150">
        <f t="shared" si="12"/>
        <v>0.5</v>
      </c>
      <c r="E150" s="10">
        <f t="shared" si="13"/>
        <v>2.94217845086561E-4</v>
      </c>
      <c r="F150">
        <f t="shared" si="14"/>
        <v>0.36158134349158805</v>
      </c>
      <c r="G150" s="10">
        <f t="shared" si="15"/>
        <v>8.1369752721604616E-4</v>
      </c>
      <c r="H150">
        <f t="shared" si="16"/>
        <v>8.3511565506616311E-3</v>
      </c>
      <c r="I150" s="10">
        <f t="shared" si="17"/>
        <v>7.7265767205094624</v>
      </c>
    </row>
    <row r="151" spans="1:9">
      <c r="A151" t="s">
        <v>536</v>
      </c>
      <c r="B151" t="s">
        <v>454</v>
      </c>
      <c r="C151">
        <f>VLOOKUP(B151,Proteome!B:I,8,FALSE)</f>
        <v>3.0970299482795891E-4</v>
      </c>
      <c r="D151">
        <f t="shared" si="12"/>
        <v>0.5</v>
      </c>
      <c r="E151" s="10">
        <f t="shared" si="13"/>
        <v>1.5485149741397946E-4</v>
      </c>
      <c r="F151">
        <f t="shared" si="14"/>
        <v>0.36158134349158805</v>
      </c>
      <c r="G151" s="10">
        <f t="shared" si="15"/>
        <v>4.2826185642949794E-4</v>
      </c>
      <c r="H151">
        <f t="shared" si="16"/>
        <v>4.7919157830233301E-3</v>
      </c>
      <c r="I151" s="10">
        <f t="shared" si="17"/>
        <v>7.7265767205094624</v>
      </c>
    </row>
    <row r="152" spans="1:9">
      <c r="A152" t="s">
        <v>542</v>
      </c>
      <c r="B152" t="s">
        <v>517</v>
      </c>
      <c r="C152">
        <f>VLOOKUP(B152,Proteome!B:I,8,FALSE)</f>
        <v>5.8843569017312199E-4</v>
      </c>
      <c r="D152">
        <f t="shared" si="12"/>
        <v>0.5</v>
      </c>
      <c r="E152" s="10">
        <f t="shared" si="13"/>
        <v>2.94217845086561E-4</v>
      </c>
      <c r="F152">
        <f t="shared" si="14"/>
        <v>0.36158134349158805</v>
      </c>
      <c r="G152" s="10">
        <f t="shared" si="15"/>
        <v>8.1369752721604616E-4</v>
      </c>
      <c r="H152">
        <f t="shared" si="16"/>
        <v>8.3511565506616311E-3</v>
      </c>
      <c r="I152" s="10">
        <f t="shared" si="17"/>
        <v>7.7265767205094624</v>
      </c>
    </row>
    <row r="153" spans="1:9">
      <c r="A153" t="s">
        <v>542</v>
      </c>
      <c r="B153" t="s">
        <v>518</v>
      </c>
      <c r="C153">
        <f>VLOOKUP(B153,Proteome!B:I,8,FALSE)</f>
        <v>3.0970299482795891E-4</v>
      </c>
      <c r="D153">
        <f t="shared" si="12"/>
        <v>0.5</v>
      </c>
      <c r="E153" s="10">
        <f t="shared" si="13"/>
        <v>1.5485149741397946E-4</v>
      </c>
      <c r="F153">
        <f t="shared" si="14"/>
        <v>0.36158134349158805</v>
      </c>
      <c r="G153" s="10">
        <f t="shared" si="15"/>
        <v>4.2826185642949794E-4</v>
      </c>
      <c r="H153">
        <f t="shared" si="16"/>
        <v>4.7919157830233301E-3</v>
      </c>
      <c r="I153" s="10">
        <f t="shared" si="17"/>
        <v>7.7265767205094624</v>
      </c>
    </row>
    <row r="154" spans="1:9">
      <c r="A154" t="s">
        <v>536</v>
      </c>
      <c r="B154" t="s">
        <v>456</v>
      </c>
      <c r="C154">
        <f>VLOOKUP(B154,Proteome!B:I,8,FALSE)</f>
        <v>5.8843569017312199E-4</v>
      </c>
      <c r="D154">
        <f t="shared" si="12"/>
        <v>0.5</v>
      </c>
      <c r="E154" s="10">
        <f t="shared" si="13"/>
        <v>2.94217845086561E-4</v>
      </c>
      <c r="F154">
        <f t="shared" si="14"/>
        <v>0.36158134349158805</v>
      </c>
      <c r="G154" s="10">
        <f t="shared" si="15"/>
        <v>8.1369752721604616E-4</v>
      </c>
      <c r="H154">
        <f t="shared" si="16"/>
        <v>8.3511565506616311E-3</v>
      </c>
      <c r="I154" s="10">
        <f t="shared" si="17"/>
        <v>7.7265767205094624</v>
      </c>
    </row>
    <row r="155" spans="1:9">
      <c r="A155" t="s">
        <v>536</v>
      </c>
      <c r="B155" t="s">
        <v>457</v>
      </c>
      <c r="C155">
        <f>VLOOKUP(B155,Proteome!B:I,8,FALSE)</f>
        <v>5.8843569017312199E-4</v>
      </c>
      <c r="D155">
        <f t="shared" si="12"/>
        <v>0.5</v>
      </c>
      <c r="E155" s="10">
        <f t="shared" si="13"/>
        <v>2.94217845086561E-4</v>
      </c>
      <c r="F155">
        <f t="shared" si="14"/>
        <v>0.36158134349158805</v>
      </c>
      <c r="G155" s="10">
        <f t="shared" si="15"/>
        <v>8.1369752721604616E-4</v>
      </c>
      <c r="H155">
        <f t="shared" si="16"/>
        <v>8.3511565506616311E-3</v>
      </c>
      <c r="I155" s="10">
        <f t="shared" si="17"/>
        <v>7.7265767205094624</v>
      </c>
    </row>
    <row r="156" spans="1:9">
      <c r="A156" t="s">
        <v>536</v>
      </c>
      <c r="B156" t="s">
        <v>458</v>
      </c>
      <c r="C156">
        <f>VLOOKUP(B156,Proteome!B:I,8,FALSE)</f>
        <v>3.0970299482795891E-4</v>
      </c>
      <c r="D156">
        <f t="shared" si="12"/>
        <v>0.5</v>
      </c>
      <c r="E156" s="10">
        <f t="shared" si="13"/>
        <v>1.5485149741397946E-4</v>
      </c>
      <c r="F156">
        <f t="shared" si="14"/>
        <v>0.36158134349158805</v>
      </c>
      <c r="G156" s="10">
        <f t="shared" si="15"/>
        <v>4.2826185642949794E-4</v>
      </c>
      <c r="H156">
        <f t="shared" si="16"/>
        <v>4.7919157830233301E-3</v>
      </c>
      <c r="I156" s="10">
        <f t="shared" si="17"/>
        <v>7.7265767205094624</v>
      </c>
    </row>
    <row r="157" spans="1:9">
      <c r="A157" t="s">
        <v>536</v>
      </c>
      <c r="B157" t="s">
        <v>459</v>
      </c>
      <c r="C157">
        <f>VLOOKUP(B157,Proteome!B:I,8,FALSE)</f>
        <v>3.0970299482795891E-4</v>
      </c>
      <c r="D157">
        <f t="shared" si="12"/>
        <v>0.5</v>
      </c>
      <c r="E157" s="10">
        <f t="shared" si="13"/>
        <v>1.5485149741397946E-4</v>
      </c>
      <c r="F157">
        <f t="shared" si="14"/>
        <v>0.36158134349158805</v>
      </c>
      <c r="G157" s="10">
        <f t="shared" si="15"/>
        <v>4.2826185642949794E-4</v>
      </c>
      <c r="H157">
        <f t="shared" si="16"/>
        <v>4.7919157830233301E-3</v>
      </c>
      <c r="I157" s="10">
        <f t="shared" si="17"/>
        <v>7.7265767205094624</v>
      </c>
    </row>
    <row r="158" spans="1:9">
      <c r="A158" t="s">
        <v>536</v>
      </c>
      <c r="B158" t="s">
        <v>460</v>
      </c>
      <c r="C158">
        <f>VLOOKUP(B158,Proteome!B:I,8,FALSE)</f>
        <v>3.0970299482795891E-4</v>
      </c>
      <c r="D158">
        <f t="shared" si="12"/>
        <v>0.5</v>
      </c>
      <c r="E158" s="10">
        <f t="shared" si="13"/>
        <v>1.5485149741397946E-4</v>
      </c>
      <c r="F158">
        <f t="shared" si="14"/>
        <v>0.36158134349158805</v>
      </c>
      <c r="G158" s="10">
        <f t="shared" si="15"/>
        <v>4.2826185642949794E-4</v>
      </c>
      <c r="H158">
        <f t="shared" si="16"/>
        <v>4.7919157830233301E-3</v>
      </c>
      <c r="I158" s="10">
        <f t="shared" si="17"/>
        <v>7.7265767205094624</v>
      </c>
    </row>
    <row r="159" spans="1:9">
      <c r="A159" t="s">
        <v>536</v>
      </c>
      <c r="B159" t="s">
        <v>462</v>
      </c>
      <c r="C159">
        <f>VLOOKUP(B159,Proteome!B:I,8,FALSE)</f>
        <v>5.8843569017312199E-4</v>
      </c>
      <c r="D159">
        <f t="shared" si="12"/>
        <v>0.5</v>
      </c>
      <c r="E159" s="10">
        <f t="shared" si="13"/>
        <v>2.94217845086561E-4</v>
      </c>
      <c r="F159">
        <f t="shared" si="14"/>
        <v>0.36158134349158805</v>
      </c>
      <c r="G159" s="10">
        <f t="shared" si="15"/>
        <v>8.1369752721604616E-4</v>
      </c>
      <c r="H159">
        <f t="shared" si="16"/>
        <v>8.3511565506616311E-3</v>
      </c>
      <c r="I159" s="10">
        <f t="shared" si="17"/>
        <v>7.7265767205094624</v>
      </c>
    </row>
    <row r="160" spans="1:9">
      <c r="A160" t="s">
        <v>536</v>
      </c>
      <c r="B160" t="s">
        <v>463</v>
      </c>
      <c r="C160">
        <f>VLOOKUP(B160,Proteome!B:I,8,FALSE)</f>
        <v>5.8843569017312199E-4</v>
      </c>
      <c r="D160">
        <f t="shared" si="12"/>
        <v>0.5</v>
      </c>
      <c r="E160" s="10">
        <f t="shared" si="13"/>
        <v>2.94217845086561E-4</v>
      </c>
      <c r="F160">
        <f t="shared" si="14"/>
        <v>0.36158134349158805</v>
      </c>
      <c r="G160" s="10">
        <f t="shared" si="15"/>
        <v>8.1369752721604616E-4</v>
      </c>
      <c r="H160">
        <f t="shared" si="16"/>
        <v>8.3511565506616311E-3</v>
      </c>
      <c r="I160" s="10">
        <f t="shared" si="17"/>
        <v>7.7265767205094624</v>
      </c>
    </row>
    <row r="161" spans="1:9">
      <c r="A161" t="s">
        <v>536</v>
      </c>
      <c r="B161" t="s">
        <v>464</v>
      </c>
      <c r="C161">
        <f>VLOOKUP(B161,Proteome!B:I,8,FALSE)</f>
        <v>3.0970299482795891E-4</v>
      </c>
      <c r="D161">
        <f t="shared" si="12"/>
        <v>0.5</v>
      </c>
      <c r="E161" s="10">
        <f t="shared" si="13"/>
        <v>1.5485149741397946E-4</v>
      </c>
      <c r="F161">
        <f t="shared" si="14"/>
        <v>0.36158134349158805</v>
      </c>
      <c r="G161" s="10">
        <f t="shared" si="15"/>
        <v>4.2826185642949794E-4</v>
      </c>
      <c r="H161">
        <f t="shared" si="16"/>
        <v>4.7919157830233301E-3</v>
      </c>
      <c r="I161" s="10">
        <f t="shared" si="17"/>
        <v>7.7265767205094624</v>
      </c>
    </row>
    <row r="162" spans="1:9">
      <c r="A162" t="s">
        <v>536</v>
      </c>
      <c r="B162" t="s">
        <v>465</v>
      </c>
      <c r="C162">
        <f>VLOOKUP(B162,Proteome!B:I,8,FALSE)</f>
        <v>3.0970299482795891E-4</v>
      </c>
      <c r="D162">
        <f t="shared" si="12"/>
        <v>0.5</v>
      </c>
      <c r="E162" s="10">
        <f t="shared" si="13"/>
        <v>1.5485149741397946E-4</v>
      </c>
      <c r="F162">
        <f t="shared" si="14"/>
        <v>0.36158134349158805</v>
      </c>
      <c r="G162" s="10">
        <f t="shared" si="15"/>
        <v>4.2826185642949794E-4</v>
      </c>
      <c r="H162">
        <f t="shared" si="16"/>
        <v>4.7919157830233301E-3</v>
      </c>
      <c r="I162" s="10">
        <f t="shared" si="17"/>
        <v>7.7265767205094624</v>
      </c>
    </row>
    <row r="163" spans="1:9">
      <c r="A163" t="s">
        <v>536</v>
      </c>
      <c r="B163" t="s">
        <v>466</v>
      </c>
      <c r="C163">
        <f>VLOOKUP(B163,Proteome!B:I,8,FALSE)</f>
        <v>3.0970299482795891E-4</v>
      </c>
      <c r="D163">
        <f t="shared" si="12"/>
        <v>0.5</v>
      </c>
      <c r="E163" s="10">
        <f t="shared" si="13"/>
        <v>1.5485149741397946E-4</v>
      </c>
      <c r="F163">
        <f t="shared" si="14"/>
        <v>0.36158134349158805</v>
      </c>
      <c r="G163" s="10">
        <f t="shared" si="15"/>
        <v>4.2826185642949794E-4</v>
      </c>
      <c r="H163">
        <f t="shared" si="16"/>
        <v>4.7919157830233301E-3</v>
      </c>
      <c r="I163" s="10">
        <f t="shared" si="17"/>
        <v>7.7265767205094624</v>
      </c>
    </row>
    <row r="164" spans="1:9">
      <c r="A164" t="s">
        <v>536</v>
      </c>
      <c r="B164" t="s">
        <v>467</v>
      </c>
      <c r="C164">
        <f>VLOOKUP(B164,Proteome!B:I,8,FALSE)</f>
        <v>3.0970299482795891E-4</v>
      </c>
      <c r="D164">
        <f t="shared" si="12"/>
        <v>0.5</v>
      </c>
      <c r="E164" s="10">
        <f t="shared" si="13"/>
        <v>1.5485149741397946E-4</v>
      </c>
      <c r="F164">
        <f t="shared" si="14"/>
        <v>0.36158134349158805</v>
      </c>
      <c r="G164" s="10">
        <f t="shared" si="15"/>
        <v>4.2826185642949794E-4</v>
      </c>
      <c r="H164">
        <f t="shared" si="16"/>
        <v>4.7919157830233301E-3</v>
      </c>
      <c r="I164" s="10">
        <f t="shared" si="17"/>
        <v>7.7265767205094624</v>
      </c>
    </row>
    <row r="165" spans="1:9">
      <c r="A165" t="s">
        <v>542</v>
      </c>
      <c r="B165" t="s">
        <v>516</v>
      </c>
      <c r="C165">
        <f>VLOOKUP(B165,Proteome!B:I,8,FALSE)</f>
        <v>5.8843569017312199E-4</v>
      </c>
      <c r="D165">
        <f t="shared" si="12"/>
        <v>0.5</v>
      </c>
      <c r="E165" s="10">
        <f t="shared" si="13"/>
        <v>2.94217845086561E-4</v>
      </c>
      <c r="F165">
        <f t="shared" si="14"/>
        <v>0.36158134349158805</v>
      </c>
      <c r="G165" s="10">
        <f t="shared" si="15"/>
        <v>8.1369752721604616E-4</v>
      </c>
      <c r="H165">
        <f t="shared" si="16"/>
        <v>8.3511565506616311E-3</v>
      </c>
      <c r="I165" s="10">
        <f t="shared" si="17"/>
        <v>7.7265767205094624</v>
      </c>
    </row>
    <row r="166" spans="1:9">
      <c r="A166" t="s">
        <v>536</v>
      </c>
      <c r="B166" t="s">
        <v>468</v>
      </c>
      <c r="C166">
        <f>VLOOKUP(B166,Proteome!B:I,8,FALSE)</f>
        <v>5.8843569017312199E-4</v>
      </c>
      <c r="D166">
        <f t="shared" si="12"/>
        <v>0.5</v>
      </c>
      <c r="E166" s="10">
        <f t="shared" si="13"/>
        <v>2.94217845086561E-4</v>
      </c>
      <c r="F166">
        <f t="shared" si="14"/>
        <v>0.36158134349158805</v>
      </c>
      <c r="G166" s="10">
        <f t="shared" si="15"/>
        <v>8.1369752721604616E-4</v>
      </c>
      <c r="H166">
        <f t="shared" si="16"/>
        <v>8.3511565506616311E-3</v>
      </c>
      <c r="I166" s="10">
        <f t="shared" si="17"/>
        <v>7.7265767205094624</v>
      </c>
    </row>
    <row r="167" spans="1:9">
      <c r="A167" t="s">
        <v>536</v>
      </c>
      <c r="B167" t="s">
        <v>469</v>
      </c>
      <c r="C167">
        <f>VLOOKUP(B167,Proteome!B:I,8,FALSE)</f>
        <v>3.0970299482795891E-4</v>
      </c>
      <c r="D167">
        <f t="shared" si="12"/>
        <v>0.5</v>
      </c>
      <c r="E167" s="10">
        <f t="shared" si="13"/>
        <v>1.5485149741397946E-4</v>
      </c>
      <c r="F167">
        <f t="shared" si="14"/>
        <v>0.36158134349158805</v>
      </c>
      <c r="G167" s="10">
        <f t="shared" si="15"/>
        <v>4.2826185642949794E-4</v>
      </c>
      <c r="H167">
        <f t="shared" si="16"/>
        <v>4.7919157830233301E-3</v>
      </c>
      <c r="I167" s="10">
        <f t="shared" si="17"/>
        <v>7.7265767205094624</v>
      </c>
    </row>
    <row r="168" spans="1:9">
      <c r="A168" t="s">
        <v>536</v>
      </c>
      <c r="B168" t="s">
        <v>470</v>
      </c>
      <c r="C168">
        <f>VLOOKUP(B168,Proteome!B:I,8,FALSE)</f>
        <v>3.0970299482795891E-4</v>
      </c>
      <c r="D168">
        <f t="shared" si="12"/>
        <v>0.5</v>
      </c>
      <c r="E168" s="10">
        <f t="shared" si="13"/>
        <v>1.5485149741397946E-4</v>
      </c>
      <c r="F168">
        <f t="shared" si="14"/>
        <v>0.36158134349158805</v>
      </c>
      <c r="G168" s="10">
        <f t="shared" si="15"/>
        <v>4.2826185642949794E-4</v>
      </c>
      <c r="H168">
        <f t="shared" si="16"/>
        <v>4.7919157830233301E-3</v>
      </c>
      <c r="I168" s="10">
        <f t="shared" si="17"/>
        <v>7.7265767205094624</v>
      </c>
    </row>
    <row r="169" spans="1:9">
      <c r="A169" t="s">
        <v>536</v>
      </c>
      <c r="B169" t="s">
        <v>471</v>
      </c>
      <c r="C169">
        <f>VLOOKUP(B169,Proteome!B:I,8,FALSE)</f>
        <v>3.0970299482795891E-4</v>
      </c>
      <c r="D169">
        <f t="shared" si="12"/>
        <v>0.5</v>
      </c>
      <c r="E169" s="10">
        <f t="shared" si="13"/>
        <v>1.5485149741397946E-4</v>
      </c>
      <c r="F169">
        <f t="shared" si="14"/>
        <v>0.36158134349158805</v>
      </c>
      <c r="G169" s="10">
        <f t="shared" si="15"/>
        <v>4.2826185642949794E-4</v>
      </c>
      <c r="H169">
        <f t="shared" si="16"/>
        <v>4.7919157830233301E-3</v>
      </c>
      <c r="I169" s="10">
        <f t="shared" si="17"/>
        <v>7.7265767205094624</v>
      </c>
    </row>
    <row r="170" spans="1:9">
      <c r="A170" t="s">
        <v>536</v>
      </c>
      <c r="B170" t="s">
        <v>472</v>
      </c>
      <c r="C170">
        <f>VLOOKUP(B170,Proteome!B:I,8,FALSE)</f>
        <v>3.0970299482795891E-4</v>
      </c>
      <c r="D170">
        <f t="shared" si="12"/>
        <v>0.5</v>
      </c>
      <c r="E170" s="10">
        <f t="shared" si="13"/>
        <v>1.5485149741397946E-4</v>
      </c>
      <c r="F170">
        <f t="shared" si="14"/>
        <v>0.36158134349158805</v>
      </c>
      <c r="G170" s="10">
        <f t="shared" si="15"/>
        <v>4.2826185642949794E-4</v>
      </c>
      <c r="H170">
        <f t="shared" si="16"/>
        <v>4.7919157830233301E-3</v>
      </c>
      <c r="I170" s="10">
        <f t="shared" si="17"/>
        <v>7.7265767205094624</v>
      </c>
    </row>
    <row r="171" spans="1:9">
      <c r="A171" t="s">
        <v>536</v>
      </c>
      <c r="B171" t="s">
        <v>473</v>
      </c>
      <c r="C171">
        <f>VLOOKUP(B171,Proteome!B:I,8,FALSE)</f>
        <v>3.0970299482795891E-4</v>
      </c>
      <c r="D171">
        <f t="shared" si="12"/>
        <v>0.5</v>
      </c>
      <c r="E171" s="10">
        <f t="shared" si="13"/>
        <v>1.5485149741397946E-4</v>
      </c>
      <c r="F171">
        <f t="shared" si="14"/>
        <v>0.36158134349158805</v>
      </c>
      <c r="G171" s="10">
        <f t="shared" si="15"/>
        <v>4.2826185642949794E-4</v>
      </c>
      <c r="H171">
        <f t="shared" si="16"/>
        <v>4.7919157830233301E-3</v>
      </c>
      <c r="I171" s="10">
        <f t="shared" si="17"/>
        <v>7.7265767205094624</v>
      </c>
    </row>
    <row r="172" spans="1:9">
      <c r="A172" t="s">
        <v>536</v>
      </c>
      <c r="B172" t="s">
        <v>474</v>
      </c>
      <c r="C172">
        <f>VLOOKUP(B172,Proteome!B:I,8,FALSE)</f>
        <v>3.0970299482795891E-4</v>
      </c>
      <c r="D172">
        <f t="shared" si="12"/>
        <v>0.5</v>
      </c>
      <c r="E172" s="10">
        <f t="shared" si="13"/>
        <v>1.5485149741397946E-4</v>
      </c>
      <c r="F172">
        <f t="shared" si="14"/>
        <v>0.36158134349158805</v>
      </c>
      <c r="G172" s="10">
        <f t="shared" si="15"/>
        <v>4.2826185642949794E-4</v>
      </c>
      <c r="H172">
        <f t="shared" si="16"/>
        <v>4.7919157830233301E-3</v>
      </c>
      <c r="I172" s="10">
        <f t="shared" si="17"/>
        <v>7.7265767205094624</v>
      </c>
    </row>
    <row r="173" spans="1:9">
      <c r="A173" t="s">
        <v>536</v>
      </c>
      <c r="B173" t="s">
        <v>475</v>
      </c>
      <c r="C173">
        <f>VLOOKUP(B173,Proteome!B:I,8,FALSE)</f>
        <v>3.0970299482795891E-4</v>
      </c>
      <c r="D173">
        <f t="shared" si="12"/>
        <v>0.5</v>
      </c>
      <c r="E173" s="10">
        <f t="shared" si="13"/>
        <v>1.5485149741397946E-4</v>
      </c>
      <c r="F173">
        <f t="shared" si="14"/>
        <v>0.36158134349158805</v>
      </c>
      <c r="G173" s="10">
        <f t="shared" si="15"/>
        <v>4.2826185642949794E-4</v>
      </c>
      <c r="H173">
        <f t="shared" si="16"/>
        <v>4.7919157830233301E-3</v>
      </c>
      <c r="I173" s="10">
        <f t="shared" si="17"/>
        <v>7.7265767205094624</v>
      </c>
    </row>
    <row r="174" spans="1:9">
      <c r="A174" t="s">
        <v>536</v>
      </c>
      <c r="B174" t="s">
        <v>477</v>
      </c>
      <c r="C174">
        <f>VLOOKUP(B174,Proteome!B:I,8,FALSE)</f>
        <v>3.0970299482795891E-4</v>
      </c>
      <c r="D174">
        <f t="shared" si="12"/>
        <v>0.5</v>
      </c>
      <c r="E174" s="10">
        <f t="shared" si="13"/>
        <v>1.5485149741397946E-4</v>
      </c>
      <c r="F174">
        <f t="shared" si="14"/>
        <v>0.36158134349158805</v>
      </c>
      <c r="G174" s="10">
        <f t="shared" si="15"/>
        <v>4.2826185642949794E-4</v>
      </c>
      <c r="H174">
        <f t="shared" si="16"/>
        <v>4.7919157830233301E-3</v>
      </c>
      <c r="I174" s="10">
        <f t="shared" si="17"/>
        <v>7.7265767205094624</v>
      </c>
    </row>
    <row r="175" spans="1:9">
      <c r="A175" t="s">
        <v>536</v>
      </c>
      <c r="B175" t="s">
        <v>480</v>
      </c>
      <c r="C175">
        <f>VLOOKUP(B175,Proteome!B:I,8,FALSE)</f>
        <v>3.0970299482795891E-4</v>
      </c>
      <c r="D175">
        <f t="shared" si="12"/>
        <v>0.5</v>
      </c>
      <c r="E175" s="10">
        <f t="shared" si="13"/>
        <v>1.5485149741397946E-4</v>
      </c>
      <c r="F175">
        <f t="shared" si="14"/>
        <v>0.36158134349158805</v>
      </c>
      <c r="G175" s="10">
        <f t="shared" si="15"/>
        <v>4.2826185642949794E-4</v>
      </c>
      <c r="H175">
        <f t="shared" si="16"/>
        <v>4.7919157830233301E-3</v>
      </c>
      <c r="I175" s="10">
        <f t="shared" si="17"/>
        <v>7.7265767205094624</v>
      </c>
    </row>
    <row r="176" spans="1:9">
      <c r="A176" t="s">
        <v>536</v>
      </c>
      <c r="B176" t="s">
        <v>482</v>
      </c>
      <c r="C176">
        <f>VLOOKUP(B176,Proteome!B:I,8,FALSE)</f>
        <v>5.8843569017312199E-4</v>
      </c>
      <c r="D176">
        <f t="shared" si="12"/>
        <v>0.5</v>
      </c>
      <c r="E176" s="10">
        <f t="shared" si="13"/>
        <v>2.94217845086561E-4</v>
      </c>
      <c r="F176">
        <f t="shared" si="14"/>
        <v>0.36158134349158805</v>
      </c>
      <c r="G176" s="10">
        <f t="shared" si="15"/>
        <v>8.1369752721604616E-4</v>
      </c>
      <c r="H176">
        <f t="shared" si="16"/>
        <v>8.3511565506616311E-3</v>
      </c>
      <c r="I176" s="10">
        <f t="shared" si="17"/>
        <v>7.7265767205094624</v>
      </c>
    </row>
    <row r="177" spans="1:9">
      <c r="A177" t="s">
        <v>536</v>
      </c>
      <c r="B177" t="s">
        <v>484</v>
      </c>
      <c r="C177">
        <f>VLOOKUP(B177,Proteome!B:I,8,FALSE)</f>
        <v>5.8843569017312199E-4</v>
      </c>
      <c r="D177">
        <f t="shared" si="12"/>
        <v>0.5</v>
      </c>
      <c r="E177" s="10">
        <f t="shared" si="13"/>
        <v>2.94217845086561E-4</v>
      </c>
      <c r="F177">
        <f t="shared" si="14"/>
        <v>0.36158134349158805</v>
      </c>
      <c r="G177" s="10">
        <f t="shared" si="15"/>
        <v>8.1369752721604616E-4</v>
      </c>
      <c r="H177">
        <f t="shared" si="16"/>
        <v>8.3511565506616311E-3</v>
      </c>
      <c r="I177" s="10">
        <f t="shared" si="17"/>
        <v>7.7265767205094624</v>
      </c>
    </row>
    <row r="178" spans="1:9">
      <c r="A178" t="s">
        <v>536</v>
      </c>
      <c r="B178" t="s">
        <v>485</v>
      </c>
      <c r="C178">
        <f>VLOOKUP(B178,Proteome!B:I,8,FALSE)</f>
        <v>3.0970299482795891E-4</v>
      </c>
      <c r="D178">
        <f t="shared" si="12"/>
        <v>0.5</v>
      </c>
      <c r="E178" s="10">
        <f t="shared" si="13"/>
        <v>1.5485149741397946E-4</v>
      </c>
      <c r="F178">
        <f t="shared" si="14"/>
        <v>0.36158134349158805</v>
      </c>
      <c r="G178" s="10">
        <f t="shared" si="15"/>
        <v>4.2826185642949794E-4</v>
      </c>
      <c r="H178">
        <f t="shared" si="16"/>
        <v>4.7919157830233301E-3</v>
      </c>
      <c r="I178" s="10">
        <f t="shared" si="17"/>
        <v>7.7265767205094624</v>
      </c>
    </row>
    <row r="179" spans="1:9">
      <c r="A179" t="s">
        <v>536</v>
      </c>
      <c r="B179" t="s">
        <v>486</v>
      </c>
      <c r="C179">
        <f>VLOOKUP(B179,Proteome!B:I,8,FALSE)</f>
        <v>3.0970299482795891E-4</v>
      </c>
      <c r="D179">
        <f t="shared" si="12"/>
        <v>0.5</v>
      </c>
      <c r="E179" s="10">
        <f t="shared" si="13"/>
        <v>1.5485149741397946E-4</v>
      </c>
      <c r="F179">
        <f t="shared" si="14"/>
        <v>0.36158134349158805</v>
      </c>
      <c r="G179" s="10">
        <f t="shared" si="15"/>
        <v>4.2826185642949794E-4</v>
      </c>
      <c r="H179">
        <f t="shared" si="16"/>
        <v>4.7919157830233301E-3</v>
      </c>
      <c r="I179" s="10">
        <f t="shared" si="17"/>
        <v>7.7265767205094624</v>
      </c>
    </row>
    <row r="180" spans="1:9">
      <c r="A180" t="s">
        <v>536</v>
      </c>
      <c r="B180" t="s">
        <v>488</v>
      </c>
      <c r="C180">
        <f>VLOOKUP(B180,Proteome!B:I,8,FALSE)</f>
        <v>5.8843569017312199E-4</v>
      </c>
      <c r="D180">
        <f t="shared" si="12"/>
        <v>0.5</v>
      </c>
      <c r="E180" s="10">
        <f t="shared" si="13"/>
        <v>2.94217845086561E-4</v>
      </c>
      <c r="F180">
        <f t="shared" si="14"/>
        <v>0.36158134349158805</v>
      </c>
      <c r="G180" s="10">
        <f t="shared" si="15"/>
        <v>8.1369752721604616E-4</v>
      </c>
      <c r="H180">
        <f t="shared" si="16"/>
        <v>8.3511565506616311E-3</v>
      </c>
      <c r="I180" s="10">
        <f t="shared" si="17"/>
        <v>7.7265767205094624</v>
      </c>
    </row>
    <row r="181" spans="1:9">
      <c r="A181" t="s">
        <v>536</v>
      </c>
      <c r="B181" t="s">
        <v>490</v>
      </c>
      <c r="C181">
        <f>VLOOKUP(B181,Proteome!B:I,8,FALSE)</f>
        <v>5.8843569017312199E-4</v>
      </c>
      <c r="D181">
        <f t="shared" si="12"/>
        <v>0.5</v>
      </c>
      <c r="E181" s="10">
        <f t="shared" si="13"/>
        <v>2.94217845086561E-4</v>
      </c>
      <c r="F181">
        <f t="shared" si="14"/>
        <v>0.36158134349158805</v>
      </c>
      <c r="G181" s="10">
        <f t="shared" si="15"/>
        <v>8.1369752721604616E-4</v>
      </c>
      <c r="H181">
        <f t="shared" si="16"/>
        <v>8.3511565506616311E-3</v>
      </c>
      <c r="I181" s="10">
        <f t="shared" si="17"/>
        <v>7.7265767205094624</v>
      </c>
    </row>
    <row r="182" spans="1:9">
      <c r="A182" t="s">
        <v>536</v>
      </c>
      <c r="B182" t="s">
        <v>491</v>
      </c>
      <c r="C182">
        <f>VLOOKUP(B182,Proteome!B:I,8,FALSE)</f>
        <v>5.8843569017312199E-4</v>
      </c>
      <c r="D182">
        <f t="shared" si="12"/>
        <v>0.5</v>
      </c>
      <c r="E182" s="10">
        <f t="shared" si="13"/>
        <v>2.94217845086561E-4</v>
      </c>
      <c r="F182">
        <f t="shared" si="14"/>
        <v>0.36158134349158805</v>
      </c>
      <c r="G182" s="10">
        <f t="shared" si="15"/>
        <v>8.1369752721604616E-4</v>
      </c>
      <c r="H182">
        <f t="shared" si="16"/>
        <v>8.3511565506616311E-3</v>
      </c>
      <c r="I182" s="10">
        <f t="shared" si="17"/>
        <v>7.7265767205094624</v>
      </c>
    </row>
    <row r="183" spans="1:9">
      <c r="A183" t="s">
        <v>540</v>
      </c>
      <c r="B183" t="s">
        <v>230</v>
      </c>
      <c r="C183">
        <f>VLOOKUP(B183,Proteome!B:I,8,FALSE)</f>
        <v>5.5901390566446578E-3</v>
      </c>
      <c r="D183">
        <f t="shared" si="12"/>
        <v>0.3</v>
      </c>
      <c r="E183" s="10">
        <f t="shared" si="13"/>
        <v>1.6770417169933974E-3</v>
      </c>
      <c r="F183">
        <f t="shared" si="14"/>
        <v>0.36158134349158805</v>
      </c>
      <c r="G183" s="10">
        <f t="shared" si="15"/>
        <v>4.6380759051314622E-3</v>
      </c>
      <c r="H183">
        <f t="shared" si="16"/>
        <v>3.5955560362268227E-2</v>
      </c>
      <c r="I183" s="10">
        <f t="shared" si="17"/>
        <v>7.7265767205094624</v>
      </c>
    </row>
    <row r="184" spans="1:9">
      <c r="A184" t="s">
        <v>540</v>
      </c>
      <c r="B184" t="s">
        <v>247</v>
      </c>
      <c r="C184">
        <f>VLOOKUP(B184,Proteome!B:I,8,FALSE)</f>
        <v>5.5901390566446578E-3</v>
      </c>
      <c r="D184">
        <f t="shared" si="12"/>
        <v>0.3</v>
      </c>
      <c r="E184" s="10">
        <f t="shared" si="13"/>
        <v>1.6770417169933974E-3</v>
      </c>
      <c r="F184">
        <f t="shared" si="14"/>
        <v>0.36158134349158805</v>
      </c>
      <c r="G184" s="10">
        <f t="shared" si="15"/>
        <v>4.6380759051314622E-3</v>
      </c>
      <c r="H184">
        <f t="shared" si="16"/>
        <v>3.5955560362268227E-2</v>
      </c>
      <c r="I184" s="10">
        <f t="shared" si="17"/>
        <v>7.7265767205094624</v>
      </c>
    </row>
    <row r="185" spans="1:9">
      <c r="A185" t="s">
        <v>540</v>
      </c>
      <c r="B185" t="s">
        <v>257</v>
      </c>
      <c r="C185">
        <f>VLOOKUP(B185,Proteome!B:I,8,FALSE)</f>
        <v>5.5901390566446578E-3</v>
      </c>
      <c r="D185">
        <f t="shared" si="12"/>
        <v>0.3</v>
      </c>
      <c r="E185" s="10">
        <f t="shared" si="13"/>
        <v>1.6770417169933974E-3</v>
      </c>
      <c r="F185">
        <f t="shared" si="14"/>
        <v>0.36158134349158805</v>
      </c>
      <c r="G185" s="10">
        <f t="shared" si="15"/>
        <v>4.6380759051314622E-3</v>
      </c>
      <c r="H185">
        <f t="shared" si="16"/>
        <v>3.5955560362268227E-2</v>
      </c>
      <c r="I185" s="10">
        <f t="shared" si="17"/>
        <v>7.7265767205094624</v>
      </c>
    </row>
    <row r="186" spans="1:9">
      <c r="A186" t="s">
        <v>540</v>
      </c>
      <c r="B186" t="s">
        <v>267</v>
      </c>
      <c r="C186">
        <f>VLOOKUP(B186,Proteome!B:I,8,FALSE)</f>
        <v>5.5901390566446578E-3</v>
      </c>
      <c r="D186">
        <f t="shared" si="12"/>
        <v>0.3</v>
      </c>
      <c r="E186" s="10">
        <f t="shared" si="13"/>
        <v>1.6770417169933974E-3</v>
      </c>
      <c r="F186">
        <f t="shared" si="14"/>
        <v>0.36158134349158805</v>
      </c>
      <c r="G186" s="10">
        <f t="shared" si="15"/>
        <v>4.6380759051314622E-3</v>
      </c>
      <c r="H186">
        <f t="shared" si="16"/>
        <v>3.5955560362268227E-2</v>
      </c>
      <c r="I186" s="10">
        <f t="shared" si="17"/>
        <v>7.7265767205094624</v>
      </c>
    </row>
    <row r="187" spans="1:9">
      <c r="A187" t="s">
        <v>540</v>
      </c>
      <c r="B187" t="s">
        <v>273</v>
      </c>
      <c r="C187">
        <f>VLOOKUP(B187,Proteome!B:I,8,FALSE)</f>
        <v>5.5901390566446578E-3</v>
      </c>
      <c r="D187">
        <f t="shared" si="12"/>
        <v>0.3</v>
      </c>
      <c r="E187" s="10">
        <f t="shared" si="13"/>
        <v>1.6770417169933974E-3</v>
      </c>
      <c r="F187">
        <f t="shared" si="14"/>
        <v>0.36158134349158805</v>
      </c>
      <c r="G187" s="10">
        <f t="shared" si="15"/>
        <v>4.6380759051314622E-3</v>
      </c>
      <c r="H187">
        <f t="shared" si="16"/>
        <v>3.5955560362268227E-2</v>
      </c>
      <c r="I187" s="10">
        <f t="shared" si="17"/>
        <v>7.7265767205094624</v>
      </c>
    </row>
    <row r="188" spans="1:9">
      <c r="A188" t="s">
        <v>540</v>
      </c>
      <c r="B188" t="s">
        <v>275</v>
      </c>
      <c r="C188">
        <f>VLOOKUP(B188,Proteome!B:I,8,FALSE)</f>
        <v>5.5901390566446578E-3</v>
      </c>
      <c r="D188">
        <f t="shared" si="12"/>
        <v>0.3</v>
      </c>
      <c r="E188" s="10">
        <f t="shared" si="13"/>
        <v>1.6770417169933974E-3</v>
      </c>
      <c r="F188">
        <f t="shared" si="14"/>
        <v>0.36158134349158805</v>
      </c>
      <c r="G188" s="10">
        <f t="shared" si="15"/>
        <v>4.6380759051314622E-3</v>
      </c>
      <c r="H188">
        <f t="shared" si="16"/>
        <v>3.5955560362268227E-2</v>
      </c>
      <c r="I188" s="10">
        <f t="shared" si="17"/>
        <v>7.7265767205094624</v>
      </c>
    </row>
    <row r="189" spans="1:9">
      <c r="A189" t="s">
        <v>540</v>
      </c>
      <c r="B189" t="s">
        <v>256</v>
      </c>
      <c r="C189">
        <f>VLOOKUP(B189,Proteome!B:I,8,FALSE)</f>
        <v>4.1190498312118524E-3</v>
      </c>
      <c r="D189">
        <f t="shared" si="12"/>
        <v>0.3</v>
      </c>
      <c r="E189" s="10">
        <f t="shared" si="13"/>
        <v>1.2357149493635556E-3</v>
      </c>
      <c r="F189">
        <f t="shared" si="14"/>
        <v>0.36158134349158805</v>
      </c>
      <c r="G189" s="10">
        <f t="shared" si="15"/>
        <v>3.4175296143073922E-3</v>
      </c>
      <c r="H189">
        <f t="shared" si="16"/>
        <v>2.7999240671564011E-2</v>
      </c>
      <c r="I189" s="10">
        <f t="shared" si="17"/>
        <v>7.7265767205094624</v>
      </c>
    </row>
    <row r="190" spans="1:9">
      <c r="A190" t="s">
        <v>540</v>
      </c>
      <c r="B190" t="s">
        <v>265</v>
      </c>
      <c r="C190">
        <f>VLOOKUP(B190,Proteome!B:I,8,FALSE)</f>
        <v>4.1190498312118524E-3</v>
      </c>
      <c r="D190">
        <f t="shared" si="12"/>
        <v>0.3</v>
      </c>
      <c r="E190" s="10">
        <f t="shared" si="13"/>
        <v>1.2357149493635556E-3</v>
      </c>
      <c r="F190">
        <f t="shared" si="14"/>
        <v>0.36158134349158805</v>
      </c>
      <c r="G190" s="10">
        <f t="shared" si="15"/>
        <v>3.4175296143073922E-3</v>
      </c>
      <c r="H190">
        <f t="shared" si="16"/>
        <v>2.7999240671564011E-2</v>
      </c>
      <c r="I190" s="10">
        <f t="shared" si="17"/>
        <v>7.7265767205094624</v>
      </c>
    </row>
    <row r="191" spans="1:9">
      <c r="A191" t="s">
        <v>540</v>
      </c>
      <c r="B191" t="s">
        <v>269</v>
      </c>
      <c r="C191">
        <f>VLOOKUP(B191,Proteome!B:I,8,FALSE)</f>
        <v>4.1190498312118524E-3</v>
      </c>
      <c r="D191">
        <f t="shared" si="12"/>
        <v>0.3</v>
      </c>
      <c r="E191" s="10">
        <f t="shared" si="13"/>
        <v>1.2357149493635556E-3</v>
      </c>
      <c r="F191">
        <f t="shared" si="14"/>
        <v>0.36158134349158805</v>
      </c>
      <c r="G191" s="10">
        <f t="shared" si="15"/>
        <v>3.4175296143073922E-3</v>
      </c>
      <c r="H191">
        <f t="shared" si="16"/>
        <v>2.7999240671564011E-2</v>
      </c>
      <c r="I191" s="10">
        <f t="shared" si="17"/>
        <v>7.7265767205094624</v>
      </c>
    </row>
    <row r="192" spans="1:9">
      <c r="A192" t="s">
        <v>539</v>
      </c>
      <c r="B192" t="s">
        <v>287</v>
      </c>
      <c r="C192">
        <f>VLOOKUP(B192,Proteome!B:I,8,FALSE)</f>
        <v>2.9421784508656093E-3</v>
      </c>
      <c r="D192">
        <f t="shared" si="12"/>
        <v>0.3</v>
      </c>
      <c r="E192" s="10">
        <f t="shared" si="13"/>
        <v>8.8265353525968278E-4</v>
      </c>
      <c r="F192">
        <f t="shared" si="14"/>
        <v>0.36158134349158805</v>
      </c>
      <c r="G192" s="10">
        <f t="shared" si="15"/>
        <v>2.4410925816481378E-3</v>
      </c>
      <c r="H192">
        <f t="shared" si="16"/>
        <v>2.1184429449283997E-2</v>
      </c>
      <c r="I192" s="10">
        <f t="shared" si="17"/>
        <v>7.7265767205094624</v>
      </c>
    </row>
    <row r="193" spans="1:9">
      <c r="A193" t="s">
        <v>539</v>
      </c>
      <c r="B193" t="s">
        <v>289</v>
      </c>
      <c r="C193">
        <f>VLOOKUP(B193,Proteome!B:I,8,FALSE)</f>
        <v>5.5901390566446578E-3</v>
      </c>
      <c r="D193">
        <f t="shared" si="12"/>
        <v>0.3</v>
      </c>
      <c r="E193" s="10">
        <f t="shared" si="13"/>
        <v>1.6770417169933974E-3</v>
      </c>
      <c r="F193">
        <f t="shared" si="14"/>
        <v>0.36158134349158805</v>
      </c>
      <c r="G193" s="10">
        <f t="shared" si="15"/>
        <v>4.6380759051314622E-3</v>
      </c>
      <c r="H193">
        <f t="shared" si="16"/>
        <v>3.5955560362268227E-2</v>
      </c>
      <c r="I193" s="10">
        <f t="shared" si="17"/>
        <v>7.7265767205094624</v>
      </c>
    </row>
    <row r="194" spans="1:9">
      <c r="A194" t="s">
        <v>539</v>
      </c>
      <c r="B194" t="s">
        <v>295</v>
      </c>
      <c r="C194">
        <f>VLOOKUP(B194,Proteome!B:I,8,FALSE)</f>
        <v>2.9421784508656093E-3</v>
      </c>
      <c r="D194">
        <f t="shared" ref="D194:D257" si="18">VLOOKUP(A194,$K$2:$L$12,2,FALSE)</f>
        <v>0.3</v>
      </c>
      <c r="E194" s="10">
        <f t="shared" ref="E194:E257" si="19">C194*D194</f>
        <v>8.8265353525968278E-4</v>
      </c>
      <c r="F194">
        <f t="shared" ref="F194:F257" si="20">SUM($E$2:$E$522)</f>
        <v>0.36158134349158805</v>
      </c>
      <c r="G194" s="10">
        <f t="shared" ref="G194:G257" si="21">E194/F194</f>
        <v>2.4410925816481378E-3</v>
      </c>
      <c r="H194">
        <f t="shared" ref="H194:H257" si="22">-G194*LOG(G194,2)</f>
        <v>2.1184429449283997E-2</v>
      </c>
      <c r="I194" s="10">
        <f t="shared" ref="I194:I257" si="23">SUM($H$2:$H$522)</f>
        <v>7.7265767205094624</v>
      </c>
    </row>
    <row r="195" spans="1:9">
      <c r="A195" t="s">
        <v>539</v>
      </c>
      <c r="B195" t="s">
        <v>297</v>
      </c>
      <c r="C195">
        <f>VLOOKUP(B195,Proteome!B:I,8,FALSE)</f>
        <v>2.9421784508656093E-3</v>
      </c>
      <c r="D195">
        <f t="shared" si="18"/>
        <v>0.3</v>
      </c>
      <c r="E195" s="10">
        <f t="shared" si="19"/>
        <v>8.8265353525968278E-4</v>
      </c>
      <c r="F195">
        <f t="shared" si="20"/>
        <v>0.36158134349158805</v>
      </c>
      <c r="G195" s="10">
        <f t="shared" si="21"/>
        <v>2.4410925816481378E-3</v>
      </c>
      <c r="H195">
        <f t="shared" si="22"/>
        <v>2.1184429449283997E-2</v>
      </c>
      <c r="I195" s="10">
        <f t="shared" si="23"/>
        <v>7.7265767205094624</v>
      </c>
    </row>
    <row r="196" spans="1:9">
      <c r="A196" t="s">
        <v>539</v>
      </c>
      <c r="B196" t="s">
        <v>299</v>
      </c>
      <c r="C196">
        <f>VLOOKUP(B196,Proteome!B:I,8,FALSE)</f>
        <v>5.5901390566446578E-3</v>
      </c>
      <c r="D196">
        <f t="shared" si="18"/>
        <v>0.3</v>
      </c>
      <c r="E196" s="10">
        <f t="shared" si="19"/>
        <v>1.6770417169933974E-3</v>
      </c>
      <c r="F196">
        <f t="shared" si="20"/>
        <v>0.36158134349158805</v>
      </c>
      <c r="G196" s="10">
        <f t="shared" si="21"/>
        <v>4.6380759051314622E-3</v>
      </c>
      <c r="H196">
        <f t="shared" si="22"/>
        <v>3.5955560362268227E-2</v>
      </c>
      <c r="I196" s="10">
        <f t="shared" si="23"/>
        <v>7.7265767205094624</v>
      </c>
    </row>
    <row r="197" spans="1:9">
      <c r="A197" t="s">
        <v>539</v>
      </c>
      <c r="B197" t="s">
        <v>300</v>
      </c>
      <c r="C197">
        <f>VLOOKUP(B197,Proteome!B:I,8,FALSE)</f>
        <v>2.9421784508656093E-3</v>
      </c>
      <c r="D197">
        <f t="shared" si="18"/>
        <v>0.3</v>
      </c>
      <c r="E197" s="10">
        <f t="shared" si="19"/>
        <v>8.8265353525968278E-4</v>
      </c>
      <c r="F197">
        <f t="shared" si="20"/>
        <v>0.36158134349158805</v>
      </c>
      <c r="G197" s="10">
        <f t="shared" si="21"/>
        <v>2.4410925816481378E-3</v>
      </c>
      <c r="H197">
        <f t="shared" si="22"/>
        <v>2.1184429449283997E-2</v>
      </c>
      <c r="I197" s="10">
        <f t="shared" si="23"/>
        <v>7.7265767205094624</v>
      </c>
    </row>
    <row r="198" spans="1:9">
      <c r="A198" t="s">
        <v>539</v>
      </c>
      <c r="B198" t="s">
        <v>308</v>
      </c>
      <c r="C198">
        <f>VLOOKUP(B198,Proteome!B:I,8,FALSE)</f>
        <v>5.5901390566446578E-3</v>
      </c>
      <c r="D198">
        <f t="shared" si="18"/>
        <v>0.3</v>
      </c>
      <c r="E198" s="10">
        <f t="shared" si="19"/>
        <v>1.6770417169933974E-3</v>
      </c>
      <c r="F198">
        <f t="shared" si="20"/>
        <v>0.36158134349158805</v>
      </c>
      <c r="G198" s="10">
        <f t="shared" si="21"/>
        <v>4.6380759051314622E-3</v>
      </c>
      <c r="H198">
        <f t="shared" si="22"/>
        <v>3.5955560362268227E-2</v>
      </c>
      <c r="I198" s="10">
        <f t="shared" si="23"/>
        <v>7.7265767205094624</v>
      </c>
    </row>
    <row r="199" spans="1:9">
      <c r="A199" t="s">
        <v>540</v>
      </c>
      <c r="B199" t="s">
        <v>231</v>
      </c>
      <c r="C199">
        <f>VLOOKUP(B199,Proteome!B:I,8,FALSE)</f>
        <v>5.5901390566446578E-3</v>
      </c>
      <c r="D199">
        <f t="shared" si="18"/>
        <v>0.3</v>
      </c>
      <c r="E199" s="10">
        <f t="shared" si="19"/>
        <v>1.6770417169933974E-3</v>
      </c>
      <c r="F199">
        <f t="shared" si="20"/>
        <v>0.36158134349158805</v>
      </c>
      <c r="G199" s="10">
        <f t="shared" si="21"/>
        <v>4.6380759051314622E-3</v>
      </c>
      <c r="H199">
        <f t="shared" si="22"/>
        <v>3.5955560362268227E-2</v>
      </c>
      <c r="I199" s="10">
        <f t="shared" si="23"/>
        <v>7.7265767205094624</v>
      </c>
    </row>
    <row r="200" spans="1:9">
      <c r="A200" t="s">
        <v>540</v>
      </c>
      <c r="B200" t="s">
        <v>232</v>
      </c>
      <c r="C200">
        <f>VLOOKUP(B200,Proteome!B:I,8,FALSE)</f>
        <v>5.5901390566446578E-3</v>
      </c>
      <c r="D200">
        <f t="shared" si="18"/>
        <v>0.3</v>
      </c>
      <c r="E200" s="10">
        <f t="shared" si="19"/>
        <v>1.6770417169933974E-3</v>
      </c>
      <c r="F200">
        <f t="shared" si="20"/>
        <v>0.36158134349158805</v>
      </c>
      <c r="G200" s="10">
        <f t="shared" si="21"/>
        <v>4.6380759051314622E-3</v>
      </c>
      <c r="H200">
        <f t="shared" si="22"/>
        <v>3.5955560362268227E-2</v>
      </c>
      <c r="I200" s="10">
        <f t="shared" si="23"/>
        <v>7.7265767205094624</v>
      </c>
    </row>
    <row r="201" spans="1:9">
      <c r="A201" t="s">
        <v>540</v>
      </c>
      <c r="B201" t="s">
        <v>236</v>
      </c>
      <c r="C201">
        <f>VLOOKUP(B201,Proteome!B:I,8,FALSE)</f>
        <v>5.5901390566446578E-3</v>
      </c>
      <c r="D201">
        <f t="shared" si="18"/>
        <v>0.3</v>
      </c>
      <c r="E201" s="10">
        <f t="shared" si="19"/>
        <v>1.6770417169933974E-3</v>
      </c>
      <c r="F201">
        <f t="shared" si="20"/>
        <v>0.36158134349158805</v>
      </c>
      <c r="G201" s="10">
        <f t="shared" si="21"/>
        <v>4.6380759051314622E-3</v>
      </c>
      <c r="H201">
        <f t="shared" si="22"/>
        <v>3.5955560362268227E-2</v>
      </c>
      <c r="I201" s="10">
        <f t="shared" si="23"/>
        <v>7.7265767205094624</v>
      </c>
    </row>
    <row r="202" spans="1:9">
      <c r="A202" t="s">
        <v>540</v>
      </c>
      <c r="B202" t="s">
        <v>255</v>
      </c>
      <c r="C202">
        <f>VLOOKUP(B202,Proteome!B:I,8,FALSE)</f>
        <v>5.5901390566446578E-3</v>
      </c>
      <c r="D202">
        <f t="shared" si="18"/>
        <v>0.3</v>
      </c>
      <c r="E202" s="10">
        <f t="shared" si="19"/>
        <v>1.6770417169933974E-3</v>
      </c>
      <c r="F202">
        <f t="shared" si="20"/>
        <v>0.36158134349158805</v>
      </c>
      <c r="G202" s="10">
        <f t="shared" si="21"/>
        <v>4.6380759051314622E-3</v>
      </c>
      <c r="H202">
        <f t="shared" si="22"/>
        <v>3.5955560362268227E-2</v>
      </c>
      <c r="I202" s="10">
        <f t="shared" si="23"/>
        <v>7.7265767205094624</v>
      </c>
    </row>
    <row r="203" spans="1:9">
      <c r="A203" t="s">
        <v>541</v>
      </c>
      <c r="B203" t="s">
        <v>215</v>
      </c>
      <c r="C203">
        <f>VLOOKUP(B203,Proteome!B:I,8,FALSE)</f>
        <v>2.9421784508656093E-3</v>
      </c>
      <c r="D203">
        <f t="shared" si="18"/>
        <v>0.3</v>
      </c>
      <c r="E203" s="10">
        <f t="shared" si="19"/>
        <v>8.8265353525968278E-4</v>
      </c>
      <c r="F203">
        <f t="shared" si="20"/>
        <v>0.36158134349158805</v>
      </c>
      <c r="G203" s="10">
        <f t="shared" si="21"/>
        <v>2.4410925816481378E-3</v>
      </c>
      <c r="H203">
        <f t="shared" si="22"/>
        <v>2.1184429449283997E-2</v>
      </c>
      <c r="I203" s="10">
        <f t="shared" si="23"/>
        <v>7.7265767205094624</v>
      </c>
    </row>
    <row r="204" spans="1:9">
      <c r="A204" t="s">
        <v>541</v>
      </c>
      <c r="B204" t="s">
        <v>220</v>
      </c>
      <c r="C204">
        <f>VLOOKUP(B204,Proteome!B:I,8,FALSE)</f>
        <v>5.5901390566446578E-3</v>
      </c>
      <c r="D204">
        <f t="shared" si="18"/>
        <v>0.3</v>
      </c>
      <c r="E204" s="10">
        <f t="shared" si="19"/>
        <v>1.6770417169933974E-3</v>
      </c>
      <c r="F204">
        <f t="shared" si="20"/>
        <v>0.36158134349158805</v>
      </c>
      <c r="G204" s="10">
        <f t="shared" si="21"/>
        <v>4.6380759051314622E-3</v>
      </c>
      <c r="H204">
        <f t="shared" si="22"/>
        <v>3.5955560362268227E-2</v>
      </c>
      <c r="I204" s="10">
        <f t="shared" si="23"/>
        <v>7.7265767205094624</v>
      </c>
    </row>
    <row r="205" spans="1:9">
      <c r="A205" t="s">
        <v>541</v>
      </c>
      <c r="B205" t="s">
        <v>222</v>
      </c>
      <c r="C205">
        <f>VLOOKUP(B205,Proteome!B:I,8,FALSE)</f>
        <v>5.5901390566446578E-3</v>
      </c>
      <c r="D205">
        <f t="shared" si="18"/>
        <v>0.3</v>
      </c>
      <c r="E205" s="10">
        <f t="shared" si="19"/>
        <v>1.6770417169933974E-3</v>
      </c>
      <c r="F205">
        <f t="shared" si="20"/>
        <v>0.36158134349158805</v>
      </c>
      <c r="G205" s="10">
        <f t="shared" si="21"/>
        <v>4.6380759051314622E-3</v>
      </c>
      <c r="H205">
        <f t="shared" si="22"/>
        <v>3.5955560362268227E-2</v>
      </c>
      <c r="I205" s="10">
        <f t="shared" si="23"/>
        <v>7.7265767205094624</v>
      </c>
    </row>
    <row r="206" spans="1:9">
      <c r="A206" t="s">
        <v>540</v>
      </c>
      <c r="B206" t="s">
        <v>272</v>
      </c>
      <c r="C206">
        <f>VLOOKUP(B206,Proteome!B:I,8,FALSE)</f>
        <v>5.5901390566446578E-3</v>
      </c>
      <c r="D206">
        <f t="shared" si="18"/>
        <v>0.3</v>
      </c>
      <c r="E206" s="10">
        <f t="shared" si="19"/>
        <v>1.6770417169933974E-3</v>
      </c>
      <c r="F206">
        <f t="shared" si="20"/>
        <v>0.36158134349158805</v>
      </c>
      <c r="G206" s="10">
        <f t="shared" si="21"/>
        <v>4.6380759051314622E-3</v>
      </c>
      <c r="H206">
        <f t="shared" si="22"/>
        <v>3.5955560362268227E-2</v>
      </c>
      <c r="I206" s="10">
        <f t="shared" si="23"/>
        <v>7.7265767205094624</v>
      </c>
    </row>
    <row r="207" spans="1:9">
      <c r="A207" t="s">
        <v>539</v>
      </c>
      <c r="B207" t="s">
        <v>310</v>
      </c>
      <c r="C207">
        <f>VLOOKUP(B207,Proteome!B:I,8,FALSE)</f>
        <v>5.5901390566446578E-3</v>
      </c>
      <c r="D207">
        <f t="shared" si="18"/>
        <v>0.3</v>
      </c>
      <c r="E207" s="10">
        <f t="shared" si="19"/>
        <v>1.6770417169933974E-3</v>
      </c>
      <c r="F207">
        <f t="shared" si="20"/>
        <v>0.36158134349158805</v>
      </c>
      <c r="G207" s="10">
        <f t="shared" si="21"/>
        <v>4.6380759051314622E-3</v>
      </c>
      <c r="H207">
        <f t="shared" si="22"/>
        <v>3.5955560362268227E-2</v>
      </c>
      <c r="I207" s="10">
        <f t="shared" si="23"/>
        <v>7.7265767205094624</v>
      </c>
    </row>
    <row r="208" spans="1:9">
      <c r="A208" t="s">
        <v>539</v>
      </c>
      <c r="B208" t="s">
        <v>314</v>
      </c>
      <c r="C208">
        <f>VLOOKUP(B208,Proteome!B:I,8,FALSE)</f>
        <v>2.9421784508656093E-3</v>
      </c>
      <c r="D208">
        <f t="shared" si="18"/>
        <v>0.3</v>
      </c>
      <c r="E208" s="10">
        <f t="shared" si="19"/>
        <v>8.8265353525968278E-4</v>
      </c>
      <c r="F208">
        <f t="shared" si="20"/>
        <v>0.36158134349158805</v>
      </c>
      <c r="G208" s="10">
        <f t="shared" si="21"/>
        <v>2.4410925816481378E-3</v>
      </c>
      <c r="H208">
        <f t="shared" si="22"/>
        <v>2.1184429449283997E-2</v>
      </c>
      <c r="I208" s="10">
        <f t="shared" si="23"/>
        <v>7.7265767205094624</v>
      </c>
    </row>
    <row r="209" spans="1:9">
      <c r="A209" t="s">
        <v>540</v>
      </c>
      <c r="B209" t="s">
        <v>276</v>
      </c>
      <c r="C209">
        <f>VLOOKUP(B209,Proteome!B:I,8,FALSE)</f>
        <v>5.5901390566446578E-3</v>
      </c>
      <c r="D209">
        <f t="shared" si="18"/>
        <v>0.3</v>
      </c>
      <c r="E209" s="10">
        <f t="shared" si="19"/>
        <v>1.6770417169933974E-3</v>
      </c>
      <c r="F209">
        <f t="shared" si="20"/>
        <v>0.36158134349158805</v>
      </c>
      <c r="G209" s="10">
        <f t="shared" si="21"/>
        <v>4.6380759051314622E-3</v>
      </c>
      <c r="H209">
        <f t="shared" si="22"/>
        <v>3.5955560362268227E-2</v>
      </c>
      <c r="I209" s="10">
        <f t="shared" si="23"/>
        <v>7.7265767205094624</v>
      </c>
    </row>
    <row r="210" spans="1:9">
      <c r="A210" t="s">
        <v>540</v>
      </c>
      <c r="B210" t="s">
        <v>277</v>
      </c>
      <c r="C210">
        <f>VLOOKUP(B210,Proteome!B:I,8,FALSE)</f>
        <v>5.5901390566446578E-3</v>
      </c>
      <c r="D210">
        <f t="shared" si="18"/>
        <v>0.3</v>
      </c>
      <c r="E210" s="10">
        <f t="shared" si="19"/>
        <v>1.6770417169933974E-3</v>
      </c>
      <c r="F210">
        <f t="shared" si="20"/>
        <v>0.36158134349158805</v>
      </c>
      <c r="G210" s="10">
        <f t="shared" si="21"/>
        <v>4.6380759051314622E-3</v>
      </c>
      <c r="H210">
        <f t="shared" si="22"/>
        <v>3.5955560362268227E-2</v>
      </c>
      <c r="I210" s="10">
        <f t="shared" si="23"/>
        <v>7.7265767205094624</v>
      </c>
    </row>
    <row r="211" spans="1:9">
      <c r="A211" t="s">
        <v>540</v>
      </c>
      <c r="B211" t="s">
        <v>279</v>
      </c>
      <c r="C211">
        <f>VLOOKUP(B211,Proteome!B:I,8,FALSE)</f>
        <v>5.5901390566446578E-3</v>
      </c>
      <c r="D211">
        <f t="shared" si="18"/>
        <v>0.3</v>
      </c>
      <c r="E211" s="10">
        <f t="shared" si="19"/>
        <v>1.6770417169933974E-3</v>
      </c>
      <c r="F211">
        <f t="shared" si="20"/>
        <v>0.36158134349158805</v>
      </c>
      <c r="G211" s="10">
        <f t="shared" si="21"/>
        <v>4.6380759051314622E-3</v>
      </c>
      <c r="H211">
        <f t="shared" si="22"/>
        <v>3.5955560362268227E-2</v>
      </c>
      <c r="I211" s="10">
        <f t="shared" si="23"/>
        <v>7.7265767205094624</v>
      </c>
    </row>
    <row r="212" spans="1:9">
      <c r="A212" t="s">
        <v>540</v>
      </c>
      <c r="B212" t="s">
        <v>282</v>
      </c>
      <c r="C212">
        <f>VLOOKUP(B212,Proteome!B:I,8,FALSE)</f>
        <v>5.5901390566446578E-3</v>
      </c>
      <c r="D212">
        <f t="shared" si="18"/>
        <v>0.3</v>
      </c>
      <c r="E212" s="10">
        <f t="shared" si="19"/>
        <v>1.6770417169933974E-3</v>
      </c>
      <c r="F212">
        <f t="shared" si="20"/>
        <v>0.36158134349158805</v>
      </c>
      <c r="G212" s="10">
        <f t="shared" si="21"/>
        <v>4.6380759051314622E-3</v>
      </c>
      <c r="H212">
        <f t="shared" si="22"/>
        <v>3.5955560362268227E-2</v>
      </c>
      <c r="I212" s="10">
        <f t="shared" si="23"/>
        <v>7.7265767205094624</v>
      </c>
    </row>
    <row r="213" spans="1:9">
      <c r="A213" t="s">
        <v>539</v>
      </c>
      <c r="B213" t="s">
        <v>318</v>
      </c>
      <c r="C213">
        <f>VLOOKUP(B213,Proteome!B:I,8,FALSE)</f>
        <v>2.9421784508656093E-3</v>
      </c>
      <c r="D213">
        <f t="shared" si="18"/>
        <v>0.3</v>
      </c>
      <c r="E213" s="10">
        <f t="shared" si="19"/>
        <v>8.8265353525968278E-4</v>
      </c>
      <c r="F213">
        <f t="shared" si="20"/>
        <v>0.36158134349158805</v>
      </c>
      <c r="G213" s="10">
        <f t="shared" si="21"/>
        <v>2.4410925816481378E-3</v>
      </c>
      <c r="H213">
        <f t="shared" si="22"/>
        <v>2.1184429449283997E-2</v>
      </c>
      <c r="I213" s="10">
        <f t="shared" si="23"/>
        <v>7.7265767205094624</v>
      </c>
    </row>
    <row r="214" spans="1:9">
      <c r="A214" t="s">
        <v>539</v>
      </c>
      <c r="B214" t="s">
        <v>294</v>
      </c>
      <c r="C214">
        <f>VLOOKUP(B214,Proteome!B:I,8,FALSE)</f>
        <v>4.1190498312118524E-3</v>
      </c>
      <c r="D214">
        <f t="shared" si="18"/>
        <v>0.3</v>
      </c>
      <c r="E214" s="10">
        <f t="shared" si="19"/>
        <v>1.2357149493635556E-3</v>
      </c>
      <c r="F214">
        <f t="shared" si="20"/>
        <v>0.36158134349158805</v>
      </c>
      <c r="G214" s="10">
        <f t="shared" si="21"/>
        <v>3.4175296143073922E-3</v>
      </c>
      <c r="H214">
        <f t="shared" si="22"/>
        <v>2.7999240671564011E-2</v>
      </c>
      <c r="I214" s="10">
        <f t="shared" si="23"/>
        <v>7.7265767205094624</v>
      </c>
    </row>
    <row r="215" spans="1:9">
      <c r="A215" t="s">
        <v>539</v>
      </c>
      <c r="B215" t="s">
        <v>298</v>
      </c>
      <c r="C215">
        <f>VLOOKUP(B215,Proteome!B:I,8,FALSE)</f>
        <v>4.1190498312118524E-3</v>
      </c>
      <c r="D215">
        <f t="shared" si="18"/>
        <v>0.3</v>
      </c>
      <c r="E215" s="10">
        <f t="shared" si="19"/>
        <v>1.2357149493635556E-3</v>
      </c>
      <c r="F215">
        <f t="shared" si="20"/>
        <v>0.36158134349158805</v>
      </c>
      <c r="G215" s="10">
        <f t="shared" si="21"/>
        <v>3.4175296143073922E-3</v>
      </c>
      <c r="H215">
        <f t="shared" si="22"/>
        <v>2.7999240671564011E-2</v>
      </c>
      <c r="I215" s="10">
        <f t="shared" si="23"/>
        <v>7.7265767205094624</v>
      </c>
    </row>
    <row r="216" spans="1:9">
      <c r="A216" t="s">
        <v>539</v>
      </c>
      <c r="B216" t="s">
        <v>307</v>
      </c>
      <c r="C216">
        <f>VLOOKUP(B216,Proteome!B:I,8,FALSE)</f>
        <v>4.1190498312118524E-3</v>
      </c>
      <c r="D216">
        <f t="shared" si="18"/>
        <v>0.3</v>
      </c>
      <c r="E216" s="10">
        <f t="shared" si="19"/>
        <v>1.2357149493635556E-3</v>
      </c>
      <c r="F216">
        <f t="shared" si="20"/>
        <v>0.36158134349158805</v>
      </c>
      <c r="G216" s="10">
        <f t="shared" si="21"/>
        <v>3.4175296143073922E-3</v>
      </c>
      <c r="H216">
        <f t="shared" si="22"/>
        <v>2.7999240671564011E-2</v>
      </c>
      <c r="I216" s="10">
        <f t="shared" si="23"/>
        <v>7.7265767205094624</v>
      </c>
    </row>
    <row r="217" spans="1:9">
      <c r="A217" t="s">
        <v>540</v>
      </c>
      <c r="B217" t="s">
        <v>233</v>
      </c>
      <c r="C217">
        <f>VLOOKUP(B217,Proteome!B:I,8,FALSE)</f>
        <v>4.1190498312118524E-3</v>
      </c>
      <c r="D217">
        <f t="shared" si="18"/>
        <v>0.3</v>
      </c>
      <c r="E217" s="10">
        <f t="shared" si="19"/>
        <v>1.2357149493635556E-3</v>
      </c>
      <c r="F217">
        <f t="shared" si="20"/>
        <v>0.36158134349158805</v>
      </c>
      <c r="G217" s="10">
        <f t="shared" si="21"/>
        <v>3.4175296143073922E-3</v>
      </c>
      <c r="H217">
        <f t="shared" si="22"/>
        <v>2.7999240671564011E-2</v>
      </c>
      <c r="I217" s="10">
        <f t="shared" si="23"/>
        <v>7.7265767205094624</v>
      </c>
    </row>
    <row r="218" spans="1:9">
      <c r="A218" t="s">
        <v>540</v>
      </c>
      <c r="B218" t="s">
        <v>234</v>
      </c>
      <c r="C218">
        <f>VLOOKUP(B218,Proteome!B:I,8,FALSE)</f>
        <v>4.1190498312118524E-3</v>
      </c>
      <c r="D218">
        <f t="shared" si="18"/>
        <v>0.3</v>
      </c>
      <c r="E218" s="10">
        <f t="shared" si="19"/>
        <v>1.2357149493635556E-3</v>
      </c>
      <c r="F218">
        <f t="shared" si="20"/>
        <v>0.36158134349158805</v>
      </c>
      <c r="G218" s="10">
        <f t="shared" si="21"/>
        <v>3.4175296143073922E-3</v>
      </c>
      <c r="H218">
        <f t="shared" si="22"/>
        <v>2.7999240671564011E-2</v>
      </c>
      <c r="I218" s="10">
        <f t="shared" si="23"/>
        <v>7.7265767205094624</v>
      </c>
    </row>
    <row r="219" spans="1:9">
      <c r="A219" t="s">
        <v>540</v>
      </c>
      <c r="B219" t="s">
        <v>240</v>
      </c>
      <c r="C219">
        <f>VLOOKUP(B219,Proteome!B:I,8,FALSE)</f>
        <v>2.1679209637957119E-3</v>
      </c>
      <c r="D219">
        <f t="shared" si="18"/>
        <v>0.3</v>
      </c>
      <c r="E219" s="10">
        <f t="shared" si="19"/>
        <v>6.5037628913871355E-4</v>
      </c>
      <c r="F219">
        <f t="shared" si="20"/>
        <v>0.36158134349158805</v>
      </c>
      <c r="G219" s="10">
        <f t="shared" si="21"/>
        <v>1.7986997970038908E-3</v>
      </c>
      <c r="H219">
        <f t="shared" si="22"/>
        <v>1.6402037424900703E-2</v>
      </c>
      <c r="I219" s="10">
        <f t="shared" si="23"/>
        <v>7.7265767205094624</v>
      </c>
    </row>
    <row r="220" spans="1:9">
      <c r="A220" t="s">
        <v>540</v>
      </c>
      <c r="B220" t="s">
        <v>245</v>
      </c>
      <c r="C220">
        <f>VLOOKUP(B220,Proteome!B:I,8,FALSE)</f>
        <v>4.1190498312118524E-3</v>
      </c>
      <c r="D220">
        <f t="shared" si="18"/>
        <v>0.3</v>
      </c>
      <c r="E220" s="10">
        <f t="shared" si="19"/>
        <v>1.2357149493635556E-3</v>
      </c>
      <c r="F220">
        <f t="shared" si="20"/>
        <v>0.36158134349158805</v>
      </c>
      <c r="G220" s="10">
        <f t="shared" si="21"/>
        <v>3.4175296143073922E-3</v>
      </c>
      <c r="H220">
        <f t="shared" si="22"/>
        <v>2.7999240671564011E-2</v>
      </c>
      <c r="I220" s="10">
        <f t="shared" si="23"/>
        <v>7.7265767205094624</v>
      </c>
    </row>
    <row r="221" spans="1:9">
      <c r="A221" t="s">
        <v>540</v>
      </c>
      <c r="B221" t="s">
        <v>246</v>
      </c>
      <c r="C221">
        <f>VLOOKUP(B221,Proteome!B:I,8,FALSE)</f>
        <v>4.1190498312118524E-3</v>
      </c>
      <c r="D221">
        <f t="shared" si="18"/>
        <v>0.3</v>
      </c>
      <c r="E221" s="10">
        <f t="shared" si="19"/>
        <v>1.2357149493635556E-3</v>
      </c>
      <c r="F221">
        <f t="shared" si="20"/>
        <v>0.36158134349158805</v>
      </c>
      <c r="G221" s="10">
        <f t="shared" si="21"/>
        <v>3.4175296143073922E-3</v>
      </c>
      <c r="H221">
        <f t="shared" si="22"/>
        <v>2.7999240671564011E-2</v>
      </c>
      <c r="I221" s="10">
        <f t="shared" si="23"/>
        <v>7.7265767205094624</v>
      </c>
    </row>
    <row r="222" spans="1:9">
      <c r="A222" t="s">
        <v>541</v>
      </c>
      <c r="B222" t="s">
        <v>212</v>
      </c>
      <c r="C222">
        <f>VLOOKUP(B222,Proteome!B:I,8,FALSE)</f>
        <v>4.1190498312118524E-3</v>
      </c>
      <c r="D222">
        <f t="shared" si="18"/>
        <v>0.3</v>
      </c>
      <c r="E222" s="10">
        <f t="shared" si="19"/>
        <v>1.2357149493635556E-3</v>
      </c>
      <c r="F222">
        <f t="shared" si="20"/>
        <v>0.36158134349158805</v>
      </c>
      <c r="G222" s="10">
        <f t="shared" si="21"/>
        <v>3.4175296143073922E-3</v>
      </c>
      <c r="H222">
        <f t="shared" si="22"/>
        <v>2.7999240671564011E-2</v>
      </c>
      <c r="I222" s="10">
        <f t="shared" si="23"/>
        <v>7.7265767205094624</v>
      </c>
    </row>
    <row r="223" spans="1:9">
      <c r="A223" t="s">
        <v>540</v>
      </c>
      <c r="B223" t="s">
        <v>270</v>
      </c>
      <c r="C223">
        <f>VLOOKUP(B223,Proteome!B:I,8,FALSE)</f>
        <v>4.1190498312118524E-3</v>
      </c>
      <c r="D223">
        <f t="shared" si="18"/>
        <v>0.3</v>
      </c>
      <c r="E223" s="10">
        <f t="shared" si="19"/>
        <v>1.2357149493635556E-3</v>
      </c>
      <c r="F223">
        <f t="shared" si="20"/>
        <v>0.36158134349158805</v>
      </c>
      <c r="G223" s="10">
        <f t="shared" si="21"/>
        <v>3.4175296143073922E-3</v>
      </c>
      <c r="H223">
        <f t="shared" si="22"/>
        <v>2.7999240671564011E-2</v>
      </c>
      <c r="I223" s="10">
        <f t="shared" si="23"/>
        <v>7.7265767205094624</v>
      </c>
    </row>
    <row r="224" spans="1:9">
      <c r="A224" t="s">
        <v>539</v>
      </c>
      <c r="B224" t="s">
        <v>311</v>
      </c>
      <c r="C224">
        <f>VLOOKUP(B224,Proteome!B:I,8,FALSE)</f>
        <v>4.1190498312118524E-3</v>
      </c>
      <c r="D224">
        <f t="shared" si="18"/>
        <v>0.3</v>
      </c>
      <c r="E224" s="10">
        <f t="shared" si="19"/>
        <v>1.2357149493635556E-3</v>
      </c>
      <c r="F224">
        <f t="shared" si="20"/>
        <v>0.36158134349158805</v>
      </c>
      <c r="G224" s="10">
        <f t="shared" si="21"/>
        <v>3.4175296143073922E-3</v>
      </c>
      <c r="H224">
        <f t="shared" si="22"/>
        <v>2.7999240671564011E-2</v>
      </c>
      <c r="I224" s="10">
        <f t="shared" si="23"/>
        <v>7.7265767205094624</v>
      </c>
    </row>
    <row r="225" spans="1:9">
      <c r="A225" t="s">
        <v>539</v>
      </c>
      <c r="B225" t="s">
        <v>317</v>
      </c>
      <c r="C225">
        <f>VLOOKUP(B225,Proteome!B:I,8,FALSE)</f>
        <v>2.1679209637957119E-3</v>
      </c>
      <c r="D225">
        <f t="shared" si="18"/>
        <v>0.3</v>
      </c>
      <c r="E225" s="10">
        <f t="shared" si="19"/>
        <v>6.5037628913871355E-4</v>
      </c>
      <c r="F225">
        <f t="shared" si="20"/>
        <v>0.36158134349158805</v>
      </c>
      <c r="G225" s="10">
        <f t="shared" si="21"/>
        <v>1.7986997970038908E-3</v>
      </c>
      <c r="H225">
        <f t="shared" si="22"/>
        <v>1.6402037424900703E-2</v>
      </c>
      <c r="I225" s="10">
        <f t="shared" si="23"/>
        <v>7.7265767205094624</v>
      </c>
    </row>
    <row r="226" spans="1:9">
      <c r="A226" t="s">
        <v>540</v>
      </c>
      <c r="B226" t="s">
        <v>237</v>
      </c>
      <c r="C226">
        <f>VLOOKUP(B226,Proteome!B:I,8,FALSE)</f>
        <v>5.8843569017312199E-4</v>
      </c>
      <c r="D226">
        <f t="shared" si="18"/>
        <v>0.3</v>
      </c>
      <c r="E226" s="10">
        <f t="shared" si="19"/>
        <v>1.765307070519366E-4</v>
      </c>
      <c r="F226">
        <f t="shared" si="20"/>
        <v>0.36158134349158805</v>
      </c>
      <c r="G226" s="10">
        <f t="shared" si="21"/>
        <v>4.8821851632962771E-4</v>
      </c>
      <c r="H226">
        <f t="shared" si="22"/>
        <v>5.370494179366787E-3</v>
      </c>
      <c r="I226" s="10">
        <f t="shared" si="23"/>
        <v>7.7265767205094624</v>
      </c>
    </row>
    <row r="227" spans="1:9">
      <c r="A227" t="s">
        <v>540</v>
      </c>
      <c r="B227" t="s">
        <v>264</v>
      </c>
      <c r="C227">
        <f>VLOOKUP(B227,Proteome!B:I,8,FALSE)</f>
        <v>5.8843569017312199E-4</v>
      </c>
      <c r="D227">
        <f t="shared" si="18"/>
        <v>0.3</v>
      </c>
      <c r="E227" s="10">
        <f t="shared" si="19"/>
        <v>1.765307070519366E-4</v>
      </c>
      <c r="F227">
        <f t="shared" si="20"/>
        <v>0.36158134349158805</v>
      </c>
      <c r="G227" s="10">
        <f t="shared" si="21"/>
        <v>4.8821851632962771E-4</v>
      </c>
      <c r="H227">
        <f t="shared" si="22"/>
        <v>5.370494179366787E-3</v>
      </c>
      <c r="I227" s="10">
        <f t="shared" si="23"/>
        <v>7.7265767205094624</v>
      </c>
    </row>
    <row r="228" spans="1:9">
      <c r="A228" t="s">
        <v>540</v>
      </c>
      <c r="B228" t="s">
        <v>268</v>
      </c>
      <c r="C228">
        <f>VLOOKUP(B228,Proteome!B:I,8,FALSE)</f>
        <v>5.8843569017312199E-4</v>
      </c>
      <c r="D228">
        <f t="shared" si="18"/>
        <v>0.3</v>
      </c>
      <c r="E228" s="10">
        <f t="shared" si="19"/>
        <v>1.765307070519366E-4</v>
      </c>
      <c r="F228">
        <f t="shared" si="20"/>
        <v>0.36158134349158805</v>
      </c>
      <c r="G228" s="10">
        <f t="shared" si="21"/>
        <v>4.8821851632962771E-4</v>
      </c>
      <c r="H228">
        <f t="shared" si="22"/>
        <v>5.370494179366787E-3</v>
      </c>
      <c r="I228" s="10">
        <f t="shared" si="23"/>
        <v>7.7265767205094624</v>
      </c>
    </row>
    <row r="229" spans="1:9">
      <c r="A229" t="s">
        <v>539</v>
      </c>
      <c r="B229" t="s">
        <v>286</v>
      </c>
      <c r="C229">
        <f>VLOOKUP(B229,Proteome!B:I,8,FALSE)</f>
        <v>3.0970299482795891E-4</v>
      </c>
      <c r="D229">
        <f t="shared" si="18"/>
        <v>0.3</v>
      </c>
      <c r="E229" s="10">
        <f t="shared" si="19"/>
        <v>9.2910898448387671E-5</v>
      </c>
      <c r="F229">
        <f t="shared" si="20"/>
        <v>0.36158134349158805</v>
      </c>
      <c r="G229" s="10">
        <f t="shared" si="21"/>
        <v>2.5695711385769875E-4</v>
      </c>
      <c r="H229">
        <f t="shared" si="22"/>
        <v>3.0645180219033711E-3</v>
      </c>
      <c r="I229" s="10">
        <f t="shared" si="23"/>
        <v>7.7265767205094624</v>
      </c>
    </row>
    <row r="230" spans="1:9">
      <c r="A230" t="s">
        <v>539</v>
      </c>
      <c r="B230" t="s">
        <v>288</v>
      </c>
      <c r="C230">
        <f>VLOOKUP(B230,Proteome!B:I,8,FALSE)</f>
        <v>3.0970299482795891E-4</v>
      </c>
      <c r="D230">
        <f t="shared" si="18"/>
        <v>0.3</v>
      </c>
      <c r="E230" s="10">
        <f t="shared" si="19"/>
        <v>9.2910898448387671E-5</v>
      </c>
      <c r="F230">
        <f t="shared" si="20"/>
        <v>0.36158134349158805</v>
      </c>
      <c r="G230" s="10">
        <f t="shared" si="21"/>
        <v>2.5695711385769875E-4</v>
      </c>
      <c r="H230">
        <f t="shared" si="22"/>
        <v>3.0645180219033711E-3</v>
      </c>
      <c r="I230" s="10">
        <f t="shared" si="23"/>
        <v>7.7265767205094624</v>
      </c>
    </row>
    <row r="231" spans="1:9">
      <c r="A231" t="s">
        <v>539</v>
      </c>
      <c r="B231" t="s">
        <v>290</v>
      </c>
      <c r="C231">
        <f>VLOOKUP(B231,Proteome!B:I,8,FALSE)</f>
        <v>3.0970299482795891E-4</v>
      </c>
      <c r="D231">
        <f t="shared" si="18"/>
        <v>0.3</v>
      </c>
      <c r="E231" s="10">
        <f t="shared" si="19"/>
        <v>9.2910898448387671E-5</v>
      </c>
      <c r="F231">
        <f t="shared" si="20"/>
        <v>0.36158134349158805</v>
      </c>
      <c r="G231" s="10">
        <f t="shared" si="21"/>
        <v>2.5695711385769875E-4</v>
      </c>
      <c r="H231">
        <f t="shared" si="22"/>
        <v>3.0645180219033711E-3</v>
      </c>
      <c r="I231" s="10">
        <f t="shared" si="23"/>
        <v>7.7265767205094624</v>
      </c>
    </row>
    <row r="232" spans="1:9">
      <c r="A232" t="s">
        <v>539</v>
      </c>
      <c r="B232" t="s">
        <v>291</v>
      </c>
      <c r="C232">
        <f>VLOOKUP(B232,Proteome!B:I,8,FALSE)</f>
        <v>3.0970299482795891E-4</v>
      </c>
      <c r="D232">
        <f t="shared" si="18"/>
        <v>0.3</v>
      </c>
      <c r="E232" s="10">
        <f t="shared" si="19"/>
        <v>9.2910898448387671E-5</v>
      </c>
      <c r="F232">
        <f t="shared" si="20"/>
        <v>0.36158134349158805</v>
      </c>
      <c r="G232" s="10">
        <f t="shared" si="21"/>
        <v>2.5695711385769875E-4</v>
      </c>
      <c r="H232">
        <f t="shared" si="22"/>
        <v>3.0645180219033711E-3</v>
      </c>
      <c r="I232" s="10">
        <f t="shared" si="23"/>
        <v>7.7265767205094624</v>
      </c>
    </row>
    <row r="233" spans="1:9">
      <c r="A233" t="s">
        <v>539</v>
      </c>
      <c r="B233" t="s">
        <v>292</v>
      </c>
      <c r="C233">
        <f>VLOOKUP(B233,Proteome!B:I,8,FALSE)</f>
        <v>3.0970299482795891E-4</v>
      </c>
      <c r="D233">
        <f t="shared" si="18"/>
        <v>0.3</v>
      </c>
      <c r="E233" s="10">
        <f t="shared" si="19"/>
        <v>9.2910898448387671E-5</v>
      </c>
      <c r="F233">
        <f t="shared" si="20"/>
        <v>0.36158134349158805</v>
      </c>
      <c r="G233" s="10">
        <f t="shared" si="21"/>
        <v>2.5695711385769875E-4</v>
      </c>
      <c r="H233">
        <f t="shared" si="22"/>
        <v>3.0645180219033711E-3</v>
      </c>
      <c r="I233" s="10">
        <f t="shared" si="23"/>
        <v>7.7265767205094624</v>
      </c>
    </row>
    <row r="234" spans="1:9">
      <c r="A234" t="s">
        <v>539</v>
      </c>
      <c r="B234" t="s">
        <v>293</v>
      </c>
      <c r="C234">
        <f>VLOOKUP(B234,Proteome!B:I,8,FALSE)</f>
        <v>3.0970299482795891E-4</v>
      </c>
      <c r="D234">
        <f t="shared" si="18"/>
        <v>0.3</v>
      </c>
      <c r="E234" s="10">
        <f t="shared" si="19"/>
        <v>9.2910898448387671E-5</v>
      </c>
      <c r="F234">
        <f t="shared" si="20"/>
        <v>0.36158134349158805</v>
      </c>
      <c r="G234" s="10">
        <f t="shared" si="21"/>
        <v>2.5695711385769875E-4</v>
      </c>
      <c r="H234">
        <f t="shared" si="22"/>
        <v>3.0645180219033711E-3</v>
      </c>
      <c r="I234" s="10">
        <f t="shared" si="23"/>
        <v>7.7265767205094624</v>
      </c>
    </row>
    <row r="235" spans="1:9">
      <c r="A235" t="s">
        <v>539</v>
      </c>
      <c r="B235" t="s">
        <v>296</v>
      </c>
      <c r="C235">
        <f>VLOOKUP(B235,Proteome!B:I,8,FALSE)</f>
        <v>5.8843569017312199E-4</v>
      </c>
      <c r="D235">
        <f t="shared" si="18"/>
        <v>0.3</v>
      </c>
      <c r="E235" s="10">
        <f t="shared" si="19"/>
        <v>1.765307070519366E-4</v>
      </c>
      <c r="F235">
        <f t="shared" si="20"/>
        <v>0.36158134349158805</v>
      </c>
      <c r="G235" s="10">
        <f t="shared" si="21"/>
        <v>4.8821851632962771E-4</v>
      </c>
      <c r="H235">
        <f t="shared" si="22"/>
        <v>5.370494179366787E-3</v>
      </c>
      <c r="I235" s="10">
        <f t="shared" si="23"/>
        <v>7.7265767205094624</v>
      </c>
    </row>
    <row r="236" spans="1:9">
      <c r="A236" t="s">
        <v>539</v>
      </c>
      <c r="B236" t="s">
        <v>301</v>
      </c>
      <c r="C236">
        <f>VLOOKUP(B236,Proteome!B:I,8,FALSE)</f>
        <v>3.0970299482795891E-4</v>
      </c>
      <c r="D236">
        <f t="shared" si="18"/>
        <v>0.3</v>
      </c>
      <c r="E236" s="10">
        <f t="shared" si="19"/>
        <v>9.2910898448387671E-5</v>
      </c>
      <c r="F236">
        <f t="shared" si="20"/>
        <v>0.36158134349158805</v>
      </c>
      <c r="G236" s="10">
        <f t="shared" si="21"/>
        <v>2.5695711385769875E-4</v>
      </c>
      <c r="H236">
        <f t="shared" si="22"/>
        <v>3.0645180219033711E-3</v>
      </c>
      <c r="I236" s="10">
        <f t="shared" si="23"/>
        <v>7.7265767205094624</v>
      </c>
    </row>
    <row r="237" spans="1:9">
      <c r="A237" t="s">
        <v>539</v>
      </c>
      <c r="B237" t="s">
        <v>302</v>
      </c>
      <c r="C237">
        <f>VLOOKUP(B237,Proteome!B:I,8,FALSE)</f>
        <v>3.0970299482795891E-4</v>
      </c>
      <c r="D237">
        <f t="shared" si="18"/>
        <v>0.3</v>
      </c>
      <c r="E237" s="10">
        <f t="shared" si="19"/>
        <v>9.2910898448387671E-5</v>
      </c>
      <c r="F237">
        <f t="shared" si="20"/>
        <v>0.36158134349158805</v>
      </c>
      <c r="G237" s="10">
        <f t="shared" si="21"/>
        <v>2.5695711385769875E-4</v>
      </c>
      <c r="H237">
        <f t="shared" si="22"/>
        <v>3.0645180219033711E-3</v>
      </c>
      <c r="I237" s="10">
        <f t="shared" si="23"/>
        <v>7.7265767205094624</v>
      </c>
    </row>
    <row r="238" spans="1:9">
      <c r="A238" t="s">
        <v>539</v>
      </c>
      <c r="B238" t="s">
        <v>303</v>
      </c>
      <c r="C238">
        <f>VLOOKUP(B238,Proteome!B:I,8,FALSE)</f>
        <v>5.8843569017312199E-4</v>
      </c>
      <c r="D238">
        <f t="shared" si="18"/>
        <v>0.3</v>
      </c>
      <c r="E238" s="10">
        <f t="shared" si="19"/>
        <v>1.765307070519366E-4</v>
      </c>
      <c r="F238">
        <f t="shared" si="20"/>
        <v>0.36158134349158805</v>
      </c>
      <c r="G238" s="10">
        <f t="shared" si="21"/>
        <v>4.8821851632962771E-4</v>
      </c>
      <c r="H238">
        <f t="shared" si="22"/>
        <v>5.370494179366787E-3</v>
      </c>
      <c r="I238" s="10">
        <f t="shared" si="23"/>
        <v>7.7265767205094624</v>
      </c>
    </row>
    <row r="239" spans="1:9">
      <c r="A239" t="s">
        <v>539</v>
      </c>
      <c r="B239" t="s">
        <v>304</v>
      </c>
      <c r="C239">
        <f>VLOOKUP(B239,Proteome!B:I,8,FALSE)</f>
        <v>5.8843569017312199E-4</v>
      </c>
      <c r="D239">
        <f t="shared" si="18"/>
        <v>0.3</v>
      </c>
      <c r="E239" s="10">
        <f t="shared" si="19"/>
        <v>1.765307070519366E-4</v>
      </c>
      <c r="F239">
        <f t="shared" si="20"/>
        <v>0.36158134349158805</v>
      </c>
      <c r="G239" s="10">
        <f t="shared" si="21"/>
        <v>4.8821851632962771E-4</v>
      </c>
      <c r="H239">
        <f t="shared" si="22"/>
        <v>5.370494179366787E-3</v>
      </c>
      <c r="I239" s="10">
        <f t="shared" si="23"/>
        <v>7.7265767205094624</v>
      </c>
    </row>
    <row r="240" spans="1:9">
      <c r="A240" t="s">
        <v>539</v>
      </c>
      <c r="B240" t="s">
        <v>305</v>
      </c>
      <c r="C240">
        <f>VLOOKUP(B240,Proteome!B:I,8,FALSE)</f>
        <v>3.0970299482795891E-4</v>
      </c>
      <c r="D240">
        <f t="shared" si="18"/>
        <v>0.3</v>
      </c>
      <c r="E240" s="10">
        <f t="shared" si="19"/>
        <v>9.2910898448387671E-5</v>
      </c>
      <c r="F240">
        <f t="shared" si="20"/>
        <v>0.36158134349158805</v>
      </c>
      <c r="G240" s="10">
        <f t="shared" si="21"/>
        <v>2.5695711385769875E-4</v>
      </c>
      <c r="H240">
        <f t="shared" si="22"/>
        <v>3.0645180219033711E-3</v>
      </c>
      <c r="I240" s="10">
        <f t="shared" si="23"/>
        <v>7.7265767205094624</v>
      </c>
    </row>
    <row r="241" spans="1:9">
      <c r="A241" t="s">
        <v>539</v>
      </c>
      <c r="B241" t="s">
        <v>306</v>
      </c>
      <c r="C241">
        <f>VLOOKUP(B241,Proteome!B:I,8,FALSE)</f>
        <v>5.8843569017312199E-4</v>
      </c>
      <c r="D241">
        <f t="shared" si="18"/>
        <v>0.3</v>
      </c>
      <c r="E241" s="10">
        <f t="shared" si="19"/>
        <v>1.765307070519366E-4</v>
      </c>
      <c r="F241">
        <f t="shared" si="20"/>
        <v>0.36158134349158805</v>
      </c>
      <c r="G241" s="10">
        <f t="shared" si="21"/>
        <v>4.8821851632962771E-4</v>
      </c>
      <c r="H241">
        <f t="shared" si="22"/>
        <v>5.370494179366787E-3</v>
      </c>
      <c r="I241" s="10">
        <f t="shared" si="23"/>
        <v>7.7265767205094624</v>
      </c>
    </row>
    <row r="242" spans="1:9">
      <c r="A242" t="s">
        <v>539</v>
      </c>
      <c r="B242" t="s">
        <v>309</v>
      </c>
      <c r="C242">
        <f>VLOOKUP(B242,Proteome!B:I,8,FALSE)</f>
        <v>5.8843569017312199E-4</v>
      </c>
      <c r="D242">
        <f t="shared" si="18"/>
        <v>0.3</v>
      </c>
      <c r="E242" s="10">
        <f t="shared" si="19"/>
        <v>1.765307070519366E-4</v>
      </c>
      <c r="F242">
        <f t="shared" si="20"/>
        <v>0.36158134349158805</v>
      </c>
      <c r="G242" s="10">
        <f t="shared" si="21"/>
        <v>4.8821851632962771E-4</v>
      </c>
      <c r="H242">
        <f t="shared" si="22"/>
        <v>5.370494179366787E-3</v>
      </c>
      <c r="I242" s="10">
        <f t="shared" si="23"/>
        <v>7.7265767205094624</v>
      </c>
    </row>
    <row r="243" spans="1:9">
      <c r="A243" t="s">
        <v>540</v>
      </c>
      <c r="B243" t="s">
        <v>235</v>
      </c>
      <c r="C243">
        <f>VLOOKUP(B243,Proteome!B:I,8,FALSE)</f>
        <v>3.0970299482795891E-4</v>
      </c>
      <c r="D243">
        <f t="shared" si="18"/>
        <v>0.3</v>
      </c>
      <c r="E243" s="10">
        <f t="shared" si="19"/>
        <v>9.2910898448387671E-5</v>
      </c>
      <c r="F243">
        <f t="shared" si="20"/>
        <v>0.36158134349158805</v>
      </c>
      <c r="G243" s="10">
        <f t="shared" si="21"/>
        <v>2.5695711385769875E-4</v>
      </c>
      <c r="H243">
        <f t="shared" si="22"/>
        <v>3.0645180219033711E-3</v>
      </c>
      <c r="I243" s="10">
        <f t="shared" si="23"/>
        <v>7.7265767205094624</v>
      </c>
    </row>
    <row r="244" spans="1:9">
      <c r="A244" t="s">
        <v>540</v>
      </c>
      <c r="B244" t="s">
        <v>238</v>
      </c>
      <c r="C244">
        <f>VLOOKUP(B244,Proteome!B:I,8,FALSE)</f>
        <v>5.8843569017312199E-4</v>
      </c>
      <c r="D244">
        <f t="shared" si="18"/>
        <v>0.3</v>
      </c>
      <c r="E244" s="10">
        <f t="shared" si="19"/>
        <v>1.765307070519366E-4</v>
      </c>
      <c r="F244">
        <f t="shared" si="20"/>
        <v>0.36158134349158805</v>
      </c>
      <c r="G244" s="10">
        <f t="shared" si="21"/>
        <v>4.8821851632962771E-4</v>
      </c>
      <c r="H244">
        <f t="shared" si="22"/>
        <v>5.370494179366787E-3</v>
      </c>
      <c r="I244" s="10">
        <f t="shared" si="23"/>
        <v>7.7265767205094624</v>
      </c>
    </row>
    <row r="245" spans="1:9">
      <c r="A245" t="s">
        <v>540</v>
      </c>
      <c r="B245" t="s">
        <v>239</v>
      </c>
      <c r="C245">
        <f>VLOOKUP(B245,Proteome!B:I,8,FALSE)</f>
        <v>5.8843569017312199E-4</v>
      </c>
      <c r="D245">
        <f t="shared" si="18"/>
        <v>0.3</v>
      </c>
      <c r="E245" s="10">
        <f t="shared" si="19"/>
        <v>1.765307070519366E-4</v>
      </c>
      <c r="F245">
        <f t="shared" si="20"/>
        <v>0.36158134349158805</v>
      </c>
      <c r="G245" s="10">
        <f t="shared" si="21"/>
        <v>4.8821851632962771E-4</v>
      </c>
      <c r="H245">
        <f t="shared" si="22"/>
        <v>5.370494179366787E-3</v>
      </c>
      <c r="I245" s="10">
        <f t="shared" si="23"/>
        <v>7.7265767205094624</v>
      </c>
    </row>
    <row r="246" spans="1:9">
      <c r="A246" t="s">
        <v>540</v>
      </c>
      <c r="B246" t="s">
        <v>241</v>
      </c>
      <c r="C246">
        <f>VLOOKUP(B246,Proteome!B:I,8,FALSE)</f>
        <v>3.0970299482795891E-4</v>
      </c>
      <c r="D246">
        <f t="shared" si="18"/>
        <v>0.3</v>
      </c>
      <c r="E246" s="10">
        <f t="shared" si="19"/>
        <v>9.2910898448387671E-5</v>
      </c>
      <c r="F246">
        <f t="shared" si="20"/>
        <v>0.36158134349158805</v>
      </c>
      <c r="G246" s="10">
        <f t="shared" si="21"/>
        <v>2.5695711385769875E-4</v>
      </c>
      <c r="H246">
        <f t="shared" si="22"/>
        <v>3.0645180219033711E-3</v>
      </c>
      <c r="I246" s="10">
        <f t="shared" si="23"/>
        <v>7.7265767205094624</v>
      </c>
    </row>
    <row r="247" spans="1:9">
      <c r="A247" t="s">
        <v>540</v>
      </c>
      <c r="B247" t="s">
        <v>242</v>
      </c>
      <c r="C247">
        <f>VLOOKUP(B247,Proteome!B:I,8,FALSE)</f>
        <v>5.8843569017312199E-4</v>
      </c>
      <c r="D247">
        <f t="shared" si="18"/>
        <v>0.3</v>
      </c>
      <c r="E247" s="10">
        <f t="shared" si="19"/>
        <v>1.765307070519366E-4</v>
      </c>
      <c r="F247">
        <f t="shared" si="20"/>
        <v>0.36158134349158805</v>
      </c>
      <c r="G247" s="10">
        <f t="shared" si="21"/>
        <v>4.8821851632962771E-4</v>
      </c>
      <c r="H247">
        <f t="shared" si="22"/>
        <v>5.370494179366787E-3</v>
      </c>
      <c r="I247" s="10">
        <f t="shared" si="23"/>
        <v>7.7265767205094624</v>
      </c>
    </row>
    <row r="248" spans="1:9">
      <c r="A248" t="s">
        <v>540</v>
      </c>
      <c r="B248" t="s">
        <v>243</v>
      </c>
      <c r="C248">
        <f>VLOOKUP(B248,Proteome!B:I,8,FALSE)</f>
        <v>5.8843569017312199E-4</v>
      </c>
      <c r="D248">
        <f t="shared" si="18"/>
        <v>0.3</v>
      </c>
      <c r="E248" s="10">
        <f t="shared" si="19"/>
        <v>1.765307070519366E-4</v>
      </c>
      <c r="F248">
        <f t="shared" si="20"/>
        <v>0.36158134349158805</v>
      </c>
      <c r="G248" s="10">
        <f t="shared" si="21"/>
        <v>4.8821851632962771E-4</v>
      </c>
      <c r="H248">
        <f t="shared" si="22"/>
        <v>5.370494179366787E-3</v>
      </c>
      <c r="I248" s="10">
        <f t="shared" si="23"/>
        <v>7.7265767205094624</v>
      </c>
    </row>
    <row r="249" spans="1:9">
      <c r="A249" t="s">
        <v>540</v>
      </c>
      <c r="B249" t="s">
        <v>244</v>
      </c>
      <c r="C249">
        <f>VLOOKUP(B249,Proteome!B:I,8,FALSE)</f>
        <v>3.0970299482795891E-4</v>
      </c>
      <c r="D249">
        <f t="shared" si="18"/>
        <v>0.3</v>
      </c>
      <c r="E249" s="10">
        <f t="shared" si="19"/>
        <v>9.2910898448387671E-5</v>
      </c>
      <c r="F249">
        <f t="shared" si="20"/>
        <v>0.36158134349158805</v>
      </c>
      <c r="G249" s="10">
        <f t="shared" si="21"/>
        <v>2.5695711385769875E-4</v>
      </c>
      <c r="H249">
        <f t="shared" si="22"/>
        <v>3.0645180219033711E-3</v>
      </c>
      <c r="I249" s="10">
        <f t="shared" si="23"/>
        <v>7.7265767205094624</v>
      </c>
    </row>
    <row r="250" spans="1:9">
      <c r="A250" t="s">
        <v>540</v>
      </c>
      <c r="B250" t="s">
        <v>248</v>
      </c>
      <c r="C250">
        <f>VLOOKUP(B250,Proteome!B:I,8,FALSE)</f>
        <v>5.8843569017312199E-4</v>
      </c>
      <c r="D250">
        <f t="shared" si="18"/>
        <v>0.3</v>
      </c>
      <c r="E250" s="10">
        <f t="shared" si="19"/>
        <v>1.765307070519366E-4</v>
      </c>
      <c r="F250">
        <f t="shared" si="20"/>
        <v>0.36158134349158805</v>
      </c>
      <c r="G250" s="10">
        <f t="shared" si="21"/>
        <v>4.8821851632962771E-4</v>
      </c>
      <c r="H250">
        <f t="shared" si="22"/>
        <v>5.370494179366787E-3</v>
      </c>
      <c r="I250" s="10">
        <f t="shared" si="23"/>
        <v>7.7265767205094624</v>
      </c>
    </row>
    <row r="251" spans="1:9">
      <c r="A251" t="s">
        <v>540</v>
      </c>
      <c r="B251" t="s">
        <v>249</v>
      </c>
      <c r="C251">
        <f>VLOOKUP(B251,Proteome!B:I,8,FALSE)</f>
        <v>3.0970299482795891E-4</v>
      </c>
      <c r="D251">
        <f t="shared" si="18"/>
        <v>0.3</v>
      </c>
      <c r="E251" s="10">
        <f t="shared" si="19"/>
        <v>9.2910898448387671E-5</v>
      </c>
      <c r="F251">
        <f t="shared" si="20"/>
        <v>0.36158134349158805</v>
      </c>
      <c r="G251" s="10">
        <f t="shared" si="21"/>
        <v>2.5695711385769875E-4</v>
      </c>
      <c r="H251">
        <f t="shared" si="22"/>
        <v>3.0645180219033711E-3</v>
      </c>
      <c r="I251" s="10">
        <f t="shared" si="23"/>
        <v>7.7265767205094624</v>
      </c>
    </row>
    <row r="252" spans="1:9">
      <c r="A252" t="s">
        <v>540</v>
      </c>
      <c r="B252" t="s">
        <v>250</v>
      </c>
      <c r="C252">
        <f>VLOOKUP(B252,Proteome!B:I,8,FALSE)</f>
        <v>5.8843569017312199E-4</v>
      </c>
      <c r="D252">
        <f t="shared" si="18"/>
        <v>0.3</v>
      </c>
      <c r="E252" s="10">
        <f t="shared" si="19"/>
        <v>1.765307070519366E-4</v>
      </c>
      <c r="F252">
        <f t="shared" si="20"/>
        <v>0.36158134349158805</v>
      </c>
      <c r="G252" s="10">
        <f t="shared" si="21"/>
        <v>4.8821851632962771E-4</v>
      </c>
      <c r="H252">
        <f t="shared" si="22"/>
        <v>5.370494179366787E-3</v>
      </c>
      <c r="I252" s="10">
        <f t="shared" si="23"/>
        <v>7.7265767205094624</v>
      </c>
    </row>
    <row r="253" spans="1:9">
      <c r="A253" t="s">
        <v>540</v>
      </c>
      <c r="B253" t="s">
        <v>251</v>
      </c>
      <c r="C253">
        <f>VLOOKUP(B253,Proteome!B:I,8,FALSE)</f>
        <v>5.8843569017312199E-4</v>
      </c>
      <c r="D253">
        <f t="shared" si="18"/>
        <v>0.3</v>
      </c>
      <c r="E253" s="10">
        <f t="shared" si="19"/>
        <v>1.765307070519366E-4</v>
      </c>
      <c r="F253">
        <f t="shared" si="20"/>
        <v>0.36158134349158805</v>
      </c>
      <c r="G253" s="10">
        <f t="shared" si="21"/>
        <v>4.8821851632962771E-4</v>
      </c>
      <c r="H253">
        <f t="shared" si="22"/>
        <v>5.370494179366787E-3</v>
      </c>
      <c r="I253" s="10">
        <f t="shared" si="23"/>
        <v>7.7265767205094624</v>
      </c>
    </row>
    <row r="254" spans="1:9">
      <c r="A254" t="s">
        <v>540</v>
      </c>
      <c r="B254" t="s">
        <v>252</v>
      </c>
      <c r="C254">
        <f>VLOOKUP(B254,Proteome!B:I,8,FALSE)</f>
        <v>5.8843569017312199E-4</v>
      </c>
      <c r="D254">
        <f t="shared" si="18"/>
        <v>0.3</v>
      </c>
      <c r="E254" s="10">
        <f t="shared" si="19"/>
        <v>1.765307070519366E-4</v>
      </c>
      <c r="F254">
        <f t="shared" si="20"/>
        <v>0.36158134349158805</v>
      </c>
      <c r="G254" s="10">
        <f t="shared" si="21"/>
        <v>4.8821851632962771E-4</v>
      </c>
      <c r="H254">
        <f t="shared" si="22"/>
        <v>5.370494179366787E-3</v>
      </c>
      <c r="I254" s="10">
        <f t="shared" si="23"/>
        <v>7.7265767205094624</v>
      </c>
    </row>
    <row r="255" spans="1:9">
      <c r="A255" t="s">
        <v>540</v>
      </c>
      <c r="B255" t="s">
        <v>253</v>
      </c>
      <c r="C255">
        <f>VLOOKUP(B255,Proteome!B:I,8,FALSE)</f>
        <v>5.8843569017312199E-4</v>
      </c>
      <c r="D255">
        <f t="shared" si="18"/>
        <v>0.3</v>
      </c>
      <c r="E255" s="10">
        <f t="shared" si="19"/>
        <v>1.765307070519366E-4</v>
      </c>
      <c r="F255">
        <f t="shared" si="20"/>
        <v>0.36158134349158805</v>
      </c>
      <c r="G255" s="10">
        <f t="shared" si="21"/>
        <v>4.8821851632962771E-4</v>
      </c>
      <c r="H255">
        <f t="shared" si="22"/>
        <v>5.370494179366787E-3</v>
      </c>
      <c r="I255" s="10">
        <f t="shared" si="23"/>
        <v>7.7265767205094624</v>
      </c>
    </row>
    <row r="256" spans="1:9">
      <c r="A256" t="s">
        <v>540</v>
      </c>
      <c r="B256" t="s">
        <v>254</v>
      </c>
      <c r="C256">
        <f>VLOOKUP(B256,Proteome!B:I,8,FALSE)</f>
        <v>5.8843569017312199E-4</v>
      </c>
      <c r="D256">
        <f t="shared" si="18"/>
        <v>0.3</v>
      </c>
      <c r="E256" s="10">
        <f t="shared" si="19"/>
        <v>1.765307070519366E-4</v>
      </c>
      <c r="F256">
        <f t="shared" si="20"/>
        <v>0.36158134349158805</v>
      </c>
      <c r="G256" s="10">
        <f t="shared" si="21"/>
        <v>4.8821851632962771E-4</v>
      </c>
      <c r="H256">
        <f t="shared" si="22"/>
        <v>5.370494179366787E-3</v>
      </c>
      <c r="I256" s="10">
        <f t="shared" si="23"/>
        <v>7.7265767205094624</v>
      </c>
    </row>
    <row r="257" spans="1:9">
      <c r="A257" t="s">
        <v>540</v>
      </c>
      <c r="B257" t="s">
        <v>258</v>
      </c>
      <c r="C257">
        <f>VLOOKUP(B257,Proteome!B:I,8,FALSE)</f>
        <v>5.8843569017312199E-4</v>
      </c>
      <c r="D257">
        <f t="shared" si="18"/>
        <v>0.3</v>
      </c>
      <c r="E257" s="10">
        <f t="shared" si="19"/>
        <v>1.765307070519366E-4</v>
      </c>
      <c r="F257">
        <f t="shared" si="20"/>
        <v>0.36158134349158805</v>
      </c>
      <c r="G257" s="10">
        <f t="shared" si="21"/>
        <v>4.8821851632962771E-4</v>
      </c>
      <c r="H257">
        <f t="shared" si="22"/>
        <v>5.370494179366787E-3</v>
      </c>
      <c r="I257" s="10">
        <f t="shared" si="23"/>
        <v>7.7265767205094624</v>
      </c>
    </row>
    <row r="258" spans="1:9">
      <c r="A258" t="s">
        <v>540</v>
      </c>
      <c r="B258" t="s">
        <v>259</v>
      </c>
      <c r="C258">
        <f>VLOOKUP(B258,Proteome!B:I,8,FALSE)</f>
        <v>3.0970299482795891E-4</v>
      </c>
      <c r="D258">
        <f t="shared" ref="D258:D321" si="24">VLOOKUP(A258,$K$2:$L$12,2,FALSE)</f>
        <v>0.3</v>
      </c>
      <c r="E258" s="10">
        <f t="shared" ref="E258:E321" si="25">C258*D258</f>
        <v>9.2910898448387671E-5</v>
      </c>
      <c r="F258">
        <f t="shared" ref="F258:F321" si="26">SUM($E$2:$E$522)</f>
        <v>0.36158134349158805</v>
      </c>
      <c r="G258" s="10">
        <f t="shared" ref="G258:G321" si="27">E258/F258</f>
        <v>2.5695711385769875E-4</v>
      </c>
      <c r="H258">
        <f t="shared" ref="H258:H321" si="28">-G258*LOG(G258,2)</f>
        <v>3.0645180219033711E-3</v>
      </c>
      <c r="I258" s="10">
        <f t="shared" ref="I258:I321" si="29">SUM($H$2:$H$522)</f>
        <v>7.7265767205094624</v>
      </c>
    </row>
    <row r="259" spans="1:9">
      <c r="A259" t="s">
        <v>540</v>
      </c>
      <c r="B259" t="s">
        <v>260</v>
      </c>
      <c r="C259">
        <f>VLOOKUP(B259,Proteome!B:I,8,FALSE)</f>
        <v>3.0970299482795891E-4</v>
      </c>
      <c r="D259">
        <f t="shared" si="24"/>
        <v>0.3</v>
      </c>
      <c r="E259" s="10">
        <f t="shared" si="25"/>
        <v>9.2910898448387671E-5</v>
      </c>
      <c r="F259">
        <f t="shared" si="26"/>
        <v>0.36158134349158805</v>
      </c>
      <c r="G259" s="10">
        <f t="shared" si="27"/>
        <v>2.5695711385769875E-4</v>
      </c>
      <c r="H259">
        <f t="shared" si="28"/>
        <v>3.0645180219033711E-3</v>
      </c>
      <c r="I259" s="10">
        <f t="shared" si="29"/>
        <v>7.7265767205094624</v>
      </c>
    </row>
    <row r="260" spans="1:9">
      <c r="A260" t="s">
        <v>540</v>
      </c>
      <c r="B260" t="s">
        <v>261</v>
      </c>
      <c r="C260">
        <f>VLOOKUP(B260,Proteome!B:I,8,FALSE)</f>
        <v>3.0970299482795891E-4</v>
      </c>
      <c r="D260">
        <f t="shared" si="24"/>
        <v>0.3</v>
      </c>
      <c r="E260" s="10">
        <f t="shared" si="25"/>
        <v>9.2910898448387671E-5</v>
      </c>
      <c r="F260">
        <f t="shared" si="26"/>
        <v>0.36158134349158805</v>
      </c>
      <c r="G260" s="10">
        <f t="shared" si="27"/>
        <v>2.5695711385769875E-4</v>
      </c>
      <c r="H260">
        <f t="shared" si="28"/>
        <v>3.0645180219033711E-3</v>
      </c>
      <c r="I260" s="10">
        <f t="shared" si="29"/>
        <v>7.7265767205094624</v>
      </c>
    </row>
    <row r="261" spans="1:9">
      <c r="A261" t="s">
        <v>540</v>
      </c>
      <c r="B261" t="s">
        <v>262</v>
      </c>
      <c r="C261">
        <f>VLOOKUP(B261,Proteome!B:I,8,FALSE)</f>
        <v>5.8843569017312199E-4</v>
      </c>
      <c r="D261">
        <f t="shared" si="24"/>
        <v>0.3</v>
      </c>
      <c r="E261" s="10">
        <f t="shared" si="25"/>
        <v>1.765307070519366E-4</v>
      </c>
      <c r="F261">
        <f t="shared" si="26"/>
        <v>0.36158134349158805</v>
      </c>
      <c r="G261" s="10">
        <f t="shared" si="27"/>
        <v>4.8821851632962771E-4</v>
      </c>
      <c r="H261">
        <f t="shared" si="28"/>
        <v>5.370494179366787E-3</v>
      </c>
      <c r="I261" s="10">
        <f t="shared" si="29"/>
        <v>7.7265767205094624</v>
      </c>
    </row>
    <row r="262" spans="1:9">
      <c r="A262" t="s">
        <v>540</v>
      </c>
      <c r="B262" t="s">
        <v>263</v>
      </c>
      <c r="C262">
        <f>VLOOKUP(B262,Proteome!B:I,8,FALSE)</f>
        <v>5.8843569017312199E-4</v>
      </c>
      <c r="D262">
        <f t="shared" si="24"/>
        <v>0.3</v>
      </c>
      <c r="E262" s="10">
        <f t="shared" si="25"/>
        <v>1.765307070519366E-4</v>
      </c>
      <c r="F262">
        <f t="shared" si="26"/>
        <v>0.36158134349158805</v>
      </c>
      <c r="G262" s="10">
        <f t="shared" si="27"/>
        <v>4.8821851632962771E-4</v>
      </c>
      <c r="H262">
        <f t="shared" si="28"/>
        <v>5.370494179366787E-3</v>
      </c>
      <c r="I262" s="10">
        <f t="shared" si="29"/>
        <v>7.7265767205094624</v>
      </c>
    </row>
    <row r="263" spans="1:9">
      <c r="A263" t="s">
        <v>541</v>
      </c>
      <c r="B263" t="s">
        <v>213</v>
      </c>
      <c r="C263">
        <f>VLOOKUP(B263,Proteome!B:I,8,FALSE)</f>
        <v>5.8843569017312199E-4</v>
      </c>
      <c r="D263">
        <f t="shared" si="24"/>
        <v>0.3</v>
      </c>
      <c r="E263" s="10">
        <f t="shared" si="25"/>
        <v>1.765307070519366E-4</v>
      </c>
      <c r="F263">
        <f t="shared" si="26"/>
        <v>0.36158134349158805</v>
      </c>
      <c r="G263" s="10">
        <f t="shared" si="27"/>
        <v>4.8821851632962771E-4</v>
      </c>
      <c r="H263">
        <f t="shared" si="28"/>
        <v>5.370494179366787E-3</v>
      </c>
      <c r="I263" s="10">
        <f t="shared" si="29"/>
        <v>7.7265767205094624</v>
      </c>
    </row>
    <row r="264" spans="1:9">
      <c r="A264" t="s">
        <v>541</v>
      </c>
      <c r="B264" t="s">
        <v>214</v>
      </c>
      <c r="C264">
        <f>VLOOKUP(B264,Proteome!B:I,8,FALSE)</f>
        <v>5.8843569017312199E-4</v>
      </c>
      <c r="D264">
        <f t="shared" si="24"/>
        <v>0.3</v>
      </c>
      <c r="E264" s="10">
        <f t="shared" si="25"/>
        <v>1.765307070519366E-4</v>
      </c>
      <c r="F264">
        <f t="shared" si="26"/>
        <v>0.36158134349158805</v>
      </c>
      <c r="G264" s="10">
        <f t="shared" si="27"/>
        <v>4.8821851632962771E-4</v>
      </c>
      <c r="H264">
        <f t="shared" si="28"/>
        <v>5.370494179366787E-3</v>
      </c>
      <c r="I264" s="10">
        <f t="shared" si="29"/>
        <v>7.7265767205094624</v>
      </c>
    </row>
    <row r="265" spans="1:9">
      <c r="A265" t="s">
        <v>541</v>
      </c>
      <c r="B265" t="s">
        <v>216</v>
      </c>
      <c r="C265">
        <f>VLOOKUP(B265,Proteome!B:I,8,FALSE)</f>
        <v>3.0970299482795891E-4</v>
      </c>
      <c r="D265">
        <f t="shared" si="24"/>
        <v>0.3</v>
      </c>
      <c r="E265" s="10">
        <f t="shared" si="25"/>
        <v>9.2910898448387671E-5</v>
      </c>
      <c r="F265">
        <f t="shared" si="26"/>
        <v>0.36158134349158805</v>
      </c>
      <c r="G265" s="10">
        <f t="shared" si="27"/>
        <v>2.5695711385769875E-4</v>
      </c>
      <c r="H265">
        <f t="shared" si="28"/>
        <v>3.0645180219033711E-3</v>
      </c>
      <c r="I265" s="10">
        <f t="shared" si="29"/>
        <v>7.7265767205094624</v>
      </c>
    </row>
    <row r="266" spans="1:9">
      <c r="A266" t="s">
        <v>541</v>
      </c>
      <c r="B266" t="s">
        <v>217</v>
      </c>
      <c r="C266">
        <f>VLOOKUP(B266,Proteome!B:I,8,FALSE)</f>
        <v>5.8843569017312199E-4</v>
      </c>
      <c r="D266">
        <f t="shared" si="24"/>
        <v>0.3</v>
      </c>
      <c r="E266" s="10">
        <f t="shared" si="25"/>
        <v>1.765307070519366E-4</v>
      </c>
      <c r="F266">
        <f t="shared" si="26"/>
        <v>0.36158134349158805</v>
      </c>
      <c r="G266" s="10">
        <f t="shared" si="27"/>
        <v>4.8821851632962771E-4</v>
      </c>
      <c r="H266">
        <f t="shared" si="28"/>
        <v>5.370494179366787E-3</v>
      </c>
      <c r="I266" s="10">
        <f t="shared" si="29"/>
        <v>7.7265767205094624</v>
      </c>
    </row>
    <row r="267" spans="1:9">
      <c r="A267" t="s">
        <v>541</v>
      </c>
      <c r="B267" t="s">
        <v>218</v>
      </c>
      <c r="C267">
        <f>VLOOKUP(B267,Proteome!B:I,8,FALSE)</f>
        <v>5.8843569017312199E-4</v>
      </c>
      <c r="D267">
        <f t="shared" si="24"/>
        <v>0.3</v>
      </c>
      <c r="E267" s="10">
        <f t="shared" si="25"/>
        <v>1.765307070519366E-4</v>
      </c>
      <c r="F267">
        <f t="shared" si="26"/>
        <v>0.36158134349158805</v>
      </c>
      <c r="G267" s="10">
        <f t="shared" si="27"/>
        <v>4.8821851632962771E-4</v>
      </c>
      <c r="H267">
        <f t="shared" si="28"/>
        <v>5.370494179366787E-3</v>
      </c>
      <c r="I267" s="10">
        <f t="shared" si="29"/>
        <v>7.7265767205094624</v>
      </c>
    </row>
    <row r="268" spans="1:9">
      <c r="A268" t="s">
        <v>541</v>
      </c>
      <c r="B268" t="s">
        <v>219</v>
      </c>
      <c r="C268">
        <f>VLOOKUP(B268,Proteome!B:I,8,FALSE)</f>
        <v>5.8843569017312199E-4</v>
      </c>
      <c r="D268">
        <f t="shared" si="24"/>
        <v>0.3</v>
      </c>
      <c r="E268" s="10">
        <f t="shared" si="25"/>
        <v>1.765307070519366E-4</v>
      </c>
      <c r="F268">
        <f t="shared" si="26"/>
        <v>0.36158134349158805</v>
      </c>
      <c r="G268" s="10">
        <f t="shared" si="27"/>
        <v>4.8821851632962771E-4</v>
      </c>
      <c r="H268">
        <f t="shared" si="28"/>
        <v>5.370494179366787E-3</v>
      </c>
      <c r="I268" s="10">
        <f t="shared" si="29"/>
        <v>7.7265767205094624</v>
      </c>
    </row>
    <row r="269" spans="1:9">
      <c r="A269" t="s">
        <v>541</v>
      </c>
      <c r="B269" t="s">
        <v>221</v>
      </c>
      <c r="C269">
        <f>VLOOKUP(B269,Proteome!B:I,8,FALSE)</f>
        <v>3.0970299482795891E-4</v>
      </c>
      <c r="D269">
        <f t="shared" si="24"/>
        <v>0.3</v>
      </c>
      <c r="E269" s="10">
        <f t="shared" si="25"/>
        <v>9.2910898448387671E-5</v>
      </c>
      <c r="F269">
        <f t="shared" si="26"/>
        <v>0.36158134349158805</v>
      </c>
      <c r="G269" s="10">
        <f t="shared" si="27"/>
        <v>2.5695711385769875E-4</v>
      </c>
      <c r="H269">
        <f t="shared" si="28"/>
        <v>3.0645180219033711E-3</v>
      </c>
      <c r="I269" s="10">
        <f t="shared" si="29"/>
        <v>7.7265767205094624</v>
      </c>
    </row>
    <row r="270" spans="1:9">
      <c r="A270" t="s">
        <v>540</v>
      </c>
      <c r="B270" t="s">
        <v>266</v>
      </c>
      <c r="C270">
        <f>VLOOKUP(B270,Proteome!B:I,8,FALSE)</f>
        <v>5.8843569017312199E-4</v>
      </c>
      <c r="D270">
        <f t="shared" si="24"/>
        <v>0.3</v>
      </c>
      <c r="E270" s="10">
        <f t="shared" si="25"/>
        <v>1.765307070519366E-4</v>
      </c>
      <c r="F270">
        <f t="shared" si="26"/>
        <v>0.36158134349158805</v>
      </c>
      <c r="G270" s="10">
        <f t="shared" si="27"/>
        <v>4.8821851632962771E-4</v>
      </c>
      <c r="H270">
        <f t="shared" si="28"/>
        <v>5.370494179366787E-3</v>
      </c>
      <c r="I270" s="10">
        <f t="shared" si="29"/>
        <v>7.7265767205094624</v>
      </c>
    </row>
    <row r="271" spans="1:9">
      <c r="A271" t="s">
        <v>540</v>
      </c>
      <c r="B271" t="s">
        <v>271</v>
      </c>
      <c r="C271">
        <f>VLOOKUP(B271,Proteome!B:I,8,FALSE)</f>
        <v>3.0970299482795891E-4</v>
      </c>
      <c r="D271">
        <f t="shared" si="24"/>
        <v>0.3</v>
      </c>
      <c r="E271" s="10">
        <f t="shared" si="25"/>
        <v>9.2910898448387671E-5</v>
      </c>
      <c r="F271">
        <f t="shared" si="26"/>
        <v>0.36158134349158805</v>
      </c>
      <c r="G271" s="10">
        <f t="shared" si="27"/>
        <v>2.5695711385769875E-4</v>
      </c>
      <c r="H271">
        <f t="shared" si="28"/>
        <v>3.0645180219033711E-3</v>
      </c>
      <c r="I271" s="10">
        <f t="shared" si="29"/>
        <v>7.7265767205094624</v>
      </c>
    </row>
    <row r="272" spans="1:9">
      <c r="A272" t="s">
        <v>539</v>
      </c>
      <c r="B272" t="s">
        <v>312</v>
      </c>
      <c r="C272">
        <f>VLOOKUP(B272,Proteome!B:I,8,FALSE)</f>
        <v>3.0970299482795891E-4</v>
      </c>
      <c r="D272">
        <f t="shared" si="24"/>
        <v>0.3</v>
      </c>
      <c r="E272" s="10">
        <f t="shared" si="25"/>
        <v>9.2910898448387671E-5</v>
      </c>
      <c r="F272">
        <f t="shared" si="26"/>
        <v>0.36158134349158805</v>
      </c>
      <c r="G272" s="10">
        <f t="shared" si="27"/>
        <v>2.5695711385769875E-4</v>
      </c>
      <c r="H272">
        <f t="shared" si="28"/>
        <v>3.0645180219033711E-3</v>
      </c>
      <c r="I272" s="10">
        <f t="shared" si="29"/>
        <v>7.7265767205094624</v>
      </c>
    </row>
    <row r="273" spans="1:9">
      <c r="A273" t="s">
        <v>539</v>
      </c>
      <c r="B273" t="s">
        <v>313</v>
      </c>
      <c r="C273">
        <f>VLOOKUP(B273,Proteome!B:I,8,FALSE)</f>
        <v>3.0970299482795891E-4</v>
      </c>
      <c r="D273">
        <f t="shared" si="24"/>
        <v>0.3</v>
      </c>
      <c r="E273" s="10">
        <f t="shared" si="25"/>
        <v>9.2910898448387671E-5</v>
      </c>
      <c r="F273">
        <f t="shared" si="26"/>
        <v>0.36158134349158805</v>
      </c>
      <c r="G273" s="10">
        <f t="shared" si="27"/>
        <v>2.5695711385769875E-4</v>
      </c>
      <c r="H273">
        <f t="shared" si="28"/>
        <v>3.0645180219033711E-3</v>
      </c>
      <c r="I273" s="10">
        <f t="shared" si="29"/>
        <v>7.7265767205094624</v>
      </c>
    </row>
    <row r="274" spans="1:9">
      <c r="A274" t="s">
        <v>540</v>
      </c>
      <c r="B274" t="s">
        <v>274</v>
      </c>
      <c r="C274">
        <f>VLOOKUP(B274,Proteome!B:I,8,FALSE)</f>
        <v>5.8843569017312199E-4</v>
      </c>
      <c r="D274">
        <f t="shared" si="24"/>
        <v>0.3</v>
      </c>
      <c r="E274" s="10">
        <f t="shared" si="25"/>
        <v>1.765307070519366E-4</v>
      </c>
      <c r="F274">
        <f t="shared" si="26"/>
        <v>0.36158134349158805</v>
      </c>
      <c r="G274" s="10">
        <f t="shared" si="27"/>
        <v>4.8821851632962771E-4</v>
      </c>
      <c r="H274">
        <f t="shared" si="28"/>
        <v>5.370494179366787E-3</v>
      </c>
      <c r="I274" s="10">
        <f t="shared" si="29"/>
        <v>7.7265767205094624</v>
      </c>
    </row>
    <row r="275" spans="1:9">
      <c r="A275" t="s">
        <v>540</v>
      </c>
      <c r="B275" t="s">
        <v>278</v>
      </c>
      <c r="C275">
        <f>VLOOKUP(B275,Proteome!B:I,8,FALSE)</f>
        <v>3.0970299482795891E-4</v>
      </c>
      <c r="D275">
        <f t="shared" si="24"/>
        <v>0.3</v>
      </c>
      <c r="E275" s="10">
        <f t="shared" si="25"/>
        <v>9.2910898448387671E-5</v>
      </c>
      <c r="F275">
        <f t="shared" si="26"/>
        <v>0.36158134349158805</v>
      </c>
      <c r="G275" s="10">
        <f t="shared" si="27"/>
        <v>2.5695711385769875E-4</v>
      </c>
      <c r="H275">
        <f t="shared" si="28"/>
        <v>3.0645180219033711E-3</v>
      </c>
      <c r="I275" s="10">
        <f t="shared" si="29"/>
        <v>7.7265767205094624</v>
      </c>
    </row>
    <row r="276" spans="1:9">
      <c r="A276" t="s">
        <v>540</v>
      </c>
      <c r="B276" t="s">
        <v>280</v>
      </c>
      <c r="C276">
        <f>VLOOKUP(B276,Proteome!B:I,8,FALSE)</f>
        <v>3.0970299482795891E-4</v>
      </c>
      <c r="D276">
        <f t="shared" si="24"/>
        <v>0.3</v>
      </c>
      <c r="E276" s="10">
        <f t="shared" si="25"/>
        <v>9.2910898448387671E-5</v>
      </c>
      <c r="F276">
        <f t="shared" si="26"/>
        <v>0.36158134349158805</v>
      </c>
      <c r="G276" s="10">
        <f t="shared" si="27"/>
        <v>2.5695711385769875E-4</v>
      </c>
      <c r="H276">
        <f t="shared" si="28"/>
        <v>3.0645180219033711E-3</v>
      </c>
      <c r="I276" s="10">
        <f t="shared" si="29"/>
        <v>7.7265767205094624</v>
      </c>
    </row>
    <row r="277" spans="1:9">
      <c r="A277" t="s">
        <v>540</v>
      </c>
      <c r="B277" t="s">
        <v>281</v>
      </c>
      <c r="C277">
        <f>VLOOKUP(B277,Proteome!B:I,8,FALSE)</f>
        <v>3.0970299482795891E-4</v>
      </c>
      <c r="D277">
        <f t="shared" si="24"/>
        <v>0.3</v>
      </c>
      <c r="E277" s="10">
        <f t="shared" si="25"/>
        <v>9.2910898448387671E-5</v>
      </c>
      <c r="F277">
        <f t="shared" si="26"/>
        <v>0.36158134349158805</v>
      </c>
      <c r="G277" s="10">
        <f t="shared" si="27"/>
        <v>2.5695711385769875E-4</v>
      </c>
      <c r="H277">
        <f t="shared" si="28"/>
        <v>3.0645180219033711E-3</v>
      </c>
      <c r="I277" s="10">
        <f t="shared" si="29"/>
        <v>7.7265767205094624</v>
      </c>
    </row>
    <row r="278" spans="1:9">
      <c r="A278" t="s">
        <v>540</v>
      </c>
      <c r="B278" t="s">
        <v>283</v>
      </c>
      <c r="C278">
        <f>VLOOKUP(B278,Proteome!B:I,8,FALSE)</f>
        <v>5.8843569017312199E-4</v>
      </c>
      <c r="D278">
        <f t="shared" si="24"/>
        <v>0.3</v>
      </c>
      <c r="E278" s="10">
        <f t="shared" si="25"/>
        <v>1.765307070519366E-4</v>
      </c>
      <c r="F278">
        <f t="shared" si="26"/>
        <v>0.36158134349158805</v>
      </c>
      <c r="G278" s="10">
        <f t="shared" si="27"/>
        <v>4.8821851632962771E-4</v>
      </c>
      <c r="H278">
        <f t="shared" si="28"/>
        <v>5.370494179366787E-3</v>
      </c>
      <c r="I278" s="10">
        <f t="shared" si="29"/>
        <v>7.7265767205094624</v>
      </c>
    </row>
    <row r="279" spans="1:9">
      <c r="A279" t="s">
        <v>540</v>
      </c>
      <c r="B279" t="s">
        <v>284</v>
      </c>
      <c r="C279">
        <f>VLOOKUP(B279,Proteome!B:I,8,FALSE)</f>
        <v>5.8843569017312199E-4</v>
      </c>
      <c r="D279">
        <f t="shared" si="24"/>
        <v>0.3</v>
      </c>
      <c r="E279" s="10">
        <f t="shared" si="25"/>
        <v>1.765307070519366E-4</v>
      </c>
      <c r="F279">
        <f t="shared" si="26"/>
        <v>0.36158134349158805</v>
      </c>
      <c r="G279" s="10">
        <f t="shared" si="27"/>
        <v>4.8821851632962771E-4</v>
      </c>
      <c r="H279">
        <f t="shared" si="28"/>
        <v>5.370494179366787E-3</v>
      </c>
      <c r="I279" s="10">
        <f t="shared" si="29"/>
        <v>7.7265767205094624</v>
      </c>
    </row>
    <row r="280" spans="1:9">
      <c r="A280" t="s">
        <v>539</v>
      </c>
      <c r="B280" t="s">
        <v>315</v>
      </c>
      <c r="C280">
        <f>VLOOKUP(B280,Proteome!B:I,8,FALSE)</f>
        <v>5.8843569017312199E-4</v>
      </c>
      <c r="D280">
        <f t="shared" si="24"/>
        <v>0.3</v>
      </c>
      <c r="E280" s="10">
        <f t="shared" si="25"/>
        <v>1.765307070519366E-4</v>
      </c>
      <c r="F280">
        <f t="shared" si="26"/>
        <v>0.36158134349158805</v>
      </c>
      <c r="G280" s="10">
        <f t="shared" si="27"/>
        <v>4.8821851632962771E-4</v>
      </c>
      <c r="H280">
        <f t="shared" si="28"/>
        <v>5.370494179366787E-3</v>
      </c>
      <c r="I280" s="10">
        <f t="shared" si="29"/>
        <v>7.7265767205094624</v>
      </c>
    </row>
    <row r="281" spans="1:9">
      <c r="A281" t="s">
        <v>539</v>
      </c>
      <c r="B281" t="s">
        <v>316</v>
      </c>
      <c r="C281">
        <f>VLOOKUP(B281,Proteome!B:I,8,FALSE)</f>
        <v>5.8843569017312199E-4</v>
      </c>
      <c r="D281">
        <f t="shared" si="24"/>
        <v>0.3</v>
      </c>
      <c r="E281" s="10">
        <f t="shared" si="25"/>
        <v>1.765307070519366E-4</v>
      </c>
      <c r="F281">
        <f t="shared" si="26"/>
        <v>0.36158134349158805</v>
      </c>
      <c r="G281" s="10">
        <f t="shared" si="27"/>
        <v>4.8821851632962771E-4</v>
      </c>
      <c r="H281">
        <f t="shared" si="28"/>
        <v>5.370494179366787E-3</v>
      </c>
      <c r="I281" s="10">
        <f t="shared" si="29"/>
        <v>7.7265767205094624</v>
      </c>
    </row>
    <row r="282" spans="1:9">
      <c r="A282" t="s">
        <v>540</v>
      </c>
      <c r="B282" t="s">
        <v>285</v>
      </c>
      <c r="C282">
        <f>VLOOKUP(B282,Proteome!B:I,8,FALSE)</f>
        <v>5.8843569017312199E-4</v>
      </c>
      <c r="D282">
        <f t="shared" si="24"/>
        <v>0.3</v>
      </c>
      <c r="E282" s="10">
        <f t="shared" si="25"/>
        <v>1.765307070519366E-4</v>
      </c>
      <c r="F282">
        <f t="shared" si="26"/>
        <v>0.36158134349158805</v>
      </c>
      <c r="G282" s="10">
        <f t="shared" si="27"/>
        <v>4.8821851632962771E-4</v>
      </c>
      <c r="H282">
        <f t="shared" si="28"/>
        <v>5.370494179366787E-3</v>
      </c>
      <c r="I282" s="10">
        <f t="shared" si="29"/>
        <v>7.7265767205094624</v>
      </c>
    </row>
    <row r="283" spans="1:9">
      <c r="A283" t="s">
        <v>539</v>
      </c>
      <c r="B283" t="s">
        <v>319</v>
      </c>
      <c r="C283">
        <f>VLOOKUP(B283,Proteome!B:I,8,FALSE)</f>
        <v>3.0970299482795891E-4</v>
      </c>
      <c r="D283">
        <f t="shared" si="24"/>
        <v>0.3</v>
      </c>
      <c r="E283" s="10">
        <f t="shared" si="25"/>
        <v>9.2910898448387671E-5</v>
      </c>
      <c r="F283">
        <f t="shared" si="26"/>
        <v>0.36158134349158805</v>
      </c>
      <c r="G283" s="10">
        <f t="shared" si="27"/>
        <v>2.5695711385769875E-4</v>
      </c>
      <c r="H283">
        <f t="shared" si="28"/>
        <v>3.0645180219033711E-3</v>
      </c>
      <c r="I283" s="10">
        <f t="shared" si="29"/>
        <v>7.7265767205094624</v>
      </c>
    </row>
    <row r="284" spans="1:9">
      <c r="A284" t="s">
        <v>524</v>
      </c>
      <c r="B284" t="s">
        <v>6</v>
      </c>
      <c r="C284">
        <f>VLOOKUP(B284,Proteome!B:I,8,FALSE)</f>
        <v>5.5901390566446578E-3</v>
      </c>
      <c r="D284">
        <f t="shared" si="24"/>
        <v>0.1</v>
      </c>
      <c r="E284" s="10">
        <f t="shared" si="25"/>
        <v>5.5901390566446575E-4</v>
      </c>
      <c r="F284">
        <f t="shared" si="26"/>
        <v>0.36158134349158805</v>
      </c>
      <c r="G284" s="10">
        <f t="shared" si="27"/>
        <v>1.5460253017104872E-3</v>
      </c>
      <c r="H284">
        <f t="shared" si="28"/>
        <v>1.4435578915799977E-2</v>
      </c>
      <c r="I284" s="10">
        <f t="shared" si="29"/>
        <v>7.7265767205094624</v>
      </c>
    </row>
    <row r="285" spans="1:9">
      <c r="A285" t="s">
        <v>534</v>
      </c>
      <c r="B285" t="s">
        <v>86</v>
      </c>
      <c r="C285">
        <f>VLOOKUP(B285,Proteome!B:I,8,FALSE)</f>
        <v>5.5901390566446578E-3</v>
      </c>
      <c r="D285">
        <f t="shared" si="24"/>
        <v>0.1</v>
      </c>
      <c r="E285" s="10">
        <f t="shared" si="25"/>
        <v>5.5901390566446575E-4</v>
      </c>
      <c r="F285">
        <f t="shared" si="26"/>
        <v>0.36158134349158805</v>
      </c>
      <c r="G285" s="10">
        <f t="shared" si="27"/>
        <v>1.5460253017104872E-3</v>
      </c>
      <c r="H285">
        <f t="shared" si="28"/>
        <v>1.4435578915799977E-2</v>
      </c>
      <c r="I285" s="10">
        <f t="shared" si="29"/>
        <v>7.7265767205094624</v>
      </c>
    </row>
    <row r="286" spans="1:9">
      <c r="A286" t="s">
        <v>534</v>
      </c>
      <c r="B286" t="s">
        <v>92</v>
      </c>
      <c r="C286">
        <f>VLOOKUP(B286,Proteome!B:I,8,FALSE)</f>
        <v>5.5901390566446578E-3</v>
      </c>
      <c r="D286">
        <f t="shared" si="24"/>
        <v>0.1</v>
      </c>
      <c r="E286" s="10">
        <f t="shared" si="25"/>
        <v>5.5901390566446575E-4</v>
      </c>
      <c r="F286">
        <f t="shared" si="26"/>
        <v>0.36158134349158805</v>
      </c>
      <c r="G286" s="10">
        <f t="shared" si="27"/>
        <v>1.5460253017104872E-3</v>
      </c>
      <c r="H286">
        <f t="shared" si="28"/>
        <v>1.4435578915799977E-2</v>
      </c>
      <c r="I286" s="10">
        <f t="shared" si="29"/>
        <v>7.7265767205094624</v>
      </c>
    </row>
    <row r="287" spans="1:9">
      <c r="A287" t="s">
        <v>534</v>
      </c>
      <c r="B287" t="s">
        <v>98</v>
      </c>
      <c r="C287">
        <f>VLOOKUP(B287,Proteome!B:I,8,FALSE)</f>
        <v>5.5901390566446578E-3</v>
      </c>
      <c r="D287">
        <f t="shared" si="24"/>
        <v>0.1</v>
      </c>
      <c r="E287" s="10">
        <f t="shared" si="25"/>
        <v>5.5901390566446575E-4</v>
      </c>
      <c r="F287">
        <f t="shared" si="26"/>
        <v>0.36158134349158805</v>
      </c>
      <c r="G287" s="10">
        <f t="shared" si="27"/>
        <v>1.5460253017104872E-3</v>
      </c>
      <c r="H287">
        <f t="shared" si="28"/>
        <v>1.4435578915799977E-2</v>
      </c>
      <c r="I287" s="10">
        <f t="shared" si="29"/>
        <v>7.7265767205094624</v>
      </c>
    </row>
    <row r="288" spans="1:9">
      <c r="A288" t="s">
        <v>524</v>
      </c>
      <c r="B288" t="s">
        <v>25</v>
      </c>
      <c r="C288">
        <f>VLOOKUP(B288,Proteome!B:I,8,FALSE)</f>
        <v>5.5901390566446578E-3</v>
      </c>
      <c r="D288">
        <f t="shared" si="24"/>
        <v>0.1</v>
      </c>
      <c r="E288" s="10">
        <f t="shared" si="25"/>
        <v>5.5901390566446575E-4</v>
      </c>
      <c r="F288">
        <f t="shared" si="26"/>
        <v>0.36158134349158805</v>
      </c>
      <c r="G288" s="10">
        <f t="shared" si="27"/>
        <v>1.5460253017104872E-3</v>
      </c>
      <c r="H288">
        <f t="shared" si="28"/>
        <v>1.4435578915799977E-2</v>
      </c>
      <c r="I288" s="10">
        <f t="shared" si="29"/>
        <v>7.7265767205094624</v>
      </c>
    </row>
    <row r="289" spans="1:9">
      <c r="A289" t="s">
        <v>524</v>
      </c>
      <c r="B289" t="s">
        <v>27</v>
      </c>
      <c r="C289">
        <f>VLOOKUP(B289,Proteome!B:I,8,FALSE)</f>
        <v>5.5901390566446578E-3</v>
      </c>
      <c r="D289">
        <f t="shared" si="24"/>
        <v>0.1</v>
      </c>
      <c r="E289" s="10">
        <f t="shared" si="25"/>
        <v>5.5901390566446575E-4</v>
      </c>
      <c r="F289">
        <f t="shared" si="26"/>
        <v>0.36158134349158805</v>
      </c>
      <c r="G289" s="10">
        <f t="shared" si="27"/>
        <v>1.5460253017104872E-3</v>
      </c>
      <c r="H289">
        <f t="shared" si="28"/>
        <v>1.4435578915799977E-2</v>
      </c>
      <c r="I289" s="10">
        <f t="shared" si="29"/>
        <v>7.7265767205094624</v>
      </c>
    </row>
    <row r="290" spans="1:9">
      <c r="A290" t="s">
        <v>524</v>
      </c>
      <c r="B290" t="s">
        <v>28</v>
      </c>
      <c r="C290">
        <f>VLOOKUP(B290,Proteome!B:I,8,FALSE)</f>
        <v>5.5901390566446578E-3</v>
      </c>
      <c r="D290">
        <f t="shared" si="24"/>
        <v>0.1</v>
      </c>
      <c r="E290" s="10">
        <f t="shared" si="25"/>
        <v>5.5901390566446575E-4</v>
      </c>
      <c r="F290">
        <f t="shared" si="26"/>
        <v>0.36158134349158805</v>
      </c>
      <c r="G290" s="10">
        <f t="shared" si="27"/>
        <v>1.5460253017104872E-3</v>
      </c>
      <c r="H290">
        <f t="shared" si="28"/>
        <v>1.4435578915799977E-2</v>
      </c>
      <c r="I290" s="10">
        <f t="shared" si="29"/>
        <v>7.7265767205094624</v>
      </c>
    </row>
    <row r="291" spans="1:9">
      <c r="A291" t="s">
        <v>524</v>
      </c>
      <c r="B291" t="s">
        <v>32</v>
      </c>
      <c r="C291">
        <f>VLOOKUP(B291,Proteome!B:I,8,FALSE)</f>
        <v>5.5901390566446578E-3</v>
      </c>
      <c r="D291">
        <f t="shared" si="24"/>
        <v>0.1</v>
      </c>
      <c r="E291" s="10">
        <f t="shared" si="25"/>
        <v>5.5901390566446575E-4</v>
      </c>
      <c r="F291">
        <f t="shared" si="26"/>
        <v>0.36158134349158805</v>
      </c>
      <c r="G291" s="10">
        <f t="shared" si="27"/>
        <v>1.5460253017104872E-3</v>
      </c>
      <c r="H291">
        <f t="shared" si="28"/>
        <v>1.4435578915799977E-2</v>
      </c>
      <c r="I291" s="10">
        <f t="shared" si="29"/>
        <v>7.7265767205094624</v>
      </c>
    </row>
    <row r="292" spans="1:9">
      <c r="A292" t="s">
        <v>524</v>
      </c>
      <c r="B292" t="s">
        <v>36</v>
      </c>
      <c r="C292">
        <f>VLOOKUP(B292,Proteome!B:I,8,FALSE)</f>
        <v>5.5901390566446578E-3</v>
      </c>
      <c r="D292">
        <f t="shared" si="24"/>
        <v>0.1</v>
      </c>
      <c r="E292" s="10">
        <f t="shared" si="25"/>
        <v>5.5901390566446575E-4</v>
      </c>
      <c r="F292">
        <f t="shared" si="26"/>
        <v>0.36158134349158805</v>
      </c>
      <c r="G292" s="10">
        <f t="shared" si="27"/>
        <v>1.5460253017104872E-3</v>
      </c>
      <c r="H292">
        <f t="shared" si="28"/>
        <v>1.4435578915799977E-2</v>
      </c>
      <c r="I292" s="10">
        <f t="shared" si="29"/>
        <v>7.7265767205094624</v>
      </c>
    </row>
    <row r="293" spans="1:9">
      <c r="A293" t="s">
        <v>524</v>
      </c>
      <c r="B293" t="s">
        <v>44</v>
      </c>
      <c r="C293">
        <f>VLOOKUP(B293,Proteome!B:I,8,FALSE)</f>
        <v>5.5901390566446578E-3</v>
      </c>
      <c r="D293">
        <f t="shared" si="24"/>
        <v>0.1</v>
      </c>
      <c r="E293" s="10">
        <f t="shared" si="25"/>
        <v>5.5901390566446575E-4</v>
      </c>
      <c r="F293">
        <f t="shared" si="26"/>
        <v>0.36158134349158805</v>
      </c>
      <c r="G293" s="10">
        <f t="shared" si="27"/>
        <v>1.5460253017104872E-3</v>
      </c>
      <c r="H293">
        <f t="shared" si="28"/>
        <v>1.4435578915799977E-2</v>
      </c>
      <c r="I293" s="10">
        <f t="shared" si="29"/>
        <v>7.7265767205094624</v>
      </c>
    </row>
    <row r="294" spans="1:9">
      <c r="A294" t="s">
        <v>524</v>
      </c>
      <c r="B294" t="s">
        <v>45</v>
      </c>
      <c r="C294">
        <f>VLOOKUP(B294,Proteome!B:I,8,FALSE)</f>
        <v>5.5901390566446578E-3</v>
      </c>
      <c r="D294">
        <f t="shared" si="24"/>
        <v>0.1</v>
      </c>
      <c r="E294" s="10">
        <f t="shared" si="25"/>
        <v>5.5901390566446575E-4</v>
      </c>
      <c r="F294">
        <f t="shared" si="26"/>
        <v>0.36158134349158805</v>
      </c>
      <c r="G294" s="10">
        <f t="shared" si="27"/>
        <v>1.5460253017104872E-3</v>
      </c>
      <c r="H294">
        <f t="shared" si="28"/>
        <v>1.4435578915799977E-2</v>
      </c>
      <c r="I294" s="10">
        <f t="shared" si="29"/>
        <v>7.7265767205094624</v>
      </c>
    </row>
    <row r="295" spans="1:9">
      <c r="A295" t="s">
        <v>534</v>
      </c>
      <c r="B295" t="s">
        <v>130</v>
      </c>
      <c r="C295">
        <f>VLOOKUP(B295,Proteome!B:I,8,FALSE)</f>
        <v>5.5901390566446578E-3</v>
      </c>
      <c r="D295">
        <f t="shared" si="24"/>
        <v>0.1</v>
      </c>
      <c r="E295" s="10">
        <f t="shared" si="25"/>
        <v>5.5901390566446575E-4</v>
      </c>
      <c r="F295">
        <f t="shared" si="26"/>
        <v>0.36158134349158805</v>
      </c>
      <c r="G295" s="10">
        <f t="shared" si="27"/>
        <v>1.5460253017104872E-3</v>
      </c>
      <c r="H295">
        <f t="shared" si="28"/>
        <v>1.4435578915799977E-2</v>
      </c>
      <c r="I295" s="10">
        <f t="shared" si="29"/>
        <v>7.7265767205094624</v>
      </c>
    </row>
    <row r="296" spans="1:9">
      <c r="A296" t="s">
        <v>534</v>
      </c>
      <c r="B296" t="s">
        <v>64</v>
      </c>
      <c r="C296">
        <f>VLOOKUP(B296,Proteome!B:I,8,FALSE)</f>
        <v>4.1190498312118524E-3</v>
      </c>
      <c r="D296">
        <f t="shared" si="24"/>
        <v>0.1</v>
      </c>
      <c r="E296" s="10">
        <f t="shared" si="25"/>
        <v>4.1190498312118526E-4</v>
      </c>
      <c r="F296">
        <f t="shared" si="26"/>
        <v>0.36158134349158805</v>
      </c>
      <c r="G296" s="10">
        <f t="shared" si="27"/>
        <v>1.1391765381024643E-3</v>
      </c>
      <c r="H296">
        <f t="shared" si="28"/>
        <v>1.1138632318448423E-2</v>
      </c>
      <c r="I296" s="10">
        <f t="shared" si="29"/>
        <v>7.7265767205094624</v>
      </c>
    </row>
    <row r="297" spans="1:9">
      <c r="A297" t="s">
        <v>534</v>
      </c>
      <c r="B297" t="s">
        <v>117</v>
      </c>
      <c r="C297">
        <f>VLOOKUP(B297,Proteome!B:I,8,FALSE)</f>
        <v>4.1190498312118524E-3</v>
      </c>
      <c r="D297">
        <f t="shared" si="24"/>
        <v>0.1</v>
      </c>
      <c r="E297" s="10">
        <f t="shared" si="25"/>
        <v>4.1190498312118526E-4</v>
      </c>
      <c r="F297">
        <f t="shared" si="26"/>
        <v>0.36158134349158805</v>
      </c>
      <c r="G297" s="10">
        <f t="shared" si="27"/>
        <v>1.1391765381024643E-3</v>
      </c>
      <c r="H297">
        <f t="shared" si="28"/>
        <v>1.1138632318448423E-2</v>
      </c>
      <c r="I297" s="10">
        <f t="shared" si="29"/>
        <v>7.7265767205094624</v>
      </c>
    </row>
    <row r="298" spans="1:9">
      <c r="A298" t="s">
        <v>524</v>
      </c>
      <c r="B298" t="s">
        <v>2</v>
      </c>
      <c r="C298">
        <f>VLOOKUP(B298,Proteome!B:I,8,FALSE)</f>
        <v>5.5901390566446578E-3</v>
      </c>
      <c r="D298">
        <f t="shared" si="24"/>
        <v>0.1</v>
      </c>
      <c r="E298" s="10">
        <f t="shared" si="25"/>
        <v>5.5901390566446575E-4</v>
      </c>
      <c r="F298">
        <f t="shared" si="26"/>
        <v>0.36158134349158805</v>
      </c>
      <c r="G298" s="10">
        <f t="shared" si="27"/>
        <v>1.5460253017104872E-3</v>
      </c>
      <c r="H298">
        <f t="shared" si="28"/>
        <v>1.4435578915799977E-2</v>
      </c>
      <c r="I298" s="10">
        <f t="shared" si="29"/>
        <v>7.7265767205094624</v>
      </c>
    </row>
    <row r="299" spans="1:9">
      <c r="A299" t="s">
        <v>534</v>
      </c>
      <c r="B299" t="s">
        <v>63</v>
      </c>
      <c r="C299">
        <f>VLOOKUP(B299,Proteome!B:I,8,FALSE)</f>
        <v>5.5901390566446578E-3</v>
      </c>
      <c r="D299">
        <f t="shared" si="24"/>
        <v>0.1</v>
      </c>
      <c r="E299" s="10">
        <f t="shared" si="25"/>
        <v>5.5901390566446575E-4</v>
      </c>
      <c r="F299">
        <f t="shared" si="26"/>
        <v>0.36158134349158805</v>
      </c>
      <c r="G299" s="10">
        <f t="shared" si="27"/>
        <v>1.5460253017104872E-3</v>
      </c>
      <c r="H299">
        <f t="shared" si="28"/>
        <v>1.4435578915799977E-2</v>
      </c>
      <c r="I299" s="10">
        <f t="shared" si="29"/>
        <v>7.7265767205094624</v>
      </c>
    </row>
    <row r="300" spans="1:9">
      <c r="A300" t="s">
        <v>524</v>
      </c>
      <c r="B300" t="s">
        <v>7</v>
      </c>
      <c r="C300">
        <f>VLOOKUP(B300,Proteome!B:I,8,FALSE)</f>
        <v>5.5901390566446578E-3</v>
      </c>
      <c r="D300">
        <f t="shared" si="24"/>
        <v>0.1</v>
      </c>
      <c r="E300" s="10">
        <f t="shared" si="25"/>
        <v>5.5901390566446575E-4</v>
      </c>
      <c r="F300">
        <f t="shared" si="26"/>
        <v>0.36158134349158805</v>
      </c>
      <c r="G300" s="10">
        <f t="shared" si="27"/>
        <v>1.5460253017104872E-3</v>
      </c>
      <c r="H300">
        <f t="shared" si="28"/>
        <v>1.4435578915799977E-2</v>
      </c>
      <c r="I300" s="10">
        <f t="shared" si="29"/>
        <v>7.7265767205094624</v>
      </c>
    </row>
    <row r="301" spans="1:9">
      <c r="A301" t="s">
        <v>534</v>
      </c>
      <c r="B301" t="s">
        <v>69</v>
      </c>
      <c r="C301">
        <f>VLOOKUP(B301,Proteome!B:I,8,FALSE)</f>
        <v>5.5901390566446578E-3</v>
      </c>
      <c r="D301">
        <f t="shared" si="24"/>
        <v>0.1</v>
      </c>
      <c r="E301" s="10">
        <f t="shared" si="25"/>
        <v>5.5901390566446575E-4</v>
      </c>
      <c r="F301">
        <f t="shared" si="26"/>
        <v>0.36158134349158805</v>
      </c>
      <c r="G301" s="10">
        <f t="shared" si="27"/>
        <v>1.5460253017104872E-3</v>
      </c>
      <c r="H301">
        <f t="shared" si="28"/>
        <v>1.4435578915799977E-2</v>
      </c>
      <c r="I301" s="10">
        <f t="shared" si="29"/>
        <v>7.7265767205094624</v>
      </c>
    </row>
    <row r="302" spans="1:9">
      <c r="A302" t="s">
        <v>534</v>
      </c>
      <c r="B302" t="s">
        <v>87</v>
      </c>
      <c r="C302">
        <f>VLOOKUP(B302,Proteome!B:I,8,FALSE)</f>
        <v>5.5901390566446578E-3</v>
      </c>
      <c r="D302">
        <f t="shared" si="24"/>
        <v>0.1</v>
      </c>
      <c r="E302" s="10">
        <f t="shared" si="25"/>
        <v>5.5901390566446575E-4</v>
      </c>
      <c r="F302">
        <f t="shared" si="26"/>
        <v>0.36158134349158805</v>
      </c>
      <c r="G302" s="10">
        <f t="shared" si="27"/>
        <v>1.5460253017104872E-3</v>
      </c>
      <c r="H302">
        <f t="shared" si="28"/>
        <v>1.4435578915799977E-2</v>
      </c>
      <c r="I302" s="10">
        <f t="shared" si="29"/>
        <v>7.7265767205094624</v>
      </c>
    </row>
    <row r="303" spans="1:9">
      <c r="A303" t="s">
        <v>524</v>
      </c>
      <c r="B303" t="s">
        <v>18</v>
      </c>
      <c r="C303">
        <f>VLOOKUP(B303,Proteome!B:I,8,FALSE)</f>
        <v>2.9421784508656093E-3</v>
      </c>
      <c r="D303">
        <f t="shared" si="24"/>
        <v>0.1</v>
      </c>
      <c r="E303" s="10">
        <f t="shared" si="25"/>
        <v>2.9421784508656094E-4</v>
      </c>
      <c r="F303">
        <f t="shared" si="26"/>
        <v>0.36158134349158805</v>
      </c>
      <c r="G303" s="10">
        <f t="shared" si="27"/>
        <v>8.1369752721604605E-4</v>
      </c>
      <c r="H303">
        <f t="shared" si="28"/>
        <v>8.3511565506616311E-3</v>
      </c>
      <c r="I303" s="10">
        <f t="shared" si="29"/>
        <v>7.7265767205094624</v>
      </c>
    </row>
    <row r="304" spans="1:9">
      <c r="A304" t="s">
        <v>534</v>
      </c>
      <c r="B304" t="s">
        <v>89</v>
      </c>
      <c r="C304">
        <f>VLOOKUP(B304,Proteome!B:I,8,FALSE)</f>
        <v>5.5901390566446578E-3</v>
      </c>
      <c r="D304">
        <f t="shared" si="24"/>
        <v>0.1</v>
      </c>
      <c r="E304" s="10">
        <f t="shared" si="25"/>
        <v>5.5901390566446575E-4</v>
      </c>
      <c r="F304">
        <f t="shared" si="26"/>
        <v>0.36158134349158805</v>
      </c>
      <c r="G304" s="10">
        <f t="shared" si="27"/>
        <v>1.5460253017104872E-3</v>
      </c>
      <c r="H304">
        <f t="shared" si="28"/>
        <v>1.4435578915799977E-2</v>
      </c>
      <c r="I304" s="10">
        <f t="shared" si="29"/>
        <v>7.7265767205094624</v>
      </c>
    </row>
    <row r="305" spans="1:9">
      <c r="A305" t="s">
        <v>534</v>
      </c>
      <c r="B305" t="s">
        <v>91</v>
      </c>
      <c r="C305">
        <f>VLOOKUP(B305,Proteome!B:I,8,FALSE)</f>
        <v>5.5901390566446578E-3</v>
      </c>
      <c r="D305">
        <f t="shared" si="24"/>
        <v>0.1</v>
      </c>
      <c r="E305" s="10">
        <f t="shared" si="25"/>
        <v>5.5901390566446575E-4</v>
      </c>
      <c r="F305">
        <f t="shared" si="26"/>
        <v>0.36158134349158805</v>
      </c>
      <c r="G305" s="10">
        <f t="shared" si="27"/>
        <v>1.5460253017104872E-3</v>
      </c>
      <c r="H305">
        <f t="shared" si="28"/>
        <v>1.4435578915799977E-2</v>
      </c>
      <c r="I305" s="10">
        <f t="shared" si="29"/>
        <v>7.7265767205094624</v>
      </c>
    </row>
    <row r="306" spans="1:9">
      <c r="A306" t="s">
        <v>524</v>
      </c>
      <c r="B306" t="s">
        <v>22</v>
      </c>
      <c r="C306">
        <f>VLOOKUP(B306,Proteome!B:I,8,FALSE)</f>
        <v>5.5901390566446578E-3</v>
      </c>
      <c r="D306">
        <f t="shared" si="24"/>
        <v>0.1</v>
      </c>
      <c r="E306" s="10">
        <f t="shared" si="25"/>
        <v>5.5901390566446575E-4</v>
      </c>
      <c r="F306">
        <f t="shared" si="26"/>
        <v>0.36158134349158805</v>
      </c>
      <c r="G306" s="10">
        <f t="shared" si="27"/>
        <v>1.5460253017104872E-3</v>
      </c>
      <c r="H306">
        <f t="shared" si="28"/>
        <v>1.4435578915799977E-2</v>
      </c>
      <c r="I306" s="10">
        <f t="shared" si="29"/>
        <v>7.7265767205094624</v>
      </c>
    </row>
    <row r="307" spans="1:9">
      <c r="A307" t="s">
        <v>534</v>
      </c>
      <c r="B307" t="s">
        <v>105</v>
      </c>
      <c r="C307">
        <f>VLOOKUP(B307,Proteome!B:I,8,FALSE)</f>
        <v>2.9421784508656093E-3</v>
      </c>
      <c r="D307">
        <f t="shared" si="24"/>
        <v>0.1</v>
      </c>
      <c r="E307" s="10">
        <f t="shared" si="25"/>
        <v>2.9421784508656094E-4</v>
      </c>
      <c r="F307">
        <f t="shared" si="26"/>
        <v>0.36158134349158805</v>
      </c>
      <c r="G307" s="10">
        <f t="shared" si="27"/>
        <v>8.1369752721604605E-4</v>
      </c>
      <c r="H307">
        <f t="shared" si="28"/>
        <v>8.3511565506616311E-3</v>
      </c>
      <c r="I307" s="10">
        <f t="shared" si="29"/>
        <v>7.7265767205094624</v>
      </c>
    </row>
    <row r="308" spans="1:9">
      <c r="A308" t="s">
        <v>524</v>
      </c>
      <c r="B308" t="s">
        <v>43</v>
      </c>
      <c r="C308">
        <f>VLOOKUP(B308,Proteome!B:I,8,FALSE)</f>
        <v>5.5901390566446578E-3</v>
      </c>
      <c r="D308">
        <f t="shared" si="24"/>
        <v>0.1</v>
      </c>
      <c r="E308" s="10">
        <f t="shared" si="25"/>
        <v>5.5901390566446575E-4</v>
      </c>
      <c r="F308">
        <f t="shared" si="26"/>
        <v>0.36158134349158805</v>
      </c>
      <c r="G308" s="10">
        <f t="shared" si="27"/>
        <v>1.5460253017104872E-3</v>
      </c>
      <c r="H308">
        <f t="shared" si="28"/>
        <v>1.4435578915799977E-2</v>
      </c>
      <c r="I308" s="10">
        <f t="shared" si="29"/>
        <v>7.7265767205094624</v>
      </c>
    </row>
    <row r="309" spans="1:9">
      <c r="A309" t="s">
        <v>524</v>
      </c>
      <c r="B309" t="s">
        <v>48</v>
      </c>
      <c r="C309">
        <f>VLOOKUP(B309,Proteome!B:I,8,FALSE)</f>
        <v>5.5901390566446578E-3</v>
      </c>
      <c r="D309">
        <f t="shared" si="24"/>
        <v>0.1</v>
      </c>
      <c r="E309" s="10">
        <f t="shared" si="25"/>
        <v>5.5901390566446575E-4</v>
      </c>
      <c r="F309">
        <f t="shared" si="26"/>
        <v>0.36158134349158805</v>
      </c>
      <c r="G309" s="10">
        <f t="shared" si="27"/>
        <v>1.5460253017104872E-3</v>
      </c>
      <c r="H309">
        <f t="shared" si="28"/>
        <v>1.4435578915799977E-2</v>
      </c>
      <c r="I309" s="10">
        <f t="shared" si="29"/>
        <v>7.7265767205094624</v>
      </c>
    </row>
    <row r="310" spans="1:9">
      <c r="A310" t="s">
        <v>524</v>
      </c>
      <c r="B310" t="s">
        <v>54</v>
      </c>
      <c r="C310">
        <f>VLOOKUP(B310,Proteome!B:I,8,FALSE)</f>
        <v>2.9421784508656093E-3</v>
      </c>
      <c r="D310">
        <f t="shared" si="24"/>
        <v>0.1</v>
      </c>
      <c r="E310" s="10">
        <f t="shared" si="25"/>
        <v>2.9421784508656094E-4</v>
      </c>
      <c r="F310">
        <f t="shared" si="26"/>
        <v>0.36158134349158805</v>
      </c>
      <c r="G310" s="10">
        <f t="shared" si="27"/>
        <v>8.1369752721604605E-4</v>
      </c>
      <c r="H310">
        <f t="shared" si="28"/>
        <v>8.3511565506616311E-3</v>
      </c>
      <c r="I310" s="10">
        <f t="shared" si="29"/>
        <v>7.7265767205094624</v>
      </c>
    </row>
    <row r="311" spans="1:9">
      <c r="A311" t="s">
        <v>534</v>
      </c>
      <c r="B311" t="s">
        <v>119</v>
      </c>
      <c r="C311">
        <f>VLOOKUP(B311,Proteome!B:I,8,FALSE)</f>
        <v>5.5901390566446578E-3</v>
      </c>
      <c r="D311">
        <f t="shared" si="24"/>
        <v>0.1</v>
      </c>
      <c r="E311" s="10">
        <f t="shared" si="25"/>
        <v>5.5901390566446575E-4</v>
      </c>
      <c r="F311">
        <f t="shared" si="26"/>
        <v>0.36158134349158805</v>
      </c>
      <c r="G311" s="10">
        <f t="shared" si="27"/>
        <v>1.5460253017104872E-3</v>
      </c>
      <c r="H311">
        <f t="shared" si="28"/>
        <v>1.4435578915799977E-2</v>
      </c>
      <c r="I311" s="10">
        <f t="shared" si="29"/>
        <v>7.7265767205094624</v>
      </c>
    </row>
    <row r="312" spans="1:9">
      <c r="A312" t="s">
        <v>524</v>
      </c>
      <c r="B312" t="s">
        <v>55</v>
      </c>
      <c r="C312">
        <f>VLOOKUP(B312,Proteome!B:I,8,FALSE)</f>
        <v>5.5901390566446578E-3</v>
      </c>
      <c r="D312">
        <f t="shared" si="24"/>
        <v>0.1</v>
      </c>
      <c r="E312" s="10">
        <f t="shared" si="25"/>
        <v>5.5901390566446575E-4</v>
      </c>
      <c r="F312">
        <f t="shared" si="26"/>
        <v>0.36158134349158805</v>
      </c>
      <c r="G312" s="10">
        <f t="shared" si="27"/>
        <v>1.5460253017104872E-3</v>
      </c>
      <c r="H312">
        <f t="shared" si="28"/>
        <v>1.4435578915799977E-2</v>
      </c>
      <c r="I312" s="10">
        <f t="shared" si="29"/>
        <v>7.7265767205094624</v>
      </c>
    </row>
    <row r="313" spans="1:9">
      <c r="A313" t="s">
        <v>524</v>
      </c>
      <c r="B313" t="s">
        <v>0</v>
      </c>
      <c r="C313">
        <f>VLOOKUP(B313,Proteome!B:I,8,FALSE)</f>
        <v>4.1190498312118524E-3</v>
      </c>
      <c r="D313">
        <f t="shared" si="24"/>
        <v>0.1</v>
      </c>
      <c r="E313" s="10">
        <f t="shared" si="25"/>
        <v>4.1190498312118526E-4</v>
      </c>
      <c r="F313">
        <f t="shared" si="26"/>
        <v>0.36158134349158805</v>
      </c>
      <c r="G313" s="10">
        <f t="shared" si="27"/>
        <v>1.1391765381024643E-3</v>
      </c>
      <c r="H313">
        <f t="shared" si="28"/>
        <v>1.1138632318448423E-2</v>
      </c>
      <c r="I313" s="10">
        <f t="shared" si="29"/>
        <v>7.7265767205094624</v>
      </c>
    </row>
    <row r="314" spans="1:9">
      <c r="A314" t="s">
        <v>524</v>
      </c>
      <c r="B314" t="s">
        <v>3</v>
      </c>
      <c r="C314">
        <f>VLOOKUP(B314,Proteome!B:I,8,FALSE)</f>
        <v>4.1190498312118524E-3</v>
      </c>
      <c r="D314">
        <f t="shared" si="24"/>
        <v>0.1</v>
      </c>
      <c r="E314" s="10">
        <f t="shared" si="25"/>
        <v>4.1190498312118526E-4</v>
      </c>
      <c r="F314">
        <f t="shared" si="26"/>
        <v>0.36158134349158805</v>
      </c>
      <c r="G314" s="10">
        <f t="shared" si="27"/>
        <v>1.1391765381024643E-3</v>
      </c>
      <c r="H314">
        <f t="shared" si="28"/>
        <v>1.1138632318448423E-2</v>
      </c>
      <c r="I314" s="10">
        <f t="shared" si="29"/>
        <v>7.7265767205094624</v>
      </c>
    </row>
    <row r="315" spans="1:9">
      <c r="A315" t="s">
        <v>524</v>
      </c>
      <c r="B315" t="s">
        <v>4</v>
      </c>
      <c r="C315">
        <f>VLOOKUP(B315,Proteome!B:I,8,FALSE)</f>
        <v>4.1190498312118524E-3</v>
      </c>
      <c r="D315">
        <f t="shared" si="24"/>
        <v>0.1</v>
      </c>
      <c r="E315" s="10">
        <f t="shared" si="25"/>
        <v>4.1190498312118526E-4</v>
      </c>
      <c r="F315">
        <f t="shared" si="26"/>
        <v>0.36158134349158805</v>
      </c>
      <c r="G315" s="10">
        <f t="shared" si="27"/>
        <v>1.1391765381024643E-3</v>
      </c>
      <c r="H315">
        <f t="shared" si="28"/>
        <v>1.1138632318448423E-2</v>
      </c>
      <c r="I315" s="10">
        <f t="shared" si="29"/>
        <v>7.7265767205094624</v>
      </c>
    </row>
    <row r="316" spans="1:9">
      <c r="A316" t="s">
        <v>534</v>
      </c>
      <c r="B316" t="s">
        <v>65</v>
      </c>
      <c r="C316">
        <f>VLOOKUP(B316,Proteome!B:I,8,FALSE)</f>
        <v>4.1190498312118524E-3</v>
      </c>
      <c r="D316">
        <f t="shared" si="24"/>
        <v>0.1</v>
      </c>
      <c r="E316" s="10">
        <f t="shared" si="25"/>
        <v>4.1190498312118526E-4</v>
      </c>
      <c r="F316">
        <f t="shared" si="26"/>
        <v>0.36158134349158805</v>
      </c>
      <c r="G316" s="10">
        <f t="shared" si="27"/>
        <v>1.1391765381024643E-3</v>
      </c>
      <c r="H316">
        <f t="shared" si="28"/>
        <v>1.1138632318448423E-2</v>
      </c>
      <c r="I316" s="10">
        <f t="shared" si="29"/>
        <v>7.7265767205094624</v>
      </c>
    </row>
    <row r="317" spans="1:9">
      <c r="A317" t="s">
        <v>534</v>
      </c>
      <c r="B317" t="s">
        <v>68</v>
      </c>
      <c r="C317">
        <f>VLOOKUP(B317,Proteome!B:I,8,FALSE)</f>
        <v>4.1190498312118524E-3</v>
      </c>
      <c r="D317">
        <f t="shared" si="24"/>
        <v>0.1</v>
      </c>
      <c r="E317" s="10">
        <f t="shared" si="25"/>
        <v>4.1190498312118526E-4</v>
      </c>
      <c r="F317">
        <f t="shared" si="26"/>
        <v>0.36158134349158805</v>
      </c>
      <c r="G317" s="10">
        <f t="shared" si="27"/>
        <v>1.1391765381024643E-3</v>
      </c>
      <c r="H317">
        <f t="shared" si="28"/>
        <v>1.1138632318448423E-2</v>
      </c>
      <c r="I317" s="10">
        <f t="shared" si="29"/>
        <v>7.7265767205094624</v>
      </c>
    </row>
    <row r="318" spans="1:9">
      <c r="A318" t="s">
        <v>524</v>
      </c>
      <c r="B318" t="s">
        <v>5</v>
      </c>
      <c r="C318">
        <f>VLOOKUP(B318,Proteome!B:I,8,FALSE)</f>
        <v>4.1190498312118524E-3</v>
      </c>
      <c r="D318">
        <f t="shared" si="24"/>
        <v>0.1</v>
      </c>
      <c r="E318" s="10">
        <f t="shared" si="25"/>
        <v>4.1190498312118526E-4</v>
      </c>
      <c r="F318">
        <f t="shared" si="26"/>
        <v>0.36158134349158805</v>
      </c>
      <c r="G318" s="10">
        <f t="shared" si="27"/>
        <v>1.1391765381024643E-3</v>
      </c>
      <c r="H318">
        <f t="shared" si="28"/>
        <v>1.1138632318448423E-2</v>
      </c>
      <c r="I318" s="10">
        <f t="shared" si="29"/>
        <v>7.7265767205094624</v>
      </c>
    </row>
    <row r="319" spans="1:9">
      <c r="A319" t="s">
        <v>534</v>
      </c>
      <c r="B319" t="s">
        <v>73</v>
      </c>
      <c r="C319">
        <f>VLOOKUP(B319,Proteome!B:I,8,FALSE)</f>
        <v>4.1190498312118524E-3</v>
      </c>
      <c r="D319">
        <f t="shared" si="24"/>
        <v>0.1</v>
      </c>
      <c r="E319" s="10">
        <f t="shared" si="25"/>
        <v>4.1190498312118526E-4</v>
      </c>
      <c r="F319">
        <f t="shared" si="26"/>
        <v>0.36158134349158805</v>
      </c>
      <c r="G319" s="10">
        <f t="shared" si="27"/>
        <v>1.1391765381024643E-3</v>
      </c>
      <c r="H319">
        <f t="shared" si="28"/>
        <v>1.1138632318448423E-2</v>
      </c>
      <c r="I319" s="10">
        <f t="shared" si="29"/>
        <v>7.7265767205094624</v>
      </c>
    </row>
    <row r="320" spans="1:9">
      <c r="A320" t="s">
        <v>534</v>
      </c>
      <c r="B320" t="s">
        <v>82</v>
      </c>
      <c r="C320">
        <f>VLOOKUP(B320,Proteome!B:I,8,FALSE)</f>
        <v>4.1190498312118524E-3</v>
      </c>
      <c r="D320">
        <f t="shared" si="24"/>
        <v>0.1</v>
      </c>
      <c r="E320" s="10">
        <f t="shared" si="25"/>
        <v>4.1190498312118526E-4</v>
      </c>
      <c r="F320">
        <f t="shared" si="26"/>
        <v>0.36158134349158805</v>
      </c>
      <c r="G320" s="10">
        <f t="shared" si="27"/>
        <v>1.1391765381024643E-3</v>
      </c>
      <c r="H320">
        <f t="shared" si="28"/>
        <v>1.1138632318448423E-2</v>
      </c>
      <c r="I320" s="10">
        <f t="shared" si="29"/>
        <v>7.7265767205094624</v>
      </c>
    </row>
    <row r="321" spans="1:9">
      <c r="A321" t="s">
        <v>534</v>
      </c>
      <c r="B321" t="s">
        <v>84</v>
      </c>
      <c r="C321">
        <f>VLOOKUP(B321,Proteome!B:I,8,FALSE)</f>
        <v>4.1190498312118524E-3</v>
      </c>
      <c r="D321">
        <f t="shared" si="24"/>
        <v>0.1</v>
      </c>
      <c r="E321" s="10">
        <f t="shared" si="25"/>
        <v>4.1190498312118526E-4</v>
      </c>
      <c r="F321">
        <f t="shared" si="26"/>
        <v>0.36158134349158805</v>
      </c>
      <c r="G321" s="10">
        <f t="shared" si="27"/>
        <v>1.1391765381024643E-3</v>
      </c>
      <c r="H321">
        <f t="shared" si="28"/>
        <v>1.1138632318448423E-2</v>
      </c>
      <c r="I321" s="10">
        <f t="shared" si="29"/>
        <v>7.7265767205094624</v>
      </c>
    </row>
    <row r="322" spans="1:9">
      <c r="A322" t="s">
        <v>534</v>
      </c>
      <c r="B322" t="s">
        <v>102</v>
      </c>
      <c r="C322">
        <f>VLOOKUP(B322,Proteome!B:I,8,FALSE)</f>
        <v>2.1679209637957119E-3</v>
      </c>
      <c r="D322">
        <f t="shared" ref="D322:D385" si="30">VLOOKUP(A322,$K$2:$L$12,2,FALSE)</f>
        <v>0.1</v>
      </c>
      <c r="E322" s="10">
        <f t="shared" ref="E322:E385" si="31">C322*D322</f>
        <v>2.167920963795712E-4</v>
      </c>
      <c r="F322">
        <f t="shared" ref="F322:F385" si="32">SUM($E$2:$E$522)</f>
        <v>0.36158134349158805</v>
      </c>
      <c r="G322" s="10">
        <f t="shared" ref="G322:G385" si="33">E322/F322</f>
        <v>5.9956659900129697E-4</v>
      </c>
      <c r="H322">
        <f t="shared" ref="H322:H385" si="34">-G322*LOG(G322,2)</f>
        <v>6.4176363844022088E-3</v>
      </c>
      <c r="I322" s="10">
        <f t="shared" ref="I322:I385" si="35">SUM($H$2:$H$522)</f>
        <v>7.7265767205094624</v>
      </c>
    </row>
    <row r="323" spans="1:9">
      <c r="A323" t="s">
        <v>534</v>
      </c>
      <c r="B323" t="s">
        <v>103</v>
      </c>
      <c r="C323">
        <f>VLOOKUP(B323,Proteome!B:I,8,FALSE)</f>
        <v>2.1679209637957119E-3</v>
      </c>
      <c r="D323">
        <f t="shared" si="30"/>
        <v>0.1</v>
      </c>
      <c r="E323" s="10">
        <f t="shared" si="31"/>
        <v>2.167920963795712E-4</v>
      </c>
      <c r="F323">
        <f t="shared" si="32"/>
        <v>0.36158134349158805</v>
      </c>
      <c r="G323" s="10">
        <f t="shared" si="33"/>
        <v>5.9956659900129697E-4</v>
      </c>
      <c r="H323">
        <f t="shared" si="34"/>
        <v>6.4176363844022088E-3</v>
      </c>
      <c r="I323" s="10">
        <f t="shared" si="35"/>
        <v>7.7265767205094624</v>
      </c>
    </row>
    <row r="324" spans="1:9">
      <c r="A324" t="s">
        <v>524</v>
      </c>
      <c r="B324" t="s">
        <v>41</v>
      </c>
      <c r="C324">
        <f>VLOOKUP(B324,Proteome!B:I,8,FALSE)</f>
        <v>2.1679209637957119E-3</v>
      </c>
      <c r="D324">
        <f t="shared" si="30"/>
        <v>0.1</v>
      </c>
      <c r="E324" s="10">
        <f t="shared" si="31"/>
        <v>2.167920963795712E-4</v>
      </c>
      <c r="F324">
        <f t="shared" si="32"/>
        <v>0.36158134349158805</v>
      </c>
      <c r="G324" s="10">
        <f t="shared" si="33"/>
        <v>5.9956659900129697E-4</v>
      </c>
      <c r="H324">
        <f t="shared" si="34"/>
        <v>6.4176363844022088E-3</v>
      </c>
      <c r="I324" s="10">
        <f t="shared" si="35"/>
        <v>7.7265767205094624</v>
      </c>
    </row>
    <row r="325" spans="1:9">
      <c r="A325" t="s">
        <v>524</v>
      </c>
      <c r="B325" t="s">
        <v>51</v>
      </c>
      <c r="C325">
        <f>VLOOKUP(B325,Proteome!B:I,8,FALSE)</f>
        <v>4.1190498312118524E-3</v>
      </c>
      <c r="D325">
        <f t="shared" si="30"/>
        <v>0.1</v>
      </c>
      <c r="E325" s="10">
        <f t="shared" si="31"/>
        <v>4.1190498312118526E-4</v>
      </c>
      <c r="F325">
        <f t="shared" si="32"/>
        <v>0.36158134349158805</v>
      </c>
      <c r="G325" s="10">
        <f t="shared" si="33"/>
        <v>1.1391765381024643E-3</v>
      </c>
      <c r="H325">
        <f t="shared" si="34"/>
        <v>1.1138632318448423E-2</v>
      </c>
      <c r="I325" s="10">
        <f t="shared" si="35"/>
        <v>7.7265767205094624</v>
      </c>
    </row>
    <row r="326" spans="1:9">
      <c r="A326" t="s">
        <v>534</v>
      </c>
      <c r="B326" t="s">
        <v>121</v>
      </c>
      <c r="C326">
        <f>VLOOKUP(B326,Proteome!B:I,8,FALSE)</f>
        <v>2.1679209637957119E-3</v>
      </c>
      <c r="D326">
        <f t="shared" si="30"/>
        <v>0.1</v>
      </c>
      <c r="E326" s="10">
        <f t="shared" si="31"/>
        <v>2.167920963795712E-4</v>
      </c>
      <c r="F326">
        <f t="shared" si="32"/>
        <v>0.36158134349158805</v>
      </c>
      <c r="G326" s="10">
        <f t="shared" si="33"/>
        <v>5.9956659900129697E-4</v>
      </c>
      <c r="H326">
        <f t="shared" si="34"/>
        <v>6.4176363844022088E-3</v>
      </c>
      <c r="I326" s="10">
        <f t="shared" si="35"/>
        <v>7.7265767205094624</v>
      </c>
    </row>
    <row r="327" spans="1:9">
      <c r="A327" t="s">
        <v>535</v>
      </c>
      <c r="B327" t="s">
        <v>353</v>
      </c>
      <c r="C327">
        <f>VLOOKUP(B327,Proteome!B:I,8,FALSE)</f>
        <v>5.5901390566446578E-3</v>
      </c>
      <c r="D327">
        <f t="shared" si="30"/>
        <v>0.1</v>
      </c>
      <c r="E327" s="10">
        <f t="shared" si="31"/>
        <v>5.5901390566446575E-4</v>
      </c>
      <c r="F327">
        <f t="shared" si="32"/>
        <v>0.36158134349158805</v>
      </c>
      <c r="G327" s="10">
        <f t="shared" si="33"/>
        <v>1.5460253017104872E-3</v>
      </c>
      <c r="H327">
        <f t="shared" si="34"/>
        <v>1.4435578915799977E-2</v>
      </c>
      <c r="I327" s="10">
        <f t="shared" si="35"/>
        <v>7.7265767205094624</v>
      </c>
    </row>
    <row r="328" spans="1:9">
      <c r="A328" t="s">
        <v>534</v>
      </c>
      <c r="B328" t="s">
        <v>70</v>
      </c>
      <c r="C328">
        <f>VLOOKUP(B328,Proteome!B:I,8,FALSE)</f>
        <v>5.8843569017312199E-4</v>
      </c>
      <c r="D328">
        <f t="shared" si="30"/>
        <v>0.1</v>
      </c>
      <c r="E328" s="10">
        <f t="shared" si="31"/>
        <v>5.8843569017312204E-5</v>
      </c>
      <c r="F328">
        <f t="shared" si="32"/>
        <v>0.36158134349158805</v>
      </c>
      <c r="G328" s="10">
        <f t="shared" si="33"/>
        <v>1.6273950544320925E-4</v>
      </c>
      <c r="H328">
        <f t="shared" si="34"/>
        <v>2.048100739968989E-3</v>
      </c>
      <c r="I328" s="10">
        <f t="shared" si="35"/>
        <v>7.7265767205094624</v>
      </c>
    </row>
    <row r="329" spans="1:9">
      <c r="A329" t="s">
        <v>534</v>
      </c>
      <c r="B329" t="s">
        <v>97</v>
      </c>
      <c r="C329">
        <f>VLOOKUP(B329,Proteome!B:I,8,FALSE)</f>
        <v>5.8843569017312199E-4</v>
      </c>
      <c r="D329">
        <f t="shared" si="30"/>
        <v>0.1</v>
      </c>
      <c r="E329" s="10">
        <f t="shared" si="31"/>
        <v>5.8843569017312204E-5</v>
      </c>
      <c r="F329">
        <f t="shared" si="32"/>
        <v>0.36158134349158805</v>
      </c>
      <c r="G329" s="10">
        <f t="shared" si="33"/>
        <v>1.6273950544320925E-4</v>
      </c>
      <c r="H329">
        <f t="shared" si="34"/>
        <v>2.048100739968989E-3</v>
      </c>
      <c r="I329" s="10">
        <f t="shared" si="35"/>
        <v>7.7265767205094624</v>
      </c>
    </row>
    <row r="330" spans="1:9">
      <c r="A330" t="s">
        <v>524</v>
      </c>
      <c r="B330" t="s">
        <v>30</v>
      </c>
      <c r="C330">
        <f>VLOOKUP(B330,Proteome!B:I,8,FALSE)</f>
        <v>5.8843569017312199E-4</v>
      </c>
      <c r="D330">
        <f t="shared" si="30"/>
        <v>0.1</v>
      </c>
      <c r="E330" s="10">
        <f t="shared" si="31"/>
        <v>5.8843569017312204E-5</v>
      </c>
      <c r="F330">
        <f t="shared" si="32"/>
        <v>0.36158134349158805</v>
      </c>
      <c r="G330" s="10">
        <f t="shared" si="33"/>
        <v>1.6273950544320925E-4</v>
      </c>
      <c r="H330">
        <f t="shared" si="34"/>
        <v>2.048100739968989E-3</v>
      </c>
      <c r="I330" s="10">
        <f t="shared" si="35"/>
        <v>7.7265767205094624</v>
      </c>
    </row>
    <row r="331" spans="1:9">
      <c r="A331" t="s">
        <v>524</v>
      </c>
      <c r="B331" t="s">
        <v>47</v>
      </c>
      <c r="C331">
        <f>VLOOKUP(B331,Proteome!B:I,8,FALSE)</f>
        <v>5.8843569017312199E-4</v>
      </c>
      <c r="D331">
        <f t="shared" si="30"/>
        <v>0.1</v>
      </c>
      <c r="E331" s="10">
        <f t="shared" si="31"/>
        <v>5.8843569017312204E-5</v>
      </c>
      <c r="F331">
        <f t="shared" si="32"/>
        <v>0.36158134349158805</v>
      </c>
      <c r="G331" s="10">
        <f t="shared" si="33"/>
        <v>1.6273950544320925E-4</v>
      </c>
      <c r="H331">
        <f t="shared" si="34"/>
        <v>2.048100739968989E-3</v>
      </c>
      <c r="I331" s="10">
        <f t="shared" si="35"/>
        <v>7.7265767205094624</v>
      </c>
    </row>
    <row r="332" spans="1:9">
      <c r="A332" t="s">
        <v>524</v>
      </c>
      <c r="B332" t="s">
        <v>52</v>
      </c>
      <c r="C332">
        <f>VLOOKUP(B332,Proteome!B:I,8,FALSE)</f>
        <v>5.8843569017312199E-4</v>
      </c>
      <c r="D332">
        <f t="shared" si="30"/>
        <v>0.1</v>
      </c>
      <c r="E332" s="10">
        <f t="shared" si="31"/>
        <v>5.8843569017312204E-5</v>
      </c>
      <c r="F332">
        <f t="shared" si="32"/>
        <v>0.36158134349158805</v>
      </c>
      <c r="G332" s="10">
        <f t="shared" si="33"/>
        <v>1.6273950544320925E-4</v>
      </c>
      <c r="H332">
        <f t="shared" si="34"/>
        <v>2.048100739968989E-3</v>
      </c>
      <c r="I332" s="10">
        <f t="shared" si="35"/>
        <v>7.7265767205094624</v>
      </c>
    </row>
    <row r="333" spans="1:9">
      <c r="A333" t="s">
        <v>534</v>
      </c>
      <c r="B333" t="s">
        <v>135</v>
      </c>
      <c r="C333">
        <f>VLOOKUP(B333,Proteome!B:I,8,FALSE)</f>
        <v>5.8843569017312199E-4</v>
      </c>
      <c r="D333">
        <f t="shared" si="30"/>
        <v>0.1</v>
      </c>
      <c r="E333" s="10">
        <f t="shared" si="31"/>
        <v>5.8843569017312204E-5</v>
      </c>
      <c r="F333">
        <f t="shared" si="32"/>
        <v>0.36158134349158805</v>
      </c>
      <c r="G333" s="10">
        <f t="shared" si="33"/>
        <v>1.6273950544320925E-4</v>
      </c>
      <c r="H333">
        <f t="shared" si="34"/>
        <v>2.048100739968989E-3</v>
      </c>
      <c r="I333" s="10">
        <f t="shared" si="35"/>
        <v>7.7265767205094624</v>
      </c>
    </row>
    <row r="334" spans="1:9">
      <c r="A334" t="s">
        <v>534</v>
      </c>
      <c r="B334" t="s">
        <v>136</v>
      </c>
      <c r="C334">
        <f>VLOOKUP(B334,Proteome!B:I,8,FALSE)</f>
        <v>5.8843569017312199E-4</v>
      </c>
      <c r="D334">
        <f t="shared" si="30"/>
        <v>0.1</v>
      </c>
      <c r="E334" s="10">
        <f t="shared" si="31"/>
        <v>5.8843569017312204E-5</v>
      </c>
      <c r="F334">
        <f t="shared" si="32"/>
        <v>0.36158134349158805</v>
      </c>
      <c r="G334" s="10">
        <f t="shared" si="33"/>
        <v>1.6273950544320925E-4</v>
      </c>
      <c r="H334">
        <f t="shared" si="34"/>
        <v>2.048100739968989E-3</v>
      </c>
      <c r="I334" s="10">
        <f t="shared" si="35"/>
        <v>7.7265767205094624</v>
      </c>
    </row>
    <row r="335" spans="1:9">
      <c r="A335" t="s">
        <v>535</v>
      </c>
      <c r="B335" t="s">
        <v>332</v>
      </c>
      <c r="C335">
        <f>VLOOKUP(B335,Proteome!B:I,8,FALSE)</f>
        <v>4.1190498312118524E-3</v>
      </c>
      <c r="D335">
        <f t="shared" si="30"/>
        <v>0.1</v>
      </c>
      <c r="E335" s="10">
        <f t="shared" si="31"/>
        <v>4.1190498312118526E-4</v>
      </c>
      <c r="F335">
        <f t="shared" si="32"/>
        <v>0.36158134349158805</v>
      </c>
      <c r="G335" s="10">
        <f t="shared" si="33"/>
        <v>1.1391765381024643E-3</v>
      </c>
      <c r="H335">
        <f t="shared" si="34"/>
        <v>1.1138632318448423E-2</v>
      </c>
      <c r="I335" s="10">
        <f t="shared" si="35"/>
        <v>7.7265767205094624</v>
      </c>
    </row>
    <row r="336" spans="1:9">
      <c r="A336" t="s">
        <v>535</v>
      </c>
      <c r="B336" t="s">
        <v>328</v>
      </c>
      <c r="C336">
        <f>VLOOKUP(B336,Proteome!B:I,8,FALSE)</f>
        <v>5.5901390566446578E-3</v>
      </c>
      <c r="D336">
        <f t="shared" si="30"/>
        <v>0.1</v>
      </c>
      <c r="E336" s="10">
        <f t="shared" si="31"/>
        <v>5.5901390566446575E-4</v>
      </c>
      <c r="F336">
        <f t="shared" si="32"/>
        <v>0.36158134349158805</v>
      </c>
      <c r="G336" s="10">
        <f t="shared" si="33"/>
        <v>1.5460253017104872E-3</v>
      </c>
      <c r="H336">
        <f t="shared" si="34"/>
        <v>1.4435578915799977E-2</v>
      </c>
      <c r="I336" s="10">
        <f t="shared" si="35"/>
        <v>7.7265767205094624</v>
      </c>
    </row>
    <row r="337" spans="1:9">
      <c r="A337" t="s">
        <v>535</v>
      </c>
      <c r="B337" t="s">
        <v>330</v>
      </c>
      <c r="C337">
        <f>VLOOKUP(B337,Proteome!B:I,8,FALSE)</f>
        <v>2.9421784508656093E-3</v>
      </c>
      <c r="D337">
        <f t="shared" si="30"/>
        <v>0.1</v>
      </c>
      <c r="E337" s="10">
        <f t="shared" si="31"/>
        <v>2.9421784508656094E-4</v>
      </c>
      <c r="F337">
        <f t="shared" si="32"/>
        <v>0.36158134349158805</v>
      </c>
      <c r="G337" s="10">
        <f t="shared" si="33"/>
        <v>8.1369752721604605E-4</v>
      </c>
      <c r="H337">
        <f t="shared" si="34"/>
        <v>8.3511565506616311E-3</v>
      </c>
      <c r="I337" s="10">
        <f t="shared" si="35"/>
        <v>7.7265767205094624</v>
      </c>
    </row>
    <row r="338" spans="1:9">
      <c r="A338" t="s">
        <v>535</v>
      </c>
      <c r="B338" t="s">
        <v>347</v>
      </c>
      <c r="C338">
        <f>VLOOKUP(B338,Proteome!B:I,8,FALSE)</f>
        <v>5.5901390566446578E-3</v>
      </c>
      <c r="D338">
        <f t="shared" si="30"/>
        <v>0.1</v>
      </c>
      <c r="E338" s="10">
        <f t="shared" si="31"/>
        <v>5.5901390566446575E-4</v>
      </c>
      <c r="F338">
        <f t="shared" si="32"/>
        <v>0.36158134349158805</v>
      </c>
      <c r="G338" s="10">
        <f t="shared" si="33"/>
        <v>1.5460253017104872E-3</v>
      </c>
      <c r="H338">
        <f t="shared" si="34"/>
        <v>1.4435578915799977E-2</v>
      </c>
      <c r="I338" s="10">
        <f t="shared" si="35"/>
        <v>7.7265767205094624</v>
      </c>
    </row>
    <row r="339" spans="1:9">
      <c r="A339" t="s">
        <v>535</v>
      </c>
      <c r="B339" t="s">
        <v>348</v>
      </c>
      <c r="C339">
        <f>VLOOKUP(B339,Proteome!B:I,8,FALSE)</f>
        <v>2.9421784508656093E-3</v>
      </c>
      <c r="D339">
        <f t="shared" si="30"/>
        <v>0.1</v>
      </c>
      <c r="E339" s="10">
        <f t="shared" si="31"/>
        <v>2.9421784508656094E-4</v>
      </c>
      <c r="F339">
        <f t="shared" si="32"/>
        <v>0.36158134349158805</v>
      </c>
      <c r="G339" s="10">
        <f t="shared" si="33"/>
        <v>8.1369752721604605E-4</v>
      </c>
      <c r="H339">
        <f t="shared" si="34"/>
        <v>8.3511565506616311E-3</v>
      </c>
      <c r="I339" s="10">
        <f t="shared" si="35"/>
        <v>7.7265767205094624</v>
      </c>
    </row>
    <row r="340" spans="1:9">
      <c r="A340" t="s">
        <v>535</v>
      </c>
      <c r="B340" t="s">
        <v>360</v>
      </c>
      <c r="C340">
        <f>VLOOKUP(B340,Proteome!B:I,8,FALSE)</f>
        <v>5.5901390566446578E-3</v>
      </c>
      <c r="D340">
        <f t="shared" si="30"/>
        <v>0.1</v>
      </c>
      <c r="E340" s="10">
        <f t="shared" si="31"/>
        <v>5.5901390566446575E-4</v>
      </c>
      <c r="F340">
        <f t="shared" si="32"/>
        <v>0.36158134349158805</v>
      </c>
      <c r="G340" s="10">
        <f t="shared" si="33"/>
        <v>1.5460253017104872E-3</v>
      </c>
      <c r="H340">
        <f t="shared" si="34"/>
        <v>1.4435578915799977E-2</v>
      </c>
      <c r="I340" s="10">
        <f t="shared" si="35"/>
        <v>7.7265767205094624</v>
      </c>
    </row>
    <row r="341" spans="1:9">
      <c r="A341" t="s">
        <v>535</v>
      </c>
      <c r="B341" t="s">
        <v>363</v>
      </c>
      <c r="C341">
        <f>VLOOKUP(B341,Proteome!B:I,8,FALSE)</f>
        <v>5.5901390566446578E-3</v>
      </c>
      <c r="D341">
        <f t="shared" si="30"/>
        <v>0.1</v>
      </c>
      <c r="E341" s="10">
        <f t="shared" si="31"/>
        <v>5.5901390566446575E-4</v>
      </c>
      <c r="F341">
        <f t="shared" si="32"/>
        <v>0.36158134349158805</v>
      </c>
      <c r="G341" s="10">
        <f t="shared" si="33"/>
        <v>1.5460253017104872E-3</v>
      </c>
      <c r="H341">
        <f t="shared" si="34"/>
        <v>1.4435578915799977E-2</v>
      </c>
      <c r="I341" s="10">
        <f t="shared" si="35"/>
        <v>7.7265767205094624</v>
      </c>
    </row>
    <row r="342" spans="1:9">
      <c r="A342" t="s">
        <v>535</v>
      </c>
      <c r="B342" t="s">
        <v>367</v>
      </c>
      <c r="C342">
        <f>VLOOKUP(B342,Proteome!B:I,8,FALSE)</f>
        <v>5.5901390566446578E-3</v>
      </c>
      <c r="D342">
        <f t="shared" si="30"/>
        <v>0.1</v>
      </c>
      <c r="E342" s="10">
        <f t="shared" si="31"/>
        <v>5.5901390566446575E-4</v>
      </c>
      <c r="F342">
        <f t="shared" si="32"/>
        <v>0.36158134349158805</v>
      </c>
      <c r="G342" s="10">
        <f t="shared" si="33"/>
        <v>1.5460253017104872E-3</v>
      </c>
      <c r="H342">
        <f t="shared" si="34"/>
        <v>1.4435578915799977E-2</v>
      </c>
      <c r="I342" s="10">
        <f t="shared" si="35"/>
        <v>7.7265767205094624</v>
      </c>
    </row>
    <row r="343" spans="1:9">
      <c r="A343" t="s">
        <v>535</v>
      </c>
      <c r="B343" t="s">
        <v>373</v>
      </c>
      <c r="C343">
        <f>VLOOKUP(B343,Proteome!B:I,8,FALSE)</f>
        <v>5.5901390566446578E-3</v>
      </c>
      <c r="D343">
        <f t="shared" si="30"/>
        <v>0.1</v>
      </c>
      <c r="E343" s="10">
        <f t="shared" si="31"/>
        <v>5.5901390566446575E-4</v>
      </c>
      <c r="F343">
        <f t="shared" si="32"/>
        <v>0.36158134349158805</v>
      </c>
      <c r="G343" s="10">
        <f t="shared" si="33"/>
        <v>1.5460253017104872E-3</v>
      </c>
      <c r="H343">
        <f t="shared" si="34"/>
        <v>1.4435578915799977E-2</v>
      </c>
      <c r="I343" s="10">
        <f t="shared" si="35"/>
        <v>7.7265767205094624</v>
      </c>
    </row>
    <row r="344" spans="1:9">
      <c r="A344" t="s">
        <v>535</v>
      </c>
      <c r="B344" t="s">
        <v>387</v>
      </c>
      <c r="C344">
        <f>VLOOKUP(B344,Proteome!B:I,8,FALSE)</f>
        <v>5.5901390566446578E-3</v>
      </c>
      <c r="D344">
        <f t="shared" si="30"/>
        <v>0.1</v>
      </c>
      <c r="E344" s="10">
        <f t="shared" si="31"/>
        <v>5.5901390566446575E-4</v>
      </c>
      <c r="F344">
        <f t="shared" si="32"/>
        <v>0.36158134349158805</v>
      </c>
      <c r="G344" s="10">
        <f t="shared" si="33"/>
        <v>1.5460253017104872E-3</v>
      </c>
      <c r="H344">
        <f t="shared" si="34"/>
        <v>1.4435578915799977E-2</v>
      </c>
      <c r="I344" s="10">
        <f t="shared" si="35"/>
        <v>7.7265767205094624</v>
      </c>
    </row>
    <row r="345" spans="1:9">
      <c r="A345" t="s">
        <v>535</v>
      </c>
      <c r="B345" t="s">
        <v>395</v>
      </c>
      <c r="C345">
        <f>VLOOKUP(B345,Proteome!B:I,8,FALSE)</f>
        <v>2.9421784508656093E-3</v>
      </c>
      <c r="D345">
        <f t="shared" si="30"/>
        <v>0.1</v>
      </c>
      <c r="E345" s="10">
        <f t="shared" si="31"/>
        <v>2.9421784508656094E-4</v>
      </c>
      <c r="F345">
        <f t="shared" si="32"/>
        <v>0.36158134349158805</v>
      </c>
      <c r="G345" s="10">
        <f t="shared" si="33"/>
        <v>8.1369752721604605E-4</v>
      </c>
      <c r="H345">
        <f t="shared" si="34"/>
        <v>8.3511565506616311E-3</v>
      </c>
      <c r="I345" s="10">
        <f t="shared" si="35"/>
        <v>7.7265767205094624</v>
      </c>
    </row>
    <row r="346" spans="1:9">
      <c r="A346" t="s">
        <v>535</v>
      </c>
      <c r="B346" t="s">
        <v>407</v>
      </c>
      <c r="C346">
        <f>VLOOKUP(B346,Proteome!B:I,8,FALSE)</f>
        <v>2.9421784508656093E-3</v>
      </c>
      <c r="D346">
        <f t="shared" si="30"/>
        <v>0.1</v>
      </c>
      <c r="E346" s="10">
        <f t="shared" si="31"/>
        <v>2.9421784508656094E-4</v>
      </c>
      <c r="F346">
        <f t="shared" si="32"/>
        <v>0.36158134349158805</v>
      </c>
      <c r="G346" s="10">
        <f t="shared" si="33"/>
        <v>8.1369752721604605E-4</v>
      </c>
      <c r="H346">
        <f t="shared" si="34"/>
        <v>8.3511565506616311E-3</v>
      </c>
      <c r="I346" s="10">
        <f t="shared" si="35"/>
        <v>7.7265767205094624</v>
      </c>
    </row>
    <row r="347" spans="1:9">
      <c r="A347" t="s">
        <v>524</v>
      </c>
      <c r="B347" t="s">
        <v>1</v>
      </c>
      <c r="C347">
        <f>VLOOKUP(B347,Proteome!B:I,8,FALSE)</f>
        <v>5.8843569017312199E-4</v>
      </c>
      <c r="D347">
        <f t="shared" si="30"/>
        <v>0.1</v>
      </c>
      <c r="E347" s="10">
        <f t="shared" si="31"/>
        <v>5.8843569017312204E-5</v>
      </c>
      <c r="F347">
        <f t="shared" si="32"/>
        <v>0.36158134349158805</v>
      </c>
      <c r="G347" s="10">
        <f t="shared" si="33"/>
        <v>1.6273950544320925E-4</v>
      </c>
      <c r="H347">
        <f t="shared" si="34"/>
        <v>2.048100739968989E-3</v>
      </c>
      <c r="I347" s="10">
        <f t="shared" si="35"/>
        <v>7.7265767205094624</v>
      </c>
    </row>
    <row r="348" spans="1:9">
      <c r="A348" t="s">
        <v>534</v>
      </c>
      <c r="B348" t="s">
        <v>57</v>
      </c>
      <c r="C348">
        <f>VLOOKUP(B348,Proteome!B:I,8,FALSE)</f>
        <v>5.8843569017312199E-4</v>
      </c>
      <c r="D348">
        <f t="shared" si="30"/>
        <v>0.1</v>
      </c>
      <c r="E348" s="10">
        <f t="shared" si="31"/>
        <v>5.8843569017312204E-5</v>
      </c>
      <c r="F348">
        <f t="shared" si="32"/>
        <v>0.36158134349158805</v>
      </c>
      <c r="G348" s="10">
        <f t="shared" si="33"/>
        <v>1.6273950544320925E-4</v>
      </c>
      <c r="H348">
        <f t="shared" si="34"/>
        <v>2.048100739968989E-3</v>
      </c>
      <c r="I348" s="10">
        <f t="shared" si="35"/>
        <v>7.7265767205094624</v>
      </c>
    </row>
    <row r="349" spans="1:9">
      <c r="A349" t="s">
        <v>534</v>
      </c>
      <c r="B349" t="s">
        <v>58</v>
      </c>
      <c r="C349">
        <f>VLOOKUP(B349,Proteome!B:I,8,FALSE)</f>
        <v>3.0970299482795891E-4</v>
      </c>
      <c r="D349">
        <f t="shared" si="30"/>
        <v>0.1</v>
      </c>
      <c r="E349" s="10">
        <f t="shared" si="31"/>
        <v>3.0970299482795893E-5</v>
      </c>
      <c r="F349">
        <f t="shared" si="32"/>
        <v>0.36158134349158805</v>
      </c>
      <c r="G349" s="10">
        <f t="shared" si="33"/>
        <v>8.5652371285899594E-5</v>
      </c>
      <c r="H349">
        <f t="shared" si="34"/>
        <v>1.15726180388712E-3</v>
      </c>
      <c r="I349" s="10">
        <f t="shared" si="35"/>
        <v>7.7265767205094624</v>
      </c>
    </row>
    <row r="350" spans="1:9">
      <c r="A350" t="s">
        <v>534</v>
      </c>
      <c r="B350" t="s">
        <v>59</v>
      </c>
      <c r="C350">
        <f>VLOOKUP(B350,Proteome!B:I,8,FALSE)</f>
        <v>5.8843569017312199E-4</v>
      </c>
      <c r="D350">
        <f t="shared" si="30"/>
        <v>0.1</v>
      </c>
      <c r="E350" s="10">
        <f t="shared" si="31"/>
        <v>5.8843569017312204E-5</v>
      </c>
      <c r="F350">
        <f t="shared" si="32"/>
        <v>0.36158134349158805</v>
      </c>
      <c r="G350" s="10">
        <f t="shared" si="33"/>
        <v>1.6273950544320925E-4</v>
      </c>
      <c r="H350">
        <f t="shared" si="34"/>
        <v>2.048100739968989E-3</v>
      </c>
      <c r="I350" s="10">
        <f t="shared" si="35"/>
        <v>7.7265767205094624</v>
      </c>
    </row>
    <row r="351" spans="1:9">
      <c r="A351" t="s">
        <v>534</v>
      </c>
      <c r="B351" t="s">
        <v>60</v>
      </c>
      <c r="C351">
        <f>VLOOKUP(B351,Proteome!B:I,8,FALSE)</f>
        <v>3.0970299482795891E-4</v>
      </c>
      <c r="D351">
        <f t="shared" si="30"/>
        <v>0.1</v>
      </c>
      <c r="E351" s="10">
        <f t="shared" si="31"/>
        <v>3.0970299482795893E-5</v>
      </c>
      <c r="F351">
        <f t="shared" si="32"/>
        <v>0.36158134349158805</v>
      </c>
      <c r="G351" s="10">
        <f t="shared" si="33"/>
        <v>8.5652371285899594E-5</v>
      </c>
      <c r="H351">
        <f t="shared" si="34"/>
        <v>1.15726180388712E-3</v>
      </c>
      <c r="I351" s="10">
        <f t="shared" si="35"/>
        <v>7.7265767205094624</v>
      </c>
    </row>
    <row r="352" spans="1:9">
      <c r="A352" t="s">
        <v>534</v>
      </c>
      <c r="B352" t="s">
        <v>61</v>
      </c>
      <c r="C352">
        <f>VLOOKUP(B352,Proteome!B:I,8,FALSE)</f>
        <v>3.0970299482795891E-4</v>
      </c>
      <c r="D352">
        <f t="shared" si="30"/>
        <v>0.1</v>
      </c>
      <c r="E352" s="10">
        <f t="shared" si="31"/>
        <v>3.0970299482795893E-5</v>
      </c>
      <c r="F352">
        <f t="shared" si="32"/>
        <v>0.36158134349158805</v>
      </c>
      <c r="G352" s="10">
        <f t="shared" si="33"/>
        <v>8.5652371285899594E-5</v>
      </c>
      <c r="H352">
        <f t="shared" si="34"/>
        <v>1.15726180388712E-3</v>
      </c>
      <c r="I352" s="10">
        <f t="shared" si="35"/>
        <v>7.7265767205094624</v>
      </c>
    </row>
    <row r="353" spans="1:9">
      <c r="A353" t="s">
        <v>534</v>
      </c>
      <c r="B353" t="s">
        <v>62</v>
      </c>
      <c r="C353">
        <f>VLOOKUP(B353,Proteome!B:I,8,FALSE)</f>
        <v>5.8843569017312199E-4</v>
      </c>
      <c r="D353">
        <f t="shared" si="30"/>
        <v>0.1</v>
      </c>
      <c r="E353" s="10">
        <f t="shared" si="31"/>
        <v>5.8843569017312204E-5</v>
      </c>
      <c r="F353">
        <f t="shared" si="32"/>
        <v>0.36158134349158805</v>
      </c>
      <c r="G353" s="10">
        <f t="shared" si="33"/>
        <v>1.6273950544320925E-4</v>
      </c>
      <c r="H353">
        <f t="shared" si="34"/>
        <v>2.048100739968989E-3</v>
      </c>
      <c r="I353" s="10">
        <f t="shared" si="35"/>
        <v>7.7265767205094624</v>
      </c>
    </row>
    <row r="354" spans="1:9">
      <c r="A354" t="s">
        <v>534</v>
      </c>
      <c r="B354" t="s">
        <v>66</v>
      </c>
      <c r="C354">
        <f>VLOOKUP(B354,Proteome!B:I,8,FALSE)</f>
        <v>3.0970299482795891E-4</v>
      </c>
      <c r="D354">
        <f t="shared" si="30"/>
        <v>0.1</v>
      </c>
      <c r="E354" s="10">
        <f t="shared" si="31"/>
        <v>3.0970299482795893E-5</v>
      </c>
      <c r="F354">
        <f t="shared" si="32"/>
        <v>0.36158134349158805</v>
      </c>
      <c r="G354" s="10">
        <f t="shared" si="33"/>
        <v>8.5652371285899594E-5</v>
      </c>
      <c r="H354">
        <f t="shared" si="34"/>
        <v>1.15726180388712E-3</v>
      </c>
      <c r="I354" s="10">
        <f t="shared" si="35"/>
        <v>7.7265767205094624</v>
      </c>
    </row>
    <row r="355" spans="1:9">
      <c r="A355" t="s">
        <v>534</v>
      </c>
      <c r="B355" t="s">
        <v>67</v>
      </c>
      <c r="C355">
        <f>VLOOKUP(B355,Proteome!B:I,8,FALSE)</f>
        <v>3.0970299482795891E-4</v>
      </c>
      <c r="D355">
        <f t="shared" si="30"/>
        <v>0.1</v>
      </c>
      <c r="E355" s="10">
        <f t="shared" si="31"/>
        <v>3.0970299482795893E-5</v>
      </c>
      <c r="F355">
        <f t="shared" si="32"/>
        <v>0.36158134349158805</v>
      </c>
      <c r="G355" s="10">
        <f t="shared" si="33"/>
        <v>8.5652371285899594E-5</v>
      </c>
      <c r="H355">
        <f t="shared" si="34"/>
        <v>1.15726180388712E-3</v>
      </c>
      <c r="I355" s="10">
        <f t="shared" si="35"/>
        <v>7.7265767205094624</v>
      </c>
    </row>
    <row r="356" spans="1:9">
      <c r="A356" t="s">
        <v>524</v>
      </c>
      <c r="B356" t="s">
        <v>8</v>
      </c>
      <c r="C356">
        <f>VLOOKUP(B356,Proteome!B:I,8,FALSE)</f>
        <v>5.8843569017312199E-4</v>
      </c>
      <c r="D356">
        <f t="shared" si="30"/>
        <v>0.1</v>
      </c>
      <c r="E356" s="10">
        <f t="shared" si="31"/>
        <v>5.8843569017312204E-5</v>
      </c>
      <c r="F356">
        <f t="shared" si="32"/>
        <v>0.36158134349158805</v>
      </c>
      <c r="G356" s="10">
        <f t="shared" si="33"/>
        <v>1.6273950544320925E-4</v>
      </c>
      <c r="H356">
        <f t="shared" si="34"/>
        <v>2.048100739968989E-3</v>
      </c>
      <c r="I356" s="10">
        <f t="shared" si="35"/>
        <v>7.7265767205094624</v>
      </c>
    </row>
    <row r="357" spans="1:9">
      <c r="A357" t="s">
        <v>534</v>
      </c>
      <c r="B357" t="s">
        <v>71</v>
      </c>
      <c r="C357">
        <f>VLOOKUP(B357,Proteome!B:I,8,FALSE)</f>
        <v>3.0970299482795891E-4</v>
      </c>
      <c r="D357">
        <f t="shared" si="30"/>
        <v>0.1</v>
      </c>
      <c r="E357" s="10">
        <f t="shared" si="31"/>
        <v>3.0970299482795893E-5</v>
      </c>
      <c r="F357">
        <f t="shared" si="32"/>
        <v>0.36158134349158805</v>
      </c>
      <c r="G357" s="10">
        <f t="shared" si="33"/>
        <v>8.5652371285899594E-5</v>
      </c>
      <c r="H357">
        <f t="shared" si="34"/>
        <v>1.15726180388712E-3</v>
      </c>
      <c r="I357" s="10">
        <f t="shared" si="35"/>
        <v>7.7265767205094624</v>
      </c>
    </row>
    <row r="358" spans="1:9">
      <c r="A358" t="s">
        <v>534</v>
      </c>
      <c r="B358" t="s">
        <v>72</v>
      </c>
      <c r="C358">
        <f>VLOOKUP(B358,Proteome!B:I,8,FALSE)</f>
        <v>3.0970299482795891E-4</v>
      </c>
      <c r="D358">
        <f t="shared" si="30"/>
        <v>0.1</v>
      </c>
      <c r="E358" s="10">
        <f t="shared" si="31"/>
        <v>3.0970299482795893E-5</v>
      </c>
      <c r="F358">
        <f t="shared" si="32"/>
        <v>0.36158134349158805</v>
      </c>
      <c r="G358" s="10">
        <f t="shared" si="33"/>
        <v>8.5652371285899594E-5</v>
      </c>
      <c r="H358">
        <f t="shared" si="34"/>
        <v>1.15726180388712E-3</v>
      </c>
      <c r="I358" s="10">
        <f t="shared" si="35"/>
        <v>7.7265767205094624</v>
      </c>
    </row>
    <row r="359" spans="1:9">
      <c r="A359" t="s">
        <v>534</v>
      </c>
      <c r="B359" t="s">
        <v>74</v>
      </c>
      <c r="C359">
        <f>VLOOKUP(B359,Proteome!B:I,8,FALSE)</f>
        <v>3.0970299482795891E-4</v>
      </c>
      <c r="D359">
        <f t="shared" si="30"/>
        <v>0.1</v>
      </c>
      <c r="E359" s="10">
        <f t="shared" si="31"/>
        <v>3.0970299482795893E-5</v>
      </c>
      <c r="F359">
        <f t="shared" si="32"/>
        <v>0.36158134349158805</v>
      </c>
      <c r="G359" s="10">
        <f t="shared" si="33"/>
        <v>8.5652371285899594E-5</v>
      </c>
      <c r="H359">
        <f t="shared" si="34"/>
        <v>1.15726180388712E-3</v>
      </c>
      <c r="I359" s="10">
        <f t="shared" si="35"/>
        <v>7.7265767205094624</v>
      </c>
    </row>
    <row r="360" spans="1:9">
      <c r="A360" t="s">
        <v>534</v>
      </c>
      <c r="B360" t="s">
        <v>75</v>
      </c>
      <c r="C360">
        <f>VLOOKUP(B360,Proteome!B:I,8,FALSE)</f>
        <v>5.8843569017312199E-4</v>
      </c>
      <c r="D360">
        <f t="shared" si="30"/>
        <v>0.1</v>
      </c>
      <c r="E360" s="10">
        <f t="shared" si="31"/>
        <v>5.8843569017312204E-5</v>
      </c>
      <c r="F360">
        <f t="shared" si="32"/>
        <v>0.36158134349158805</v>
      </c>
      <c r="G360" s="10">
        <f t="shared" si="33"/>
        <v>1.6273950544320925E-4</v>
      </c>
      <c r="H360">
        <f t="shared" si="34"/>
        <v>2.048100739968989E-3</v>
      </c>
      <c r="I360" s="10">
        <f t="shared" si="35"/>
        <v>7.7265767205094624</v>
      </c>
    </row>
    <row r="361" spans="1:9">
      <c r="A361" t="s">
        <v>534</v>
      </c>
      <c r="B361" t="s">
        <v>76</v>
      </c>
      <c r="C361">
        <f>VLOOKUP(B361,Proteome!B:I,8,FALSE)</f>
        <v>5.8843569017312199E-4</v>
      </c>
      <c r="D361">
        <f t="shared" si="30"/>
        <v>0.1</v>
      </c>
      <c r="E361" s="10">
        <f t="shared" si="31"/>
        <v>5.8843569017312204E-5</v>
      </c>
      <c r="F361">
        <f t="shared" si="32"/>
        <v>0.36158134349158805</v>
      </c>
      <c r="G361" s="10">
        <f t="shared" si="33"/>
        <v>1.6273950544320925E-4</v>
      </c>
      <c r="H361">
        <f t="shared" si="34"/>
        <v>2.048100739968989E-3</v>
      </c>
      <c r="I361" s="10">
        <f t="shared" si="35"/>
        <v>7.7265767205094624</v>
      </c>
    </row>
    <row r="362" spans="1:9">
      <c r="A362" t="s">
        <v>524</v>
      </c>
      <c r="B362" t="s">
        <v>9</v>
      </c>
      <c r="C362">
        <f>VLOOKUP(B362,Proteome!B:I,8,FALSE)</f>
        <v>3.0970299482795891E-4</v>
      </c>
      <c r="D362">
        <f t="shared" si="30"/>
        <v>0.1</v>
      </c>
      <c r="E362" s="10">
        <f t="shared" si="31"/>
        <v>3.0970299482795893E-5</v>
      </c>
      <c r="F362">
        <f t="shared" si="32"/>
        <v>0.36158134349158805</v>
      </c>
      <c r="G362" s="10">
        <f t="shared" si="33"/>
        <v>8.5652371285899594E-5</v>
      </c>
      <c r="H362">
        <f t="shared" si="34"/>
        <v>1.15726180388712E-3</v>
      </c>
      <c r="I362" s="10">
        <f t="shared" si="35"/>
        <v>7.7265767205094624</v>
      </c>
    </row>
    <row r="363" spans="1:9">
      <c r="A363" t="s">
        <v>534</v>
      </c>
      <c r="B363" t="s">
        <v>77</v>
      </c>
      <c r="C363">
        <f>VLOOKUP(B363,Proteome!B:I,8,FALSE)</f>
        <v>3.0970299482795891E-4</v>
      </c>
      <c r="D363">
        <f t="shared" si="30"/>
        <v>0.1</v>
      </c>
      <c r="E363" s="10">
        <f t="shared" si="31"/>
        <v>3.0970299482795893E-5</v>
      </c>
      <c r="F363">
        <f t="shared" si="32"/>
        <v>0.36158134349158805</v>
      </c>
      <c r="G363" s="10">
        <f t="shared" si="33"/>
        <v>8.5652371285899594E-5</v>
      </c>
      <c r="H363">
        <f t="shared" si="34"/>
        <v>1.15726180388712E-3</v>
      </c>
      <c r="I363" s="10">
        <f t="shared" si="35"/>
        <v>7.7265767205094624</v>
      </c>
    </row>
    <row r="364" spans="1:9">
      <c r="A364" t="s">
        <v>534</v>
      </c>
      <c r="B364" t="s">
        <v>78</v>
      </c>
      <c r="C364">
        <f>VLOOKUP(B364,Proteome!B:I,8,FALSE)</f>
        <v>3.0970299482795891E-4</v>
      </c>
      <c r="D364">
        <f t="shared" si="30"/>
        <v>0.1</v>
      </c>
      <c r="E364" s="10">
        <f t="shared" si="31"/>
        <v>3.0970299482795893E-5</v>
      </c>
      <c r="F364">
        <f t="shared" si="32"/>
        <v>0.36158134349158805</v>
      </c>
      <c r="G364" s="10">
        <f t="shared" si="33"/>
        <v>8.5652371285899594E-5</v>
      </c>
      <c r="H364">
        <f t="shared" si="34"/>
        <v>1.15726180388712E-3</v>
      </c>
      <c r="I364" s="10">
        <f t="shared" si="35"/>
        <v>7.7265767205094624</v>
      </c>
    </row>
    <row r="365" spans="1:9">
      <c r="A365" t="s">
        <v>534</v>
      </c>
      <c r="B365" t="s">
        <v>79</v>
      </c>
      <c r="C365">
        <f>VLOOKUP(B365,Proteome!B:I,8,FALSE)</f>
        <v>3.0970299482795891E-4</v>
      </c>
      <c r="D365">
        <f t="shared" si="30"/>
        <v>0.1</v>
      </c>
      <c r="E365" s="10">
        <f t="shared" si="31"/>
        <v>3.0970299482795893E-5</v>
      </c>
      <c r="F365">
        <f t="shared" si="32"/>
        <v>0.36158134349158805</v>
      </c>
      <c r="G365" s="10">
        <f t="shared" si="33"/>
        <v>8.5652371285899594E-5</v>
      </c>
      <c r="H365">
        <f t="shared" si="34"/>
        <v>1.15726180388712E-3</v>
      </c>
      <c r="I365" s="10">
        <f t="shared" si="35"/>
        <v>7.7265767205094624</v>
      </c>
    </row>
    <row r="366" spans="1:9">
      <c r="A366" t="s">
        <v>524</v>
      </c>
      <c r="B366" t="s">
        <v>10</v>
      </c>
      <c r="C366">
        <f>VLOOKUP(B366,Proteome!B:I,8,FALSE)</f>
        <v>3.0970299482795891E-4</v>
      </c>
      <c r="D366">
        <f t="shared" si="30"/>
        <v>0.1</v>
      </c>
      <c r="E366" s="10">
        <f t="shared" si="31"/>
        <v>3.0970299482795893E-5</v>
      </c>
      <c r="F366">
        <f t="shared" si="32"/>
        <v>0.36158134349158805</v>
      </c>
      <c r="G366" s="10">
        <f t="shared" si="33"/>
        <v>8.5652371285899594E-5</v>
      </c>
      <c r="H366">
        <f t="shared" si="34"/>
        <v>1.15726180388712E-3</v>
      </c>
      <c r="I366" s="10">
        <f t="shared" si="35"/>
        <v>7.7265767205094624</v>
      </c>
    </row>
    <row r="367" spans="1:9">
      <c r="A367" t="s">
        <v>524</v>
      </c>
      <c r="B367" t="s">
        <v>11</v>
      </c>
      <c r="C367">
        <f>VLOOKUP(B367,Proteome!B:I,8,FALSE)</f>
        <v>3.0970299482795891E-4</v>
      </c>
      <c r="D367">
        <f t="shared" si="30"/>
        <v>0.1</v>
      </c>
      <c r="E367" s="10">
        <f t="shared" si="31"/>
        <v>3.0970299482795893E-5</v>
      </c>
      <c r="F367">
        <f t="shared" si="32"/>
        <v>0.36158134349158805</v>
      </c>
      <c r="G367" s="10">
        <f t="shared" si="33"/>
        <v>8.5652371285899594E-5</v>
      </c>
      <c r="H367">
        <f t="shared" si="34"/>
        <v>1.15726180388712E-3</v>
      </c>
      <c r="I367" s="10">
        <f t="shared" si="35"/>
        <v>7.7265767205094624</v>
      </c>
    </row>
    <row r="368" spans="1:9">
      <c r="A368" t="s">
        <v>524</v>
      </c>
      <c r="B368" t="s">
        <v>12</v>
      </c>
      <c r="C368">
        <f>VLOOKUP(B368,Proteome!B:I,8,FALSE)</f>
        <v>5.8843569017312199E-4</v>
      </c>
      <c r="D368">
        <f t="shared" si="30"/>
        <v>0.1</v>
      </c>
      <c r="E368" s="10">
        <f t="shared" si="31"/>
        <v>5.8843569017312204E-5</v>
      </c>
      <c r="F368">
        <f t="shared" si="32"/>
        <v>0.36158134349158805</v>
      </c>
      <c r="G368" s="10">
        <f t="shared" si="33"/>
        <v>1.6273950544320925E-4</v>
      </c>
      <c r="H368">
        <f t="shared" si="34"/>
        <v>2.048100739968989E-3</v>
      </c>
      <c r="I368" s="10">
        <f t="shared" si="35"/>
        <v>7.7265767205094624</v>
      </c>
    </row>
    <row r="369" spans="1:9">
      <c r="A369" t="s">
        <v>524</v>
      </c>
      <c r="B369" t="s">
        <v>13</v>
      </c>
      <c r="C369">
        <f>VLOOKUP(B369,Proteome!B:I,8,FALSE)</f>
        <v>3.0970299482795891E-4</v>
      </c>
      <c r="D369">
        <f t="shared" si="30"/>
        <v>0.1</v>
      </c>
      <c r="E369" s="10">
        <f t="shared" si="31"/>
        <v>3.0970299482795893E-5</v>
      </c>
      <c r="F369">
        <f t="shared" si="32"/>
        <v>0.36158134349158805</v>
      </c>
      <c r="G369" s="10">
        <f t="shared" si="33"/>
        <v>8.5652371285899594E-5</v>
      </c>
      <c r="H369">
        <f t="shared" si="34"/>
        <v>1.15726180388712E-3</v>
      </c>
      <c r="I369" s="10">
        <f t="shared" si="35"/>
        <v>7.7265767205094624</v>
      </c>
    </row>
    <row r="370" spans="1:9">
      <c r="A370" t="s">
        <v>524</v>
      </c>
      <c r="B370" t="s">
        <v>14</v>
      </c>
      <c r="C370">
        <f>VLOOKUP(B370,Proteome!B:I,8,FALSE)</f>
        <v>3.0970299482795891E-4</v>
      </c>
      <c r="D370">
        <f t="shared" si="30"/>
        <v>0.1</v>
      </c>
      <c r="E370" s="10">
        <f t="shared" si="31"/>
        <v>3.0970299482795893E-5</v>
      </c>
      <c r="F370">
        <f t="shared" si="32"/>
        <v>0.36158134349158805</v>
      </c>
      <c r="G370" s="10">
        <f t="shared" si="33"/>
        <v>8.5652371285899594E-5</v>
      </c>
      <c r="H370">
        <f t="shared" si="34"/>
        <v>1.15726180388712E-3</v>
      </c>
      <c r="I370" s="10">
        <f t="shared" si="35"/>
        <v>7.7265767205094624</v>
      </c>
    </row>
    <row r="371" spans="1:9">
      <c r="A371" t="s">
        <v>534</v>
      </c>
      <c r="B371" t="s">
        <v>80</v>
      </c>
      <c r="C371">
        <f>VLOOKUP(B371,Proteome!B:I,8,FALSE)</f>
        <v>3.0970299482795891E-4</v>
      </c>
      <c r="D371">
        <f t="shared" si="30"/>
        <v>0.1</v>
      </c>
      <c r="E371" s="10">
        <f t="shared" si="31"/>
        <v>3.0970299482795893E-5</v>
      </c>
      <c r="F371">
        <f t="shared" si="32"/>
        <v>0.36158134349158805</v>
      </c>
      <c r="G371" s="10">
        <f t="shared" si="33"/>
        <v>8.5652371285899594E-5</v>
      </c>
      <c r="H371">
        <f t="shared" si="34"/>
        <v>1.15726180388712E-3</v>
      </c>
      <c r="I371" s="10">
        <f t="shared" si="35"/>
        <v>7.7265767205094624</v>
      </c>
    </row>
    <row r="372" spans="1:9">
      <c r="A372" t="s">
        <v>534</v>
      </c>
      <c r="B372" t="s">
        <v>81</v>
      </c>
      <c r="C372">
        <f>VLOOKUP(B372,Proteome!B:I,8,FALSE)</f>
        <v>5.8843569017312199E-4</v>
      </c>
      <c r="D372">
        <f t="shared" si="30"/>
        <v>0.1</v>
      </c>
      <c r="E372" s="10">
        <f t="shared" si="31"/>
        <v>5.8843569017312204E-5</v>
      </c>
      <c r="F372">
        <f t="shared" si="32"/>
        <v>0.36158134349158805</v>
      </c>
      <c r="G372" s="10">
        <f t="shared" si="33"/>
        <v>1.6273950544320925E-4</v>
      </c>
      <c r="H372">
        <f t="shared" si="34"/>
        <v>2.048100739968989E-3</v>
      </c>
      <c r="I372" s="10">
        <f t="shared" si="35"/>
        <v>7.7265767205094624</v>
      </c>
    </row>
    <row r="373" spans="1:9">
      <c r="A373" t="s">
        <v>524</v>
      </c>
      <c r="B373" t="s">
        <v>15</v>
      </c>
      <c r="C373">
        <f>VLOOKUP(B373,Proteome!B:I,8,FALSE)</f>
        <v>5.8843569017312199E-4</v>
      </c>
      <c r="D373">
        <f t="shared" si="30"/>
        <v>0.1</v>
      </c>
      <c r="E373" s="10">
        <f t="shared" si="31"/>
        <v>5.8843569017312204E-5</v>
      </c>
      <c r="F373">
        <f t="shared" si="32"/>
        <v>0.36158134349158805</v>
      </c>
      <c r="G373" s="10">
        <f t="shared" si="33"/>
        <v>1.6273950544320925E-4</v>
      </c>
      <c r="H373">
        <f t="shared" si="34"/>
        <v>2.048100739968989E-3</v>
      </c>
      <c r="I373" s="10">
        <f t="shared" si="35"/>
        <v>7.7265767205094624</v>
      </c>
    </row>
    <row r="374" spans="1:9">
      <c r="A374" t="s">
        <v>524</v>
      </c>
      <c r="B374" t="s">
        <v>16</v>
      </c>
      <c r="C374">
        <f>VLOOKUP(B374,Proteome!B:I,8,FALSE)</f>
        <v>3.0970299482795891E-4</v>
      </c>
      <c r="D374">
        <f t="shared" si="30"/>
        <v>0.1</v>
      </c>
      <c r="E374" s="10">
        <f t="shared" si="31"/>
        <v>3.0970299482795893E-5</v>
      </c>
      <c r="F374">
        <f t="shared" si="32"/>
        <v>0.36158134349158805</v>
      </c>
      <c r="G374" s="10">
        <f t="shared" si="33"/>
        <v>8.5652371285899594E-5</v>
      </c>
      <c r="H374">
        <f t="shared" si="34"/>
        <v>1.15726180388712E-3</v>
      </c>
      <c r="I374" s="10">
        <f t="shared" si="35"/>
        <v>7.7265767205094624</v>
      </c>
    </row>
    <row r="375" spans="1:9">
      <c r="A375" t="s">
        <v>534</v>
      </c>
      <c r="B375" t="s">
        <v>83</v>
      </c>
      <c r="C375">
        <f>VLOOKUP(B375,Proteome!B:I,8,FALSE)</f>
        <v>5.8843569017312199E-4</v>
      </c>
      <c r="D375">
        <f t="shared" si="30"/>
        <v>0.1</v>
      </c>
      <c r="E375" s="10">
        <f t="shared" si="31"/>
        <v>5.8843569017312204E-5</v>
      </c>
      <c r="F375">
        <f t="shared" si="32"/>
        <v>0.36158134349158805</v>
      </c>
      <c r="G375" s="10">
        <f t="shared" si="33"/>
        <v>1.6273950544320925E-4</v>
      </c>
      <c r="H375">
        <f t="shared" si="34"/>
        <v>2.048100739968989E-3</v>
      </c>
      <c r="I375" s="10">
        <f t="shared" si="35"/>
        <v>7.7265767205094624</v>
      </c>
    </row>
    <row r="376" spans="1:9">
      <c r="A376" t="s">
        <v>534</v>
      </c>
      <c r="B376" t="s">
        <v>85</v>
      </c>
      <c r="C376">
        <f>VLOOKUP(B376,Proteome!B:I,8,FALSE)</f>
        <v>5.8843569017312199E-4</v>
      </c>
      <c r="D376">
        <f t="shared" si="30"/>
        <v>0.1</v>
      </c>
      <c r="E376" s="10">
        <f t="shared" si="31"/>
        <v>5.8843569017312204E-5</v>
      </c>
      <c r="F376">
        <f t="shared" si="32"/>
        <v>0.36158134349158805</v>
      </c>
      <c r="G376" s="10">
        <f t="shared" si="33"/>
        <v>1.6273950544320925E-4</v>
      </c>
      <c r="H376">
        <f t="shared" si="34"/>
        <v>2.048100739968989E-3</v>
      </c>
      <c r="I376" s="10">
        <f t="shared" si="35"/>
        <v>7.7265767205094624</v>
      </c>
    </row>
    <row r="377" spans="1:9">
      <c r="A377" t="s">
        <v>534</v>
      </c>
      <c r="B377" t="s">
        <v>88</v>
      </c>
      <c r="C377">
        <f>VLOOKUP(B377,Proteome!B:I,8,FALSE)</f>
        <v>5.8843569017312199E-4</v>
      </c>
      <c r="D377">
        <f t="shared" si="30"/>
        <v>0.1</v>
      </c>
      <c r="E377" s="10">
        <f t="shared" si="31"/>
        <v>5.8843569017312204E-5</v>
      </c>
      <c r="F377">
        <f t="shared" si="32"/>
        <v>0.36158134349158805</v>
      </c>
      <c r="G377" s="10">
        <f t="shared" si="33"/>
        <v>1.6273950544320925E-4</v>
      </c>
      <c r="H377">
        <f t="shared" si="34"/>
        <v>2.048100739968989E-3</v>
      </c>
      <c r="I377" s="10">
        <f t="shared" si="35"/>
        <v>7.7265767205094624</v>
      </c>
    </row>
    <row r="378" spans="1:9">
      <c r="A378" t="s">
        <v>524</v>
      </c>
      <c r="B378" t="s">
        <v>17</v>
      </c>
      <c r="C378">
        <f>VLOOKUP(B378,Proteome!B:I,8,FALSE)</f>
        <v>3.0970299482795891E-4</v>
      </c>
      <c r="D378">
        <f t="shared" si="30"/>
        <v>0.1</v>
      </c>
      <c r="E378" s="10">
        <f t="shared" si="31"/>
        <v>3.0970299482795893E-5</v>
      </c>
      <c r="F378">
        <f t="shared" si="32"/>
        <v>0.36158134349158805</v>
      </c>
      <c r="G378" s="10">
        <f t="shared" si="33"/>
        <v>8.5652371285899594E-5</v>
      </c>
      <c r="H378">
        <f t="shared" si="34"/>
        <v>1.15726180388712E-3</v>
      </c>
      <c r="I378" s="10">
        <f t="shared" si="35"/>
        <v>7.7265767205094624</v>
      </c>
    </row>
    <row r="379" spans="1:9">
      <c r="A379" t="s">
        <v>524</v>
      </c>
      <c r="B379" t="s">
        <v>19</v>
      </c>
      <c r="C379">
        <f>VLOOKUP(B379,Proteome!B:I,8,FALSE)</f>
        <v>5.8843569017312199E-4</v>
      </c>
      <c r="D379">
        <f t="shared" si="30"/>
        <v>0.1</v>
      </c>
      <c r="E379" s="10">
        <f t="shared" si="31"/>
        <v>5.8843569017312204E-5</v>
      </c>
      <c r="F379">
        <f t="shared" si="32"/>
        <v>0.36158134349158805</v>
      </c>
      <c r="G379" s="10">
        <f t="shared" si="33"/>
        <v>1.6273950544320925E-4</v>
      </c>
      <c r="H379">
        <f t="shared" si="34"/>
        <v>2.048100739968989E-3</v>
      </c>
      <c r="I379" s="10">
        <f t="shared" si="35"/>
        <v>7.7265767205094624</v>
      </c>
    </row>
    <row r="380" spans="1:9">
      <c r="A380" t="s">
        <v>524</v>
      </c>
      <c r="B380" t="s">
        <v>20</v>
      </c>
      <c r="C380">
        <f>VLOOKUP(B380,Proteome!B:I,8,FALSE)</f>
        <v>3.0970299482795891E-4</v>
      </c>
      <c r="D380">
        <f t="shared" si="30"/>
        <v>0.1</v>
      </c>
      <c r="E380" s="10">
        <f t="shared" si="31"/>
        <v>3.0970299482795893E-5</v>
      </c>
      <c r="F380">
        <f t="shared" si="32"/>
        <v>0.36158134349158805</v>
      </c>
      <c r="G380" s="10">
        <f t="shared" si="33"/>
        <v>8.5652371285899594E-5</v>
      </c>
      <c r="H380">
        <f t="shared" si="34"/>
        <v>1.15726180388712E-3</v>
      </c>
      <c r="I380" s="10">
        <f t="shared" si="35"/>
        <v>7.7265767205094624</v>
      </c>
    </row>
    <row r="381" spans="1:9">
      <c r="A381" t="s">
        <v>524</v>
      </c>
      <c r="B381" t="s">
        <v>21</v>
      </c>
      <c r="C381">
        <f>VLOOKUP(B381,Proteome!B:I,8,FALSE)</f>
        <v>5.8843569017312199E-4</v>
      </c>
      <c r="D381">
        <f t="shared" si="30"/>
        <v>0.1</v>
      </c>
      <c r="E381" s="10">
        <f t="shared" si="31"/>
        <v>5.8843569017312204E-5</v>
      </c>
      <c r="F381">
        <f t="shared" si="32"/>
        <v>0.36158134349158805</v>
      </c>
      <c r="G381" s="10">
        <f t="shared" si="33"/>
        <v>1.6273950544320925E-4</v>
      </c>
      <c r="H381">
        <f t="shared" si="34"/>
        <v>2.048100739968989E-3</v>
      </c>
      <c r="I381" s="10">
        <f t="shared" si="35"/>
        <v>7.7265767205094624</v>
      </c>
    </row>
    <row r="382" spans="1:9">
      <c r="A382" t="s">
        <v>534</v>
      </c>
      <c r="B382" t="s">
        <v>90</v>
      </c>
      <c r="C382">
        <f>VLOOKUP(B382,Proteome!B:I,8,FALSE)</f>
        <v>3.0970299482795891E-4</v>
      </c>
      <c r="D382">
        <f t="shared" si="30"/>
        <v>0.1</v>
      </c>
      <c r="E382" s="10">
        <f t="shared" si="31"/>
        <v>3.0970299482795893E-5</v>
      </c>
      <c r="F382">
        <f t="shared" si="32"/>
        <v>0.36158134349158805</v>
      </c>
      <c r="G382" s="10">
        <f t="shared" si="33"/>
        <v>8.5652371285899594E-5</v>
      </c>
      <c r="H382">
        <f t="shared" si="34"/>
        <v>1.15726180388712E-3</v>
      </c>
      <c r="I382" s="10">
        <f t="shared" si="35"/>
        <v>7.7265767205094624</v>
      </c>
    </row>
    <row r="383" spans="1:9">
      <c r="A383" t="s">
        <v>534</v>
      </c>
      <c r="B383" t="s">
        <v>93</v>
      </c>
      <c r="C383">
        <f>VLOOKUP(B383,Proteome!B:I,8,FALSE)</f>
        <v>5.8843569017312199E-4</v>
      </c>
      <c r="D383">
        <f t="shared" si="30"/>
        <v>0.1</v>
      </c>
      <c r="E383" s="10">
        <f t="shared" si="31"/>
        <v>5.8843569017312204E-5</v>
      </c>
      <c r="F383">
        <f t="shared" si="32"/>
        <v>0.36158134349158805</v>
      </c>
      <c r="G383" s="10">
        <f t="shared" si="33"/>
        <v>1.6273950544320925E-4</v>
      </c>
      <c r="H383">
        <f t="shared" si="34"/>
        <v>2.048100739968989E-3</v>
      </c>
      <c r="I383" s="10">
        <f t="shared" si="35"/>
        <v>7.7265767205094624</v>
      </c>
    </row>
    <row r="384" spans="1:9">
      <c r="A384" t="s">
        <v>534</v>
      </c>
      <c r="B384" t="s">
        <v>94</v>
      </c>
      <c r="C384">
        <f>VLOOKUP(B384,Proteome!B:I,8,FALSE)</f>
        <v>5.8843569017312199E-4</v>
      </c>
      <c r="D384">
        <f t="shared" si="30"/>
        <v>0.1</v>
      </c>
      <c r="E384" s="10">
        <f t="shared" si="31"/>
        <v>5.8843569017312204E-5</v>
      </c>
      <c r="F384">
        <f t="shared" si="32"/>
        <v>0.36158134349158805</v>
      </c>
      <c r="G384" s="10">
        <f t="shared" si="33"/>
        <v>1.6273950544320925E-4</v>
      </c>
      <c r="H384">
        <f t="shared" si="34"/>
        <v>2.048100739968989E-3</v>
      </c>
      <c r="I384" s="10">
        <f t="shared" si="35"/>
        <v>7.7265767205094624</v>
      </c>
    </row>
    <row r="385" spans="1:9">
      <c r="A385" t="s">
        <v>534</v>
      </c>
      <c r="B385" t="s">
        <v>95</v>
      </c>
      <c r="C385">
        <f>VLOOKUP(B385,Proteome!B:I,8,FALSE)</f>
        <v>5.8843569017312199E-4</v>
      </c>
      <c r="D385">
        <f t="shared" si="30"/>
        <v>0.1</v>
      </c>
      <c r="E385" s="10">
        <f t="shared" si="31"/>
        <v>5.8843569017312204E-5</v>
      </c>
      <c r="F385">
        <f t="shared" si="32"/>
        <v>0.36158134349158805</v>
      </c>
      <c r="G385" s="10">
        <f t="shared" si="33"/>
        <v>1.6273950544320925E-4</v>
      </c>
      <c r="H385">
        <f t="shared" si="34"/>
        <v>2.048100739968989E-3</v>
      </c>
      <c r="I385" s="10">
        <f t="shared" si="35"/>
        <v>7.7265767205094624</v>
      </c>
    </row>
    <row r="386" spans="1:9">
      <c r="A386" t="s">
        <v>534</v>
      </c>
      <c r="B386" t="s">
        <v>96</v>
      </c>
      <c r="C386">
        <f>VLOOKUP(B386,Proteome!B:I,8,FALSE)</f>
        <v>3.0970299482795891E-4</v>
      </c>
      <c r="D386">
        <f t="shared" ref="D386:D449" si="36">VLOOKUP(A386,$K$2:$L$12,2,FALSE)</f>
        <v>0.1</v>
      </c>
      <c r="E386" s="10">
        <f t="shared" ref="E386:E449" si="37">C386*D386</f>
        <v>3.0970299482795893E-5</v>
      </c>
      <c r="F386">
        <f t="shared" ref="F386:F449" si="38">SUM($E$2:$E$522)</f>
        <v>0.36158134349158805</v>
      </c>
      <c r="G386" s="10">
        <f t="shared" ref="G386:G449" si="39">E386/F386</f>
        <v>8.5652371285899594E-5</v>
      </c>
      <c r="H386">
        <f t="shared" ref="H386:H449" si="40">-G386*LOG(G386,2)</f>
        <v>1.15726180388712E-3</v>
      </c>
      <c r="I386" s="10">
        <f t="shared" ref="I386:I449" si="41">SUM($H$2:$H$522)</f>
        <v>7.7265767205094624</v>
      </c>
    </row>
    <row r="387" spans="1:9">
      <c r="A387" t="s">
        <v>534</v>
      </c>
      <c r="B387" t="s">
        <v>99</v>
      </c>
      <c r="C387">
        <f>VLOOKUP(B387,Proteome!B:I,8,FALSE)</f>
        <v>3.0970299482795891E-4</v>
      </c>
      <c r="D387">
        <f t="shared" si="36"/>
        <v>0.1</v>
      </c>
      <c r="E387" s="10">
        <f t="shared" si="37"/>
        <v>3.0970299482795893E-5</v>
      </c>
      <c r="F387">
        <f t="shared" si="38"/>
        <v>0.36158134349158805</v>
      </c>
      <c r="G387" s="10">
        <f t="shared" si="39"/>
        <v>8.5652371285899594E-5</v>
      </c>
      <c r="H387">
        <f t="shared" si="40"/>
        <v>1.15726180388712E-3</v>
      </c>
      <c r="I387" s="10">
        <f t="shared" si="41"/>
        <v>7.7265767205094624</v>
      </c>
    </row>
    <row r="388" spans="1:9">
      <c r="A388" t="s">
        <v>534</v>
      </c>
      <c r="B388" t="s">
        <v>100</v>
      </c>
      <c r="C388">
        <f>VLOOKUP(B388,Proteome!B:I,8,FALSE)</f>
        <v>5.8843569017312199E-4</v>
      </c>
      <c r="D388">
        <f t="shared" si="36"/>
        <v>0.1</v>
      </c>
      <c r="E388" s="10">
        <f t="shared" si="37"/>
        <v>5.8843569017312204E-5</v>
      </c>
      <c r="F388">
        <f t="shared" si="38"/>
        <v>0.36158134349158805</v>
      </c>
      <c r="G388" s="10">
        <f t="shared" si="39"/>
        <v>1.6273950544320925E-4</v>
      </c>
      <c r="H388">
        <f t="shared" si="40"/>
        <v>2.048100739968989E-3</v>
      </c>
      <c r="I388" s="10">
        <f t="shared" si="41"/>
        <v>7.7265767205094624</v>
      </c>
    </row>
    <row r="389" spans="1:9">
      <c r="A389" t="s">
        <v>524</v>
      </c>
      <c r="B389" t="s">
        <v>23</v>
      </c>
      <c r="C389">
        <f>VLOOKUP(B389,Proteome!B:I,8,FALSE)</f>
        <v>3.0970299482795891E-4</v>
      </c>
      <c r="D389">
        <f t="shared" si="36"/>
        <v>0.1</v>
      </c>
      <c r="E389" s="10">
        <f t="shared" si="37"/>
        <v>3.0970299482795893E-5</v>
      </c>
      <c r="F389">
        <f t="shared" si="38"/>
        <v>0.36158134349158805</v>
      </c>
      <c r="G389" s="10">
        <f t="shared" si="39"/>
        <v>8.5652371285899594E-5</v>
      </c>
      <c r="H389">
        <f t="shared" si="40"/>
        <v>1.15726180388712E-3</v>
      </c>
      <c r="I389" s="10">
        <f t="shared" si="41"/>
        <v>7.7265767205094624</v>
      </c>
    </row>
    <row r="390" spans="1:9">
      <c r="A390" t="s">
        <v>534</v>
      </c>
      <c r="B390" t="s">
        <v>101</v>
      </c>
      <c r="C390">
        <f>VLOOKUP(B390,Proteome!B:I,8,FALSE)</f>
        <v>3.0970299482795891E-4</v>
      </c>
      <c r="D390">
        <f t="shared" si="36"/>
        <v>0.1</v>
      </c>
      <c r="E390" s="10">
        <f t="shared" si="37"/>
        <v>3.0970299482795893E-5</v>
      </c>
      <c r="F390">
        <f t="shared" si="38"/>
        <v>0.36158134349158805</v>
      </c>
      <c r="G390" s="10">
        <f t="shared" si="39"/>
        <v>8.5652371285899594E-5</v>
      </c>
      <c r="H390">
        <f t="shared" si="40"/>
        <v>1.15726180388712E-3</v>
      </c>
      <c r="I390" s="10">
        <f t="shared" si="41"/>
        <v>7.7265767205094624</v>
      </c>
    </row>
    <row r="391" spans="1:9">
      <c r="A391" t="s">
        <v>534</v>
      </c>
      <c r="B391" t="s">
        <v>104</v>
      </c>
      <c r="C391">
        <f>VLOOKUP(B391,Proteome!B:I,8,FALSE)</f>
        <v>5.8843569017312199E-4</v>
      </c>
      <c r="D391">
        <f t="shared" si="36"/>
        <v>0.1</v>
      </c>
      <c r="E391" s="10">
        <f t="shared" si="37"/>
        <v>5.8843569017312204E-5</v>
      </c>
      <c r="F391">
        <f t="shared" si="38"/>
        <v>0.36158134349158805</v>
      </c>
      <c r="G391" s="10">
        <f t="shared" si="39"/>
        <v>1.6273950544320925E-4</v>
      </c>
      <c r="H391">
        <f t="shared" si="40"/>
        <v>2.048100739968989E-3</v>
      </c>
      <c r="I391" s="10">
        <f t="shared" si="41"/>
        <v>7.7265767205094624</v>
      </c>
    </row>
    <row r="392" spans="1:9">
      <c r="A392" t="s">
        <v>524</v>
      </c>
      <c r="B392" t="s">
        <v>24</v>
      </c>
      <c r="C392">
        <f>VLOOKUP(B392,Proteome!B:I,8,FALSE)</f>
        <v>5.8843569017312199E-4</v>
      </c>
      <c r="D392">
        <f t="shared" si="36"/>
        <v>0.1</v>
      </c>
      <c r="E392" s="10">
        <f t="shared" si="37"/>
        <v>5.8843569017312204E-5</v>
      </c>
      <c r="F392">
        <f t="shared" si="38"/>
        <v>0.36158134349158805</v>
      </c>
      <c r="G392" s="10">
        <f t="shared" si="39"/>
        <v>1.6273950544320925E-4</v>
      </c>
      <c r="H392">
        <f t="shared" si="40"/>
        <v>2.048100739968989E-3</v>
      </c>
      <c r="I392" s="10">
        <f t="shared" si="41"/>
        <v>7.7265767205094624</v>
      </c>
    </row>
    <row r="393" spans="1:9">
      <c r="A393" t="s">
        <v>524</v>
      </c>
      <c r="B393" t="s">
        <v>26</v>
      </c>
      <c r="C393">
        <f>VLOOKUP(B393,Proteome!B:I,8,FALSE)</f>
        <v>5.8843569017312199E-4</v>
      </c>
      <c r="D393">
        <f t="shared" si="36"/>
        <v>0.1</v>
      </c>
      <c r="E393" s="10">
        <f t="shared" si="37"/>
        <v>5.8843569017312204E-5</v>
      </c>
      <c r="F393">
        <f t="shared" si="38"/>
        <v>0.36158134349158805</v>
      </c>
      <c r="G393" s="10">
        <f t="shared" si="39"/>
        <v>1.6273950544320925E-4</v>
      </c>
      <c r="H393">
        <f t="shared" si="40"/>
        <v>2.048100739968989E-3</v>
      </c>
      <c r="I393" s="10">
        <f t="shared" si="41"/>
        <v>7.7265767205094624</v>
      </c>
    </row>
    <row r="394" spans="1:9">
      <c r="A394" t="s">
        <v>534</v>
      </c>
      <c r="B394" t="s">
        <v>106</v>
      </c>
      <c r="C394">
        <f>VLOOKUP(B394,Proteome!B:I,8,FALSE)</f>
        <v>3.0970299482795891E-4</v>
      </c>
      <c r="D394">
        <f t="shared" si="36"/>
        <v>0.1</v>
      </c>
      <c r="E394" s="10">
        <f t="shared" si="37"/>
        <v>3.0970299482795893E-5</v>
      </c>
      <c r="F394">
        <f t="shared" si="38"/>
        <v>0.36158134349158805</v>
      </c>
      <c r="G394" s="10">
        <f t="shared" si="39"/>
        <v>8.5652371285899594E-5</v>
      </c>
      <c r="H394">
        <f t="shared" si="40"/>
        <v>1.15726180388712E-3</v>
      </c>
      <c r="I394" s="10">
        <f t="shared" si="41"/>
        <v>7.7265767205094624</v>
      </c>
    </row>
    <row r="395" spans="1:9">
      <c r="A395" t="s">
        <v>534</v>
      </c>
      <c r="B395" t="s">
        <v>107</v>
      </c>
      <c r="C395">
        <f>VLOOKUP(B395,Proteome!B:I,8,FALSE)</f>
        <v>5.8843569017312199E-4</v>
      </c>
      <c r="D395">
        <f t="shared" si="36"/>
        <v>0.1</v>
      </c>
      <c r="E395" s="10">
        <f t="shared" si="37"/>
        <v>5.8843569017312204E-5</v>
      </c>
      <c r="F395">
        <f t="shared" si="38"/>
        <v>0.36158134349158805</v>
      </c>
      <c r="G395" s="10">
        <f t="shared" si="39"/>
        <v>1.6273950544320925E-4</v>
      </c>
      <c r="H395">
        <f t="shared" si="40"/>
        <v>2.048100739968989E-3</v>
      </c>
      <c r="I395" s="10">
        <f t="shared" si="41"/>
        <v>7.7265767205094624</v>
      </c>
    </row>
    <row r="396" spans="1:9">
      <c r="A396" t="s">
        <v>534</v>
      </c>
      <c r="B396" t="s">
        <v>108</v>
      </c>
      <c r="C396">
        <f>VLOOKUP(B396,Proteome!B:I,8,FALSE)</f>
        <v>5.8843569017312199E-4</v>
      </c>
      <c r="D396">
        <f t="shared" si="36"/>
        <v>0.1</v>
      </c>
      <c r="E396" s="10">
        <f t="shared" si="37"/>
        <v>5.8843569017312204E-5</v>
      </c>
      <c r="F396">
        <f t="shared" si="38"/>
        <v>0.36158134349158805</v>
      </c>
      <c r="G396" s="10">
        <f t="shared" si="39"/>
        <v>1.6273950544320925E-4</v>
      </c>
      <c r="H396">
        <f t="shared" si="40"/>
        <v>2.048100739968989E-3</v>
      </c>
      <c r="I396" s="10">
        <f t="shared" si="41"/>
        <v>7.7265767205094624</v>
      </c>
    </row>
    <row r="397" spans="1:9">
      <c r="A397" t="s">
        <v>524</v>
      </c>
      <c r="B397" t="s">
        <v>29</v>
      </c>
      <c r="C397">
        <f>VLOOKUP(B397,Proteome!B:I,8,FALSE)</f>
        <v>3.0970299482795891E-4</v>
      </c>
      <c r="D397">
        <f t="shared" si="36"/>
        <v>0.1</v>
      </c>
      <c r="E397" s="10">
        <f t="shared" si="37"/>
        <v>3.0970299482795893E-5</v>
      </c>
      <c r="F397">
        <f t="shared" si="38"/>
        <v>0.36158134349158805</v>
      </c>
      <c r="G397" s="10">
        <f t="shared" si="39"/>
        <v>8.5652371285899594E-5</v>
      </c>
      <c r="H397">
        <f t="shared" si="40"/>
        <v>1.15726180388712E-3</v>
      </c>
      <c r="I397" s="10">
        <f t="shared" si="41"/>
        <v>7.7265767205094624</v>
      </c>
    </row>
    <row r="398" spans="1:9">
      <c r="A398" t="s">
        <v>524</v>
      </c>
      <c r="B398" t="s">
        <v>31</v>
      </c>
      <c r="C398">
        <f>VLOOKUP(B398,Proteome!B:I,8,FALSE)</f>
        <v>5.8843569017312199E-4</v>
      </c>
      <c r="D398">
        <f t="shared" si="36"/>
        <v>0.1</v>
      </c>
      <c r="E398" s="10">
        <f t="shared" si="37"/>
        <v>5.8843569017312204E-5</v>
      </c>
      <c r="F398">
        <f t="shared" si="38"/>
        <v>0.36158134349158805</v>
      </c>
      <c r="G398" s="10">
        <f t="shared" si="39"/>
        <v>1.6273950544320925E-4</v>
      </c>
      <c r="H398">
        <f t="shared" si="40"/>
        <v>2.048100739968989E-3</v>
      </c>
      <c r="I398" s="10">
        <f t="shared" si="41"/>
        <v>7.7265767205094624</v>
      </c>
    </row>
    <row r="399" spans="1:9">
      <c r="A399" t="s">
        <v>524</v>
      </c>
      <c r="B399" t="s">
        <v>33</v>
      </c>
      <c r="C399">
        <f>VLOOKUP(B399,Proteome!B:I,8,FALSE)</f>
        <v>5.8843569017312199E-4</v>
      </c>
      <c r="D399">
        <f t="shared" si="36"/>
        <v>0.1</v>
      </c>
      <c r="E399" s="10">
        <f t="shared" si="37"/>
        <v>5.8843569017312204E-5</v>
      </c>
      <c r="F399">
        <f t="shared" si="38"/>
        <v>0.36158134349158805</v>
      </c>
      <c r="G399" s="10">
        <f t="shared" si="39"/>
        <v>1.6273950544320925E-4</v>
      </c>
      <c r="H399">
        <f t="shared" si="40"/>
        <v>2.048100739968989E-3</v>
      </c>
      <c r="I399" s="10">
        <f t="shared" si="41"/>
        <v>7.7265767205094624</v>
      </c>
    </row>
    <row r="400" spans="1:9">
      <c r="A400" t="s">
        <v>524</v>
      </c>
      <c r="B400" t="s">
        <v>34</v>
      </c>
      <c r="C400">
        <f>VLOOKUP(B400,Proteome!B:I,8,FALSE)</f>
        <v>5.8843569017312199E-4</v>
      </c>
      <c r="D400">
        <f t="shared" si="36"/>
        <v>0.1</v>
      </c>
      <c r="E400" s="10">
        <f t="shared" si="37"/>
        <v>5.8843569017312204E-5</v>
      </c>
      <c r="F400">
        <f t="shared" si="38"/>
        <v>0.36158134349158805</v>
      </c>
      <c r="G400" s="10">
        <f t="shared" si="39"/>
        <v>1.6273950544320925E-4</v>
      </c>
      <c r="H400">
        <f t="shared" si="40"/>
        <v>2.048100739968989E-3</v>
      </c>
      <c r="I400" s="10">
        <f t="shared" si="41"/>
        <v>7.7265767205094624</v>
      </c>
    </row>
    <row r="401" spans="1:9">
      <c r="A401" t="s">
        <v>524</v>
      </c>
      <c r="B401" t="s">
        <v>35</v>
      </c>
      <c r="C401">
        <f>VLOOKUP(B401,Proteome!B:I,8,FALSE)</f>
        <v>5.8843569017312199E-4</v>
      </c>
      <c r="D401">
        <f t="shared" si="36"/>
        <v>0.1</v>
      </c>
      <c r="E401" s="10">
        <f t="shared" si="37"/>
        <v>5.8843569017312204E-5</v>
      </c>
      <c r="F401">
        <f t="shared" si="38"/>
        <v>0.36158134349158805</v>
      </c>
      <c r="G401" s="10">
        <f t="shared" si="39"/>
        <v>1.6273950544320925E-4</v>
      </c>
      <c r="H401">
        <f t="shared" si="40"/>
        <v>2.048100739968989E-3</v>
      </c>
      <c r="I401" s="10">
        <f t="shared" si="41"/>
        <v>7.7265767205094624</v>
      </c>
    </row>
    <row r="402" spans="1:9">
      <c r="A402" t="s">
        <v>524</v>
      </c>
      <c r="B402" t="s">
        <v>37</v>
      </c>
      <c r="C402">
        <f>VLOOKUP(B402,Proteome!B:I,8,FALSE)</f>
        <v>5.8843569017312199E-4</v>
      </c>
      <c r="D402">
        <f t="shared" si="36"/>
        <v>0.1</v>
      </c>
      <c r="E402" s="10">
        <f t="shared" si="37"/>
        <v>5.8843569017312204E-5</v>
      </c>
      <c r="F402">
        <f t="shared" si="38"/>
        <v>0.36158134349158805</v>
      </c>
      <c r="G402" s="10">
        <f t="shared" si="39"/>
        <v>1.6273950544320925E-4</v>
      </c>
      <c r="H402">
        <f t="shared" si="40"/>
        <v>2.048100739968989E-3</v>
      </c>
      <c r="I402" s="10">
        <f t="shared" si="41"/>
        <v>7.7265767205094624</v>
      </c>
    </row>
    <row r="403" spans="1:9">
      <c r="A403" t="s">
        <v>524</v>
      </c>
      <c r="B403" t="s">
        <v>38</v>
      </c>
      <c r="C403">
        <f>VLOOKUP(B403,Proteome!B:I,8,FALSE)</f>
        <v>5.8843569017312199E-4</v>
      </c>
      <c r="D403">
        <f t="shared" si="36"/>
        <v>0.1</v>
      </c>
      <c r="E403" s="10">
        <f t="shared" si="37"/>
        <v>5.8843569017312204E-5</v>
      </c>
      <c r="F403">
        <f t="shared" si="38"/>
        <v>0.36158134349158805</v>
      </c>
      <c r="G403" s="10">
        <f t="shared" si="39"/>
        <v>1.6273950544320925E-4</v>
      </c>
      <c r="H403">
        <f t="shared" si="40"/>
        <v>2.048100739968989E-3</v>
      </c>
      <c r="I403" s="10">
        <f t="shared" si="41"/>
        <v>7.7265767205094624</v>
      </c>
    </row>
    <row r="404" spans="1:9">
      <c r="A404" t="s">
        <v>534</v>
      </c>
      <c r="B404" t="s">
        <v>109</v>
      </c>
      <c r="C404">
        <f>VLOOKUP(B404,Proteome!B:I,8,FALSE)</f>
        <v>3.0970299482795891E-4</v>
      </c>
      <c r="D404">
        <f t="shared" si="36"/>
        <v>0.1</v>
      </c>
      <c r="E404" s="10">
        <f t="shared" si="37"/>
        <v>3.0970299482795893E-5</v>
      </c>
      <c r="F404">
        <f t="shared" si="38"/>
        <v>0.36158134349158805</v>
      </c>
      <c r="G404" s="10">
        <f t="shared" si="39"/>
        <v>8.5652371285899594E-5</v>
      </c>
      <c r="H404">
        <f t="shared" si="40"/>
        <v>1.15726180388712E-3</v>
      </c>
      <c r="I404" s="10">
        <f t="shared" si="41"/>
        <v>7.7265767205094624</v>
      </c>
    </row>
    <row r="405" spans="1:9">
      <c r="A405" t="s">
        <v>534</v>
      </c>
      <c r="B405" t="s">
        <v>110</v>
      </c>
      <c r="C405">
        <f>VLOOKUP(B405,Proteome!B:I,8,FALSE)</f>
        <v>5.8843569017312199E-4</v>
      </c>
      <c r="D405">
        <f t="shared" si="36"/>
        <v>0.1</v>
      </c>
      <c r="E405" s="10">
        <f t="shared" si="37"/>
        <v>5.8843569017312204E-5</v>
      </c>
      <c r="F405">
        <f t="shared" si="38"/>
        <v>0.36158134349158805</v>
      </c>
      <c r="G405" s="10">
        <f t="shared" si="39"/>
        <v>1.6273950544320925E-4</v>
      </c>
      <c r="H405">
        <f t="shared" si="40"/>
        <v>2.048100739968989E-3</v>
      </c>
      <c r="I405" s="10">
        <f t="shared" si="41"/>
        <v>7.7265767205094624</v>
      </c>
    </row>
    <row r="406" spans="1:9">
      <c r="A406" t="s">
        <v>534</v>
      </c>
      <c r="B406" t="s">
        <v>111</v>
      </c>
      <c r="C406">
        <f>VLOOKUP(B406,Proteome!B:I,8,FALSE)</f>
        <v>5.8843569017312199E-4</v>
      </c>
      <c r="D406">
        <f t="shared" si="36"/>
        <v>0.1</v>
      </c>
      <c r="E406" s="10">
        <f t="shared" si="37"/>
        <v>5.8843569017312204E-5</v>
      </c>
      <c r="F406">
        <f t="shared" si="38"/>
        <v>0.36158134349158805</v>
      </c>
      <c r="G406" s="10">
        <f t="shared" si="39"/>
        <v>1.6273950544320925E-4</v>
      </c>
      <c r="H406">
        <f t="shared" si="40"/>
        <v>2.048100739968989E-3</v>
      </c>
      <c r="I406" s="10">
        <f t="shared" si="41"/>
        <v>7.7265767205094624</v>
      </c>
    </row>
    <row r="407" spans="1:9">
      <c r="A407" t="s">
        <v>524</v>
      </c>
      <c r="B407" t="s">
        <v>39</v>
      </c>
      <c r="C407">
        <f>VLOOKUP(B407,Proteome!B:I,8,FALSE)</f>
        <v>3.0970299482795891E-4</v>
      </c>
      <c r="D407">
        <f t="shared" si="36"/>
        <v>0.1</v>
      </c>
      <c r="E407" s="10">
        <f t="shared" si="37"/>
        <v>3.0970299482795893E-5</v>
      </c>
      <c r="F407">
        <f t="shared" si="38"/>
        <v>0.36158134349158805</v>
      </c>
      <c r="G407" s="10">
        <f t="shared" si="39"/>
        <v>8.5652371285899594E-5</v>
      </c>
      <c r="H407">
        <f t="shared" si="40"/>
        <v>1.15726180388712E-3</v>
      </c>
      <c r="I407" s="10">
        <f t="shared" si="41"/>
        <v>7.7265767205094624</v>
      </c>
    </row>
    <row r="408" spans="1:9">
      <c r="A408" t="s">
        <v>524</v>
      </c>
      <c r="B408" t="s">
        <v>40</v>
      </c>
      <c r="C408">
        <f>VLOOKUP(B408,Proteome!B:I,8,FALSE)</f>
        <v>5.8843569017312199E-4</v>
      </c>
      <c r="D408">
        <f t="shared" si="36"/>
        <v>0.1</v>
      </c>
      <c r="E408" s="10">
        <f t="shared" si="37"/>
        <v>5.8843569017312204E-5</v>
      </c>
      <c r="F408">
        <f t="shared" si="38"/>
        <v>0.36158134349158805</v>
      </c>
      <c r="G408" s="10">
        <f t="shared" si="39"/>
        <v>1.6273950544320925E-4</v>
      </c>
      <c r="H408">
        <f t="shared" si="40"/>
        <v>2.048100739968989E-3</v>
      </c>
      <c r="I408" s="10">
        <f t="shared" si="41"/>
        <v>7.7265767205094624</v>
      </c>
    </row>
    <row r="409" spans="1:9">
      <c r="A409" t="s">
        <v>524</v>
      </c>
      <c r="B409" t="s">
        <v>42</v>
      </c>
      <c r="C409">
        <f>VLOOKUP(B409,Proteome!B:I,8,FALSE)</f>
        <v>3.0970299482795891E-4</v>
      </c>
      <c r="D409">
        <f t="shared" si="36"/>
        <v>0.1</v>
      </c>
      <c r="E409" s="10">
        <f t="shared" si="37"/>
        <v>3.0970299482795893E-5</v>
      </c>
      <c r="F409">
        <f t="shared" si="38"/>
        <v>0.36158134349158805</v>
      </c>
      <c r="G409" s="10">
        <f t="shared" si="39"/>
        <v>8.5652371285899594E-5</v>
      </c>
      <c r="H409">
        <f t="shared" si="40"/>
        <v>1.15726180388712E-3</v>
      </c>
      <c r="I409" s="10">
        <f t="shared" si="41"/>
        <v>7.7265767205094624</v>
      </c>
    </row>
    <row r="410" spans="1:9">
      <c r="A410" t="s">
        <v>534</v>
      </c>
      <c r="B410" t="s">
        <v>112</v>
      </c>
      <c r="C410">
        <f>VLOOKUP(B410,Proteome!B:I,8,FALSE)</f>
        <v>3.0970299482795891E-4</v>
      </c>
      <c r="D410">
        <f t="shared" si="36"/>
        <v>0.1</v>
      </c>
      <c r="E410" s="10">
        <f t="shared" si="37"/>
        <v>3.0970299482795893E-5</v>
      </c>
      <c r="F410">
        <f t="shared" si="38"/>
        <v>0.36158134349158805</v>
      </c>
      <c r="G410" s="10">
        <f t="shared" si="39"/>
        <v>8.5652371285899594E-5</v>
      </c>
      <c r="H410">
        <f t="shared" si="40"/>
        <v>1.15726180388712E-3</v>
      </c>
      <c r="I410" s="10">
        <f t="shared" si="41"/>
        <v>7.7265767205094624</v>
      </c>
    </row>
    <row r="411" spans="1:9">
      <c r="A411" t="s">
        <v>534</v>
      </c>
      <c r="B411" t="s">
        <v>113</v>
      </c>
      <c r="C411">
        <f>VLOOKUP(B411,Proteome!B:I,8,FALSE)</f>
        <v>3.0970299482795891E-4</v>
      </c>
      <c r="D411">
        <f t="shared" si="36"/>
        <v>0.1</v>
      </c>
      <c r="E411" s="10">
        <f t="shared" si="37"/>
        <v>3.0970299482795893E-5</v>
      </c>
      <c r="F411">
        <f t="shared" si="38"/>
        <v>0.36158134349158805</v>
      </c>
      <c r="G411" s="10">
        <f t="shared" si="39"/>
        <v>8.5652371285899594E-5</v>
      </c>
      <c r="H411">
        <f t="shared" si="40"/>
        <v>1.15726180388712E-3</v>
      </c>
      <c r="I411" s="10">
        <f t="shared" si="41"/>
        <v>7.7265767205094624</v>
      </c>
    </row>
    <row r="412" spans="1:9">
      <c r="A412" t="s">
        <v>524</v>
      </c>
      <c r="B412" t="s">
        <v>46</v>
      </c>
      <c r="C412">
        <f>VLOOKUP(B412,Proteome!B:I,8,FALSE)</f>
        <v>5.8843569017312199E-4</v>
      </c>
      <c r="D412">
        <f t="shared" si="36"/>
        <v>0.1</v>
      </c>
      <c r="E412" s="10">
        <f t="shared" si="37"/>
        <v>5.8843569017312204E-5</v>
      </c>
      <c r="F412">
        <f t="shared" si="38"/>
        <v>0.36158134349158805</v>
      </c>
      <c r="G412" s="10">
        <f t="shared" si="39"/>
        <v>1.6273950544320925E-4</v>
      </c>
      <c r="H412">
        <f t="shared" si="40"/>
        <v>2.048100739968989E-3</v>
      </c>
      <c r="I412" s="10">
        <f t="shared" si="41"/>
        <v>7.7265767205094624</v>
      </c>
    </row>
    <row r="413" spans="1:9">
      <c r="A413" t="s">
        <v>524</v>
      </c>
      <c r="B413" t="s">
        <v>49</v>
      </c>
      <c r="C413">
        <f>VLOOKUP(B413,Proteome!B:I,8,FALSE)</f>
        <v>5.8843569017312199E-4</v>
      </c>
      <c r="D413">
        <f t="shared" si="36"/>
        <v>0.1</v>
      </c>
      <c r="E413" s="10">
        <f t="shared" si="37"/>
        <v>5.8843569017312204E-5</v>
      </c>
      <c r="F413">
        <f t="shared" si="38"/>
        <v>0.36158134349158805</v>
      </c>
      <c r="G413" s="10">
        <f t="shared" si="39"/>
        <v>1.6273950544320925E-4</v>
      </c>
      <c r="H413">
        <f t="shared" si="40"/>
        <v>2.048100739968989E-3</v>
      </c>
      <c r="I413" s="10">
        <f t="shared" si="41"/>
        <v>7.7265767205094624</v>
      </c>
    </row>
    <row r="414" spans="1:9">
      <c r="A414" t="s">
        <v>524</v>
      </c>
      <c r="B414" t="s">
        <v>50</v>
      </c>
      <c r="C414">
        <f>VLOOKUP(B414,Proteome!B:I,8,FALSE)</f>
        <v>5.8843569017312199E-4</v>
      </c>
      <c r="D414">
        <f t="shared" si="36"/>
        <v>0.1</v>
      </c>
      <c r="E414" s="10">
        <f t="shared" si="37"/>
        <v>5.8843569017312204E-5</v>
      </c>
      <c r="F414">
        <f t="shared" si="38"/>
        <v>0.36158134349158805</v>
      </c>
      <c r="G414" s="10">
        <f t="shared" si="39"/>
        <v>1.6273950544320925E-4</v>
      </c>
      <c r="H414">
        <f t="shared" si="40"/>
        <v>2.048100739968989E-3</v>
      </c>
      <c r="I414" s="10">
        <f t="shared" si="41"/>
        <v>7.7265767205094624</v>
      </c>
    </row>
    <row r="415" spans="1:9">
      <c r="A415" t="s">
        <v>524</v>
      </c>
      <c r="B415" t="s">
        <v>530</v>
      </c>
      <c r="C415">
        <f>VLOOKUP(B415,Proteome!B:I,8,FALSE)</f>
        <v>5.8843569017312199E-4</v>
      </c>
      <c r="D415">
        <f t="shared" si="36"/>
        <v>0.1</v>
      </c>
      <c r="E415" s="10">
        <f t="shared" si="37"/>
        <v>5.8843569017312204E-5</v>
      </c>
      <c r="F415">
        <f t="shared" si="38"/>
        <v>0.36158134349158805</v>
      </c>
      <c r="G415" s="10">
        <f t="shared" si="39"/>
        <v>1.6273950544320925E-4</v>
      </c>
      <c r="H415">
        <f t="shared" si="40"/>
        <v>2.048100739968989E-3</v>
      </c>
      <c r="I415" s="10">
        <f t="shared" si="41"/>
        <v>7.7265767205094624</v>
      </c>
    </row>
    <row r="416" spans="1:9">
      <c r="A416" t="s">
        <v>524</v>
      </c>
      <c r="B416" t="s">
        <v>53</v>
      </c>
      <c r="C416">
        <f>VLOOKUP(B416,Proteome!B:I,8,FALSE)</f>
        <v>3.0970299482795891E-4</v>
      </c>
      <c r="D416">
        <f t="shared" si="36"/>
        <v>0.1</v>
      </c>
      <c r="E416" s="10">
        <f t="shared" si="37"/>
        <v>3.0970299482795893E-5</v>
      </c>
      <c r="F416">
        <f t="shared" si="38"/>
        <v>0.36158134349158805</v>
      </c>
      <c r="G416" s="10">
        <f t="shared" si="39"/>
        <v>8.5652371285899594E-5</v>
      </c>
      <c r="H416">
        <f t="shared" si="40"/>
        <v>1.15726180388712E-3</v>
      </c>
      <c r="I416" s="10">
        <f t="shared" si="41"/>
        <v>7.7265767205094624</v>
      </c>
    </row>
    <row r="417" spans="1:9">
      <c r="A417" t="s">
        <v>534</v>
      </c>
      <c r="B417" t="s">
        <v>114</v>
      </c>
      <c r="C417">
        <f>VLOOKUP(B417,Proteome!B:I,8,FALSE)</f>
        <v>3.0970299482795891E-4</v>
      </c>
      <c r="D417">
        <f t="shared" si="36"/>
        <v>0.1</v>
      </c>
      <c r="E417" s="10">
        <f t="shared" si="37"/>
        <v>3.0970299482795893E-5</v>
      </c>
      <c r="F417">
        <f t="shared" si="38"/>
        <v>0.36158134349158805</v>
      </c>
      <c r="G417" s="10">
        <f t="shared" si="39"/>
        <v>8.5652371285899594E-5</v>
      </c>
      <c r="H417">
        <f t="shared" si="40"/>
        <v>1.15726180388712E-3</v>
      </c>
      <c r="I417" s="10">
        <f t="shared" si="41"/>
        <v>7.7265767205094624</v>
      </c>
    </row>
    <row r="418" spans="1:9">
      <c r="A418" t="s">
        <v>534</v>
      </c>
      <c r="B418" t="s">
        <v>115</v>
      </c>
      <c r="C418">
        <f>VLOOKUP(B418,Proteome!B:I,8,FALSE)</f>
        <v>5.8843569017312199E-4</v>
      </c>
      <c r="D418">
        <f t="shared" si="36"/>
        <v>0.1</v>
      </c>
      <c r="E418" s="10">
        <f t="shared" si="37"/>
        <v>5.8843569017312204E-5</v>
      </c>
      <c r="F418">
        <f t="shared" si="38"/>
        <v>0.36158134349158805</v>
      </c>
      <c r="G418" s="10">
        <f t="shared" si="39"/>
        <v>1.6273950544320925E-4</v>
      </c>
      <c r="H418">
        <f t="shared" si="40"/>
        <v>2.048100739968989E-3</v>
      </c>
      <c r="I418" s="10">
        <f t="shared" si="41"/>
        <v>7.7265767205094624</v>
      </c>
    </row>
    <row r="419" spans="1:9">
      <c r="A419" t="s">
        <v>534</v>
      </c>
      <c r="B419" t="s">
        <v>116</v>
      </c>
      <c r="C419">
        <f>VLOOKUP(B419,Proteome!B:I,8,FALSE)</f>
        <v>5.8843569017312199E-4</v>
      </c>
      <c r="D419">
        <f t="shared" si="36"/>
        <v>0.1</v>
      </c>
      <c r="E419" s="10">
        <f t="shared" si="37"/>
        <v>5.8843569017312204E-5</v>
      </c>
      <c r="F419">
        <f t="shared" si="38"/>
        <v>0.36158134349158805</v>
      </c>
      <c r="G419" s="10">
        <f t="shared" si="39"/>
        <v>1.6273950544320925E-4</v>
      </c>
      <c r="H419">
        <f t="shared" si="40"/>
        <v>2.048100739968989E-3</v>
      </c>
      <c r="I419" s="10">
        <f t="shared" si="41"/>
        <v>7.7265767205094624</v>
      </c>
    </row>
    <row r="420" spans="1:9">
      <c r="A420" t="s">
        <v>534</v>
      </c>
      <c r="B420" t="s">
        <v>124</v>
      </c>
      <c r="C420">
        <f>VLOOKUP(B420,Proteome!B:I,8,FALSE)</f>
        <v>3.0970299482795891E-4</v>
      </c>
      <c r="D420">
        <f t="shared" si="36"/>
        <v>0.1</v>
      </c>
      <c r="E420" s="10">
        <f t="shared" si="37"/>
        <v>3.0970299482795893E-5</v>
      </c>
      <c r="F420">
        <f t="shared" si="38"/>
        <v>0.36158134349158805</v>
      </c>
      <c r="G420" s="10">
        <f t="shared" si="39"/>
        <v>8.5652371285899594E-5</v>
      </c>
      <c r="H420">
        <f t="shared" si="40"/>
        <v>1.15726180388712E-3</v>
      </c>
      <c r="I420" s="10">
        <f t="shared" si="41"/>
        <v>7.7265767205094624</v>
      </c>
    </row>
    <row r="421" spans="1:9">
      <c r="A421" t="s">
        <v>534</v>
      </c>
      <c r="B421" t="s">
        <v>125</v>
      </c>
      <c r="C421">
        <f>VLOOKUP(B421,Proteome!B:I,8,FALSE)</f>
        <v>3.0970299482795891E-4</v>
      </c>
      <c r="D421">
        <f t="shared" si="36"/>
        <v>0.1</v>
      </c>
      <c r="E421" s="10">
        <f t="shared" si="37"/>
        <v>3.0970299482795893E-5</v>
      </c>
      <c r="F421">
        <f t="shared" si="38"/>
        <v>0.36158134349158805</v>
      </c>
      <c r="G421" s="10">
        <f t="shared" si="39"/>
        <v>8.5652371285899594E-5</v>
      </c>
      <c r="H421">
        <f t="shared" si="40"/>
        <v>1.15726180388712E-3</v>
      </c>
      <c r="I421" s="10">
        <f t="shared" si="41"/>
        <v>7.7265767205094624</v>
      </c>
    </row>
    <row r="422" spans="1:9">
      <c r="A422" t="s">
        <v>534</v>
      </c>
      <c r="B422" t="s">
        <v>126</v>
      </c>
      <c r="C422">
        <f>VLOOKUP(B422,Proteome!B:I,8,FALSE)</f>
        <v>3.0970299482795891E-4</v>
      </c>
      <c r="D422">
        <f t="shared" si="36"/>
        <v>0.1</v>
      </c>
      <c r="E422" s="10">
        <f t="shared" si="37"/>
        <v>3.0970299482795893E-5</v>
      </c>
      <c r="F422">
        <f t="shared" si="38"/>
        <v>0.36158134349158805</v>
      </c>
      <c r="G422" s="10">
        <f t="shared" si="39"/>
        <v>8.5652371285899594E-5</v>
      </c>
      <c r="H422">
        <f t="shared" si="40"/>
        <v>1.15726180388712E-3</v>
      </c>
      <c r="I422" s="10">
        <f t="shared" si="41"/>
        <v>7.7265767205094624</v>
      </c>
    </row>
    <row r="423" spans="1:9">
      <c r="A423" t="s">
        <v>534</v>
      </c>
      <c r="B423" t="s">
        <v>118</v>
      </c>
      <c r="C423">
        <f>VLOOKUP(B423,Proteome!B:I,8,FALSE)</f>
        <v>5.8843569017312199E-4</v>
      </c>
      <c r="D423">
        <f t="shared" si="36"/>
        <v>0.1</v>
      </c>
      <c r="E423" s="10">
        <f t="shared" si="37"/>
        <v>5.8843569017312204E-5</v>
      </c>
      <c r="F423">
        <f t="shared" si="38"/>
        <v>0.36158134349158805</v>
      </c>
      <c r="G423" s="10">
        <f t="shared" si="39"/>
        <v>1.6273950544320925E-4</v>
      </c>
      <c r="H423">
        <f t="shared" si="40"/>
        <v>2.048100739968989E-3</v>
      </c>
      <c r="I423" s="10">
        <f t="shared" si="41"/>
        <v>7.7265767205094624</v>
      </c>
    </row>
    <row r="424" spans="1:9">
      <c r="A424" t="s">
        <v>534</v>
      </c>
      <c r="B424" t="s">
        <v>120</v>
      </c>
      <c r="C424">
        <f>VLOOKUP(B424,Proteome!B:I,8,FALSE)</f>
        <v>3.0970299482795891E-4</v>
      </c>
      <c r="D424">
        <f t="shared" si="36"/>
        <v>0.1</v>
      </c>
      <c r="E424" s="10">
        <f t="shared" si="37"/>
        <v>3.0970299482795893E-5</v>
      </c>
      <c r="F424">
        <f t="shared" si="38"/>
        <v>0.36158134349158805</v>
      </c>
      <c r="G424" s="10">
        <f t="shared" si="39"/>
        <v>8.5652371285899594E-5</v>
      </c>
      <c r="H424">
        <f t="shared" si="40"/>
        <v>1.15726180388712E-3</v>
      </c>
      <c r="I424" s="10">
        <f t="shared" si="41"/>
        <v>7.7265767205094624</v>
      </c>
    </row>
    <row r="425" spans="1:9">
      <c r="A425" t="s">
        <v>534</v>
      </c>
      <c r="B425" t="s">
        <v>122</v>
      </c>
      <c r="C425">
        <f>VLOOKUP(B425,Proteome!B:I,8,FALSE)</f>
        <v>3.0970299482795891E-4</v>
      </c>
      <c r="D425">
        <f t="shared" si="36"/>
        <v>0.1</v>
      </c>
      <c r="E425" s="10">
        <f t="shared" si="37"/>
        <v>3.0970299482795893E-5</v>
      </c>
      <c r="F425">
        <f t="shared" si="38"/>
        <v>0.36158134349158805</v>
      </c>
      <c r="G425" s="10">
        <f t="shared" si="39"/>
        <v>8.5652371285899594E-5</v>
      </c>
      <c r="H425">
        <f t="shared" si="40"/>
        <v>1.15726180388712E-3</v>
      </c>
      <c r="I425" s="10">
        <f t="shared" si="41"/>
        <v>7.7265767205094624</v>
      </c>
    </row>
    <row r="426" spans="1:9">
      <c r="A426" t="s">
        <v>524</v>
      </c>
      <c r="B426" t="s">
        <v>56</v>
      </c>
      <c r="C426">
        <f>VLOOKUP(B426,Proteome!B:I,8,FALSE)</f>
        <v>5.8843569017312199E-4</v>
      </c>
      <c r="D426">
        <f t="shared" si="36"/>
        <v>0.1</v>
      </c>
      <c r="E426" s="10">
        <f t="shared" si="37"/>
        <v>5.8843569017312204E-5</v>
      </c>
      <c r="F426">
        <f t="shared" si="38"/>
        <v>0.36158134349158805</v>
      </c>
      <c r="G426" s="10">
        <f t="shared" si="39"/>
        <v>1.6273950544320925E-4</v>
      </c>
      <c r="H426">
        <f t="shared" si="40"/>
        <v>2.048100739968989E-3</v>
      </c>
      <c r="I426" s="10">
        <f t="shared" si="41"/>
        <v>7.7265767205094624</v>
      </c>
    </row>
    <row r="427" spans="1:9">
      <c r="A427" t="s">
        <v>534</v>
      </c>
      <c r="B427" t="s">
        <v>123</v>
      </c>
      <c r="C427">
        <f>VLOOKUP(B427,Proteome!B:I,8,FALSE)</f>
        <v>3.0970299482795891E-4</v>
      </c>
      <c r="D427">
        <f t="shared" si="36"/>
        <v>0.1</v>
      </c>
      <c r="E427" s="10">
        <f t="shared" si="37"/>
        <v>3.0970299482795893E-5</v>
      </c>
      <c r="F427">
        <f t="shared" si="38"/>
        <v>0.36158134349158805</v>
      </c>
      <c r="G427" s="10">
        <f t="shared" si="39"/>
        <v>8.5652371285899594E-5</v>
      </c>
      <c r="H427">
        <f t="shared" si="40"/>
        <v>1.15726180388712E-3</v>
      </c>
      <c r="I427" s="10">
        <f t="shared" si="41"/>
        <v>7.7265767205094624</v>
      </c>
    </row>
    <row r="428" spans="1:9">
      <c r="A428" t="s">
        <v>534</v>
      </c>
      <c r="B428" t="s">
        <v>127</v>
      </c>
      <c r="C428">
        <f>VLOOKUP(B428,Proteome!B:I,8,FALSE)</f>
        <v>3.0970299482795891E-4</v>
      </c>
      <c r="D428">
        <f t="shared" si="36"/>
        <v>0.1</v>
      </c>
      <c r="E428" s="10">
        <f t="shared" si="37"/>
        <v>3.0970299482795893E-5</v>
      </c>
      <c r="F428">
        <f t="shared" si="38"/>
        <v>0.36158134349158805</v>
      </c>
      <c r="G428" s="10">
        <f t="shared" si="39"/>
        <v>8.5652371285899594E-5</v>
      </c>
      <c r="H428">
        <f t="shared" si="40"/>
        <v>1.15726180388712E-3</v>
      </c>
      <c r="I428" s="10">
        <f t="shared" si="41"/>
        <v>7.7265767205094624</v>
      </c>
    </row>
    <row r="429" spans="1:9">
      <c r="A429" t="s">
        <v>534</v>
      </c>
      <c r="B429" t="s">
        <v>128</v>
      </c>
      <c r="C429">
        <f>VLOOKUP(B429,Proteome!B:I,8,FALSE)</f>
        <v>3.0970299482795891E-4</v>
      </c>
      <c r="D429">
        <f t="shared" si="36"/>
        <v>0.1</v>
      </c>
      <c r="E429" s="10">
        <f t="shared" si="37"/>
        <v>3.0970299482795893E-5</v>
      </c>
      <c r="F429">
        <f t="shared" si="38"/>
        <v>0.36158134349158805</v>
      </c>
      <c r="G429" s="10">
        <f t="shared" si="39"/>
        <v>8.5652371285899594E-5</v>
      </c>
      <c r="H429">
        <f t="shared" si="40"/>
        <v>1.15726180388712E-3</v>
      </c>
      <c r="I429" s="10">
        <f t="shared" si="41"/>
        <v>7.7265767205094624</v>
      </c>
    </row>
    <row r="430" spans="1:9">
      <c r="A430" t="s">
        <v>534</v>
      </c>
      <c r="B430" t="s">
        <v>129</v>
      </c>
      <c r="C430">
        <f>VLOOKUP(B430,Proteome!B:I,8,FALSE)</f>
        <v>5.8843569017312199E-4</v>
      </c>
      <c r="D430">
        <f t="shared" si="36"/>
        <v>0.1</v>
      </c>
      <c r="E430" s="10">
        <f t="shared" si="37"/>
        <v>5.8843569017312204E-5</v>
      </c>
      <c r="F430">
        <f t="shared" si="38"/>
        <v>0.36158134349158805</v>
      </c>
      <c r="G430" s="10">
        <f t="shared" si="39"/>
        <v>1.6273950544320925E-4</v>
      </c>
      <c r="H430">
        <f t="shared" si="40"/>
        <v>2.048100739968989E-3</v>
      </c>
      <c r="I430" s="10">
        <f t="shared" si="41"/>
        <v>7.7265767205094624</v>
      </c>
    </row>
    <row r="431" spans="1:9">
      <c r="A431" t="s">
        <v>534</v>
      </c>
      <c r="B431" t="s">
        <v>131</v>
      </c>
      <c r="C431">
        <f>VLOOKUP(B431,Proteome!B:I,8,FALSE)</f>
        <v>3.0970299482795891E-4</v>
      </c>
      <c r="D431">
        <f t="shared" si="36"/>
        <v>0.1</v>
      </c>
      <c r="E431" s="10">
        <f t="shared" si="37"/>
        <v>3.0970299482795893E-5</v>
      </c>
      <c r="F431">
        <f t="shared" si="38"/>
        <v>0.36158134349158805</v>
      </c>
      <c r="G431" s="10">
        <f t="shared" si="39"/>
        <v>8.5652371285899594E-5</v>
      </c>
      <c r="H431">
        <f t="shared" si="40"/>
        <v>1.15726180388712E-3</v>
      </c>
      <c r="I431" s="10">
        <f t="shared" si="41"/>
        <v>7.7265767205094624</v>
      </c>
    </row>
    <row r="432" spans="1:9">
      <c r="A432" t="s">
        <v>534</v>
      </c>
      <c r="B432" t="s">
        <v>132</v>
      </c>
      <c r="C432">
        <f>VLOOKUP(B432,Proteome!B:I,8,FALSE)</f>
        <v>3.0970299482795891E-4</v>
      </c>
      <c r="D432">
        <f t="shared" si="36"/>
        <v>0.1</v>
      </c>
      <c r="E432" s="10">
        <f t="shared" si="37"/>
        <v>3.0970299482795893E-5</v>
      </c>
      <c r="F432">
        <f t="shared" si="38"/>
        <v>0.36158134349158805</v>
      </c>
      <c r="G432" s="10">
        <f t="shared" si="39"/>
        <v>8.5652371285899594E-5</v>
      </c>
      <c r="H432">
        <f t="shared" si="40"/>
        <v>1.15726180388712E-3</v>
      </c>
      <c r="I432" s="10">
        <f t="shared" si="41"/>
        <v>7.7265767205094624</v>
      </c>
    </row>
    <row r="433" spans="1:9">
      <c r="A433" t="s">
        <v>534</v>
      </c>
      <c r="B433" t="s">
        <v>133</v>
      </c>
      <c r="C433">
        <f>VLOOKUP(B433,Proteome!B:I,8,FALSE)</f>
        <v>3.0970299482795891E-4</v>
      </c>
      <c r="D433">
        <f t="shared" si="36"/>
        <v>0.1</v>
      </c>
      <c r="E433" s="10">
        <f t="shared" si="37"/>
        <v>3.0970299482795893E-5</v>
      </c>
      <c r="F433">
        <f t="shared" si="38"/>
        <v>0.36158134349158805</v>
      </c>
      <c r="G433" s="10">
        <f t="shared" si="39"/>
        <v>8.5652371285899594E-5</v>
      </c>
      <c r="H433">
        <f t="shared" si="40"/>
        <v>1.15726180388712E-3</v>
      </c>
      <c r="I433" s="10">
        <f t="shared" si="41"/>
        <v>7.7265767205094624</v>
      </c>
    </row>
    <row r="434" spans="1:9">
      <c r="A434" t="s">
        <v>534</v>
      </c>
      <c r="B434" t="s">
        <v>134</v>
      </c>
      <c r="C434">
        <f>VLOOKUP(B434,Proteome!B:I,8,FALSE)</f>
        <v>3.0970299482795891E-4</v>
      </c>
      <c r="D434">
        <f t="shared" si="36"/>
        <v>0.1</v>
      </c>
      <c r="E434" s="10">
        <f t="shared" si="37"/>
        <v>3.0970299482795893E-5</v>
      </c>
      <c r="F434">
        <f t="shared" si="38"/>
        <v>0.36158134349158805</v>
      </c>
      <c r="G434" s="10">
        <f t="shared" si="39"/>
        <v>8.5652371285899594E-5</v>
      </c>
      <c r="H434">
        <f t="shared" si="40"/>
        <v>1.15726180388712E-3</v>
      </c>
      <c r="I434" s="10">
        <f t="shared" si="41"/>
        <v>7.7265767205094624</v>
      </c>
    </row>
    <row r="435" spans="1:9">
      <c r="A435" t="s">
        <v>534</v>
      </c>
      <c r="B435" t="s">
        <v>137</v>
      </c>
      <c r="C435">
        <f>VLOOKUP(B435,Proteome!B:I,8,FALSE)</f>
        <v>3.0970299482795891E-4</v>
      </c>
      <c r="D435">
        <f t="shared" si="36"/>
        <v>0.1</v>
      </c>
      <c r="E435" s="10">
        <f t="shared" si="37"/>
        <v>3.0970299482795893E-5</v>
      </c>
      <c r="F435">
        <f t="shared" si="38"/>
        <v>0.36158134349158805</v>
      </c>
      <c r="G435" s="10">
        <f t="shared" si="39"/>
        <v>8.5652371285899594E-5</v>
      </c>
      <c r="H435">
        <f t="shared" si="40"/>
        <v>1.15726180388712E-3</v>
      </c>
      <c r="I435" s="10">
        <f t="shared" si="41"/>
        <v>7.7265767205094624</v>
      </c>
    </row>
    <row r="436" spans="1:9">
      <c r="A436" t="s">
        <v>535</v>
      </c>
      <c r="B436" t="s">
        <v>321</v>
      </c>
      <c r="C436">
        <f>VLOOKUP(B436,Proteome!B:I,8,FALSE)</f>
        <v>4.1190498312118524E-3</v>
      </c>
      <c r="D436">
        <f t="shared" si="36"/>
        <v>0.1</v>
      </c>
      <c r="E436" s="10">
        <f t="shared" si="37"/>
        <v>4.1190498312118526E-4</v>
      </c>
      <c r="F436">
        <f t="shared" si="38"/>
        <v>0.36158134349158805</v>
      </c>
      <c r="G436" s="10">
        <f t="shared" si="39"/>
        <v>1.1391765381024643E-3</v>
      </c>
      <c r="H436">
        <f t="shared" si="40"/>
        <v>1.1138632318448423E-2</v>
      </c>
      <c r="I436" s="10">
        <f t="shared" si="41"/>
        <v>7.7265767205094624</v>
      </c>
    </row>
    <row r="437" spans="1:9">
      <c r="A437" t="s">
        <v>535</v>
      </c>
      <c r="B437" t="s">
        <v>322</v>
      </c>
      <c r="C437">
        <f>VLOOKUP(B437,Proteome!B:I,8,FALSE)</f>
        <v>4.1190498312118524E-3</v>
      </c>
      <c r="D437">
        <f t="shared" si="36"/>
        <v>0.1</v>
      </c>
      <c r="E437" s="10">
        <f t="shared" si="37"/>
        <v>4.1190498312118526E-4</v>
      </c>
      <c r="F437">
        <f t="shared" si="38"/>
        <v>0.36158134349158805</v>
      </c>
      <c r="G437" s="10">
        <f t="shared" si="39"/>
        <v>1.1391765381024643E-3</v>
      </c>
      <c r="H437">
        <f t="shared" si="40"/>
        <v>1.1138632318448423E-2</v>
      </c>
      <c r="I437" s="10">
        <f t="shared" si="41"/>
        <v>7.7265767205094624</v>
      </c>
    </row>
    <row r="438" spans="1:9">
      <c r="A438" t="s">
        <v>535</v>
      </c>
      <c r="B438" t="s">
        <v>329</v>
      </c>
      <c r="C438">
        <f>VLOOKUP(B438,Proteome!B:I,8,FALSE)</f>
        <v>4.1190498312118524E-3</v>
      </c>
      <c r="D438">
        <f t="shared" si="36"/>
        <v>0.1</v>
      </c>
      <c r="E438" s="10">
        <f t="shared" si="37"/>
        <v>4.1190498312118526E-4</v>
      </c>
      <c r="F438">
        <f t="shared" si="38"/>
        <v>0.36158134349158805</v>
      </c>
      <c r="G438" s="10">
        <f t="shared" si="39"/>
        <v>1.1391765381024643E-3</v>
      </c>
      <c r="H438">
        <f t="shared" si="40"/>
        <v>1.1138632318448423E-2</v>
      </c>
      <c r="I438" s="10">
        <f t="shared" si="41"/>
        <v>7.7265767205094624</v>
      </c>
    </row>
    <row r="439" spans="1:9">
      <c r="A439" t="s">
        <v>535</v>
      </c>
      <c r="B439" t="s">
        <v>368</v>
      </c>
      <c r="C439">
        <f>VLOOKUP(B439,Proteome!B:I,8,FALSE)</f>
        <v>4.1190498312118524E-3</v>
      </c>
      <c r="D439">
        <f t="shared" si="36"/>
        <v>0.1</v>
      </c>
      <c r="E439" s="10">
        <f t="shared" si="37"/>
        <v>4.1190498312118526E-4</v>
      </c>
      <c r="F439">
        <f t="shared" si="38"/>
        <v>0.36158134349158805</v>
      </c>
      <c r="G439" s="10">
        <f t="shared" si="39"/>
        <v>1.1391765381024643E-3</v>
      </c>
      <c r="H439">
        <f t="shared" si="40"/>
        <v>1.1138632318448423E-2</v>
      </c>
      <c r="I439" s="10">
        <f t="shared" si="41"/>
        <v>7.7265767205094624</v>
      </c>
    </row>
    <row r="440" spans="1:9">
      <c r="A440" t="s">
        <v>535</v>
      </c>
      <c r="B440" t="s">
        <v>406</v>
      </c>
      <c r="C440">
        <f>VLOOKUP(B440,Proteome!B:I,8,FALSE)</f>
        <v>2.1679209637957119E-3</v>
      </c>
      <c r="D440">
        <f t="shared" si="36"/>
        <v>0.1</v>
      </c>
      <c r="E440" s="10">
        <f t="shared" si="37"/>
        <v>2.167920963795712E-4</v>
      </c>
      <c r="F440">
        <f t="shared" si="38"/>
        <v>0.36158134349158805</v>
      </c>
      <c r="G440" s="10">
        <f t="shared" si="39"/>
        <v>5.9956659900129697E-4</v>
      </c>
      <c r="H440">
        <f t="shared" si="40"/>
        <v>6.4176363844022088E-3</v>
      </c>
      <c r="I440" s="10">
        <f t="shared" si="41"/>
        <v>7.7265767205094624</v>
      </c>
    </row>
    <row r="441" spans="1:9">
      <c r="A441" t="s">
        <v>535</v>
      </c>
      <c r="B441" t="s">
        <v>323</v>
      </c>
      <c r="C441">
        <f>VLOOKUP(B441,Proteome!B:I,8,FALSE)</f>
        <v>5.8843569017312199E-4</v>
      </c>
      <c r="D441">
        <f t="shared" si="36"/>
        <v>0.1</v>
      </c>
      <c r="E441" s="10">
        <f t="shared" si="37"/>
        <v>5.8843569017312204E-5</v>
      </c>
      <c r="F441">
        <f t="shared" si="38"/>
        <v>0.36158134349158805</v>
      </c>
      <c r="G441" s="10">
        <f t="shared" si="39"/>
        <v>1.6273950544320925E-4</v>
      </c>
      <c r="H441">
        <f t="shared" si="40"/>
        <v>2.048100739968989E-3</v>
      </c>
      <c r="I441" s="10">
        <f t="shared" si="41"/>
        <v>7.7265767205094624</v>
      </c>
    </row>
    <row r="442" spans="1:9">
      <c r="A442" t="s">
        <v>535</v>
      </c>
      <c r="B442" t="s">
        <v>336</v>
      </c>
      <c r="C442">
        <f>VLOOKUP(B442,Proteome!B:I,8,FALSE)</f>
        <v>5.8843569017312199E-4</v>
      </c>
      <c r="D442">
        <f t="shared" si="36"/>
        <v>0.1</v>
      </c>
      <c r="E442" s="10">
        <f t="shared" si="37"/>
        <v>5.8843569017312204E-5</v>
      </c>
      <c r="F442">
        <f t="shared" si="38"/>
        <v>0.36158134349158805</v>
      </c>
      <c r="G442" s="10">
        <f t="shared" si="39"/>
        <v>1.6273950544320925E-4</v>
      </c>
      <c r="H442">
        <f t="shared" si="40"/>
        <v>2.048100739968989E-3</v>
      </c>
      <c r="I442" s="10">
        <f t="shared" si="41"/>
        <v>7.7265767205094624</v>
      </c>
    </row>
    <row r="443" spans="1:9">
      <c r="A443" t="s">
        <v>535</v>
      </c>
      <c r="B443" t="s">
        <v>343</v>
      </c>
      <c r="C443">
        <f>VLOOKUP(B443,Proteome!B:I,8,FALSE)</f>
        <v>5.8843569017312199E-4</v>
      </c>
      <c r="D443">
        <f t="shared" si="36"/>
        <v>0.1</v>
      </c>
      <c r="E443" s="10">
        <f t="shared" si="37"/>
        <v>5.8843569017312204E-5</v>
      </c>
      <c r="F443">
        <f t="shared" si="38"/>
        <v>0.36158134349158805</v>
      </c>
      <c r="G443" s="10">
        <f t="shared" si="39"/>
        <v>1.6273950544320925E-4</v>
      </c>
      <c r="H443">
        <f t="shared" si="40"/>
        <v>2.048100739968989E-3</v>
      </c>
      <c r="I443" s="10">
        <f t="shared" si="41"/>
        <v>7.7265767205094624</v>
      </c>
    </row>
    <row r="444" spans="1:9">
      <c r="A444" t="s">
        <v>535</v>
      </c>
      <c r="B444" t="s">
        <v>365</v>
      </c>
      <c r="C444">
        <f>VLOOKUP(B444,Proteome!B:I,8,FALSE)</f>
        <v>5.8843569017312199E-4</v>
      </c>
      <c r="D444">
        <f t="shared" si="36"/>
        <v>0.1</v>
      </c>
      <c r="E444" s="10">
        <f t="shared" si="37"/>
        <v>5.8843569017312204E-5</v>
      </c>
      <c r="F444">
        <f t="shared" si="38"/>
        <v>0.36158134349158805</v>
      </c>
      <c r="G444" s="10">
        <f t="shared" si="39"/>
        <v>1.6273950544320925E-4</v>
      </c>
      <c r="H444">
        <f t="shared" si="40"/>
        <v>2.048100739968989E-3</v>
      </c>
      <c r="I444" s="10">
        <f t="shared" si="41"/>
        <v>7.7265767205094624</v>
      </c>
    </row>
    <row r="445" spans="1:9">
      <c r="A445" t="s">
        <v>535</v>
      </c>
      <c r="B445" t="s">
        <v>366</v>
      </c>
      <c r="C445">
        <f>VLOOKUP(B445,Proteome!B:I,8,FALSE)</f>
        <v>5.8843569017312199E-4</v>
      </c>
      <c r="D445">
        <f t="shared" si="36"/>
        <v>0.1</v>
      </c>
      <c r="E445" s="10">
        <f t="shared" si="37"/>
        <v>5.8843569017312204E-5</v>
      </c>
      <c r="F445">
        <f t="shared" si="38"/>
        <v>0.36158134349158805</v>
      </c>
      <c r="G445" s="10">
        <f t="shared" si="39"/>
        <v>1.6273950544320925E-4</v>
      </c>
      <c r="H445">
        <f t="shared" si="40"/>
        <v>2.048100739968989E-3</v>
      </c>
      <c r="I445" s="10">
        <f t="shared" si="41"/>
        <v>7.7265767205094624</v>
      </c>
    </row>
    <row r="446" spans="1:9">
      <c r="A446" t="s">
        <v>535</v>
      </c>
      <c r="B446" t="s">
        <v>369</v>
      </c>
      <c r="C446">
        <f>VLOOKUP(B446,Proteome!B:I,8,FALSE)</f>
        <v>5.8843569017312199E-4</v>
      </c>
      <c r="D446">
        <f t="shared" si="36"/>
        <v>0.1</v>
      </c>
      <c r="E446" s="10">
        <f t="shared" si="37"/>
        <v>5.8843569017312204E-5</v>
      </c>
      <c r="F446">
        <f t="shared" si="38"/>
        <v>0.36158134349158805</v>
      </c>
      <c r="G446" s="10">
        <f t="shared" si="39"/>
        <v>1.6273950544320925E-4</v>
      </c>
      <c r="H446">
        <f t="shared" si="40"/>
        <v>2.048100739968989E-3</v>
      </c>
      <c r="I446" s="10">
        <f t="shared" si="41"/>
        <v>7.7265767205094624</v>
      </c>
    </row>
    <row r="447" spans="1:9">
      <c r="A447" t="s">
        <v>535</v>
      </c>
      <c r="B447" t="s">
        <v>390</v>
      </c>
      <c r="C447">
        <f>VLOOKUP(B447,Proteome!B:I,8,FALSE)</f>
        <v>5.8843569017312199E-4</v>
      </c>
      <c r="D447">
        <f t="shared" si="36"/>
        <v>0.1</v>
      </c>
      <c r="E447" s="10">
        <f t="shared" si="37"/>
        <v>5.8843569017312204E-5</v>
      </c>
      <c r="F447">
        <f t="shared" si="38"/>
        <v>0.36158134349158805</v>
      </c>
      <c r="G447" s="10">
        <f t="shared" si="39"/>
        <v>1.6273950544320925E-4</v>
      </c>
      <c r="H447">
        <f t="shared" si="40"/>
        <v>2.048100739968989E-3</v>
      </c>
      <c r="I447" s="10">
        <f t="shared" si="41"/>
        <v>7.7265767205094624</v>
      </c>
    </row>
    <row r="448" spans="1:9">
      <c r="A448" t="s">
        <v>535</v>
      </c>
      <c r="B448" t="s">
        <v>398</v>
      </c>
      <c r="C448">
        <f>VLOOKUP(B448,Proteome!B:I,8,FALSE)</f>
        <v>5.8843569017312199E-4</v>
      </c>
      <c r="D448">
        <f t="shared" si="36"/>
        <v>0.1</v>
      </c>
      <c r="E448" s="10">
        <f t="shared" si="37"/>
        <v>5.8843569017312204E-5</v>
      </c>
      <c r="F448">
        <f t="shared" si="38"/>
        <v>0.36158134349158805</v>
      </c>
      <c r="G448" s="10">
        <f t="shared" si="39"/>
        <v>1.6273950544320925E-4</v>
      </c>
      <c r="H448">
        <f t="shared" si="40"/>
        <v>2.048100739968989E-3</v>
      </c>
      <c r="I448" s="10">
        <f t="shared" si="41"/>
        <v>7.7265767205094624</v>
      </c>
    </row>
    <row r="449" spans="1:9">
      <c r="A449" t="s">
        <v>535</v>
      </c>
      <c r="B449" t="s">
        <v>320</v>
      </c>
      <c r="C449">
        <f>VLOOKUP(B449,Proteome!B:I,8,FALSE)</f>
        <v>3.0970299482795891E-4</v>
      </c>
      <c r="D449">
        <f t="shared" si="36"/>
        <v>0.1</v>
      </c>
      <c r="E449" s="10">
        <f t="shared" si="37"/>
        <v>3.0970299482795893E-5</v>
      </c>
      <c r="F449">
        <f t="shared" si="38"/>
        <v>0.36158134349158805</v>
      </c>
      <c r="G449" s="10">
        <f t="shared" si="39"/>
        <v>8.5652371285899594E-5</v>
      </c>
      <c r="H449">
        <f t="shared" si="40"/>
        <v>1.15726180388712E-3</v>
      </c>
      <c r="I449" s="10">
        <f t="shared" si="41"/>
        <v>7.7265767205094624</v>
      </c>
    </row>
    <row r="450" spans="1:9">
      <c r="A450" t="s">
        <v>535</v>
      </c>
      <c r="B450" t="s">
        <v>324</v>
      </c>
      <c r="C450">
        <f>VLOOKUP(B450,Proteome!B:I,8,FALSE)</f>
        <v>3.0970299482795891E-4</v>
      </c>
      <c r="D450">
        <f t="shared" ref="D450:D513" si="42">VLOOKUP(A450,$K$2:$L$12,2,FALSE)</f>
        <v>0.1</v>
      </c>
      <c r="E450" s="10">
        <f t="shared" ref="E450:E513" si="43">C450*D450</f>
        <v>3.0970299482795893E-5</v>
      </c>
      <c r="F450">
        <f t="shared" ref="F450:F513" si="44">SUM($E$2:$E$522)</f>
        <v>0.36158134349158805</v>
      </c>
      <c r="G450" s="10">
        <f t="shared" ref="G450:G513" si="45">E450/F450</f>
        <v>8.5652371285899594E-5</v>
      </c>
      <c r="H450">
        <f t="shared" ref="H450:H513" si="46">-G450*LOG(G450,2)</f>
        <v>1.15726180388712E-3</v>
      </c>
      <c r="I450" s="10">
        <f t="shared" ref="I450:I513" si="47">SUM($H$2:$H$522)</f>
        <v>7.7265767205094624</v>
      </c>
    </row>
    <row r="451" spans="1:9">
      <c r="A451" t="s">
        <v>535</v>
      </c>
      <c r="B451" t="s">
        <v>325</v>
      </c>
      <c r="C451">
        <f>VLOOKUP(B451,Proteome!B:I,8,FALSE)</f>
        <v>5.8843569017312199E-4</v>
      </c>
      <c r="D451">
        <f t="shared" si="42"/>
        <v>0.1</v>
      </c>
      <c r="E451" s="10">
        <f t="shared" si="43"/>
        <v>5.8843569017312204E-5</v>
      </c>
      <c r="F451">
        <f t="shared" si="44"/>
        <v>0.36158134349158805</v>
      </c>
      <c r="G451" s="10">
        <f t="shared" si="45"/>
        <v>1.6273950544320925E-4</v>
      </c>
      <c r="H451">
        <f t="shared" si="46"/>
        <v>2.048100739968989E-3</v>
      </c>
      <c r="I451" s="10">
        <f t="shared" si="47"/>
        <v>7.7265767205094624</v>
      </c>
    </row>
    <row r="452" spans="1:9">
      <c r="A452" t="s">
        <v>535</v>
      </c>
      <c r="B452" t="s">
        <v>326</v>
      </c>
      <c r="C452">
        <f>VLOOKUP(B452,Proteome!B:I,8,FALSE)</f>
        <v>5.8843569017312199E-4</v>
      </c>
      <c r="D452">
        <f t="shared" si="42"/>
        <v>0.1</v>
      </c>
      <c r="E452" s="10">
        <f t="shared" si="43"/>
        <v>5.8843569017312204E-5</v>
      </c>
      <c r="F452">
        <f t="shared" si="44"/>
        <v>0.36158134349158805</v>
      </c>
      <c r="G452" s="10">
        <f t="shared" si="45"/>
        <v>1.6273950544320925E-4</v>
      </c>
      <c r="H452">
        <f t="shared" si="46"/>
        <v>2.048100739968989E-3</v>
      </c>
      <c r="I452" s="10">
        <f t="shared" si="47"/>
        <v>7.7265767205094624</v>
      </c>
    </row>
    <row r="453" spans="1:9">
      <c r="A453" t="s">
        <v>535</v>
      </c>
      <c r="B453" t="s">
        <v>327</v>
      </c>
      <c r="C453">
        <f>VLOOKUP(B453,Proteome!B:I,8,FALSE)</f>
        <v>3.0970299482795891E-4</v>
      </c>
      <c r="D453">
        <f t="shared" si="42"/>
        <v>0.1</v>
      </c>
      <c r="E453" s="10">
        <f t="shared" si="43"/>
        <v>3.0970299482795893E-5</v>
      </c>
      <c r="F453">
        <f t="shared" si="44"/>
        <v>0.36158134349158805</v>
      </c>
      <c r="G453" s="10">
        <f t="shared" si="45"/>
        <v>8.5652371285899594E-5</v>
      </c>
      <c r="H453">
        <f t="shared" si="46"/>
        <v>1.15726180388712E-3</v>
      </c>
      <c r="I453" s="10">
        <f t="shared" si="47"/>
        <v>7.7265767205094624</v>
      </c>
    </row>
    <row r="454" spans="1:9">
      <c r="A454" t="s">
        <v>535</v>
      </c>
      <c r="B454" t="s">
        <v>331</v>
      </c>
      <c r="C454">
        <f>VLOOKUP(B454,Proteome!B:I,8,FALSE)</f>
        <v>3.0970299482795891E-4</v>
      </c>
      <c r="D454">
        <f t="shared" si="42"/>
        <v>0.1</v>
      </c>
      <c r="E454" s="10">
        <f t="shared" si="43"/>
        <v>3.0970299482795893E-5</v>
      </c>
      <c r="F454">
        <f t="shared" si="44"/>
        <v>0.36158134349158805</v>
      </c>
      <c r="G454" s="10">
        <f t="shared" si="45"/>
        <v>8.5652371285899594E-5</v>
      </c>
      <c r="H454">
        <f t="shared" si="46"/>
        <v>1.15726180388712E-3</v>
      </c>
      <c r="I454" s="10">
        <f t="shared" si="47"/>
        <v>7.7265767205094624</v>
      </c>
    </row>
    <row r="455" spans="1:9">
      <c r="A455" t="s">
        <v>535</v>
      </c>
      <c r="B455" t="s">
        <v>333</v>
      </c>
      <c r="C455">
        <f>VLOOKUP(B455,Proteome!B:I,8,FALSE)</f>
        <v>5.8843569017312199E-4</v>
      </c>
      <c r="D455">
        <f t="shared" si="42"/>
        <v>0.1</v>
      </c>
      <c r="E455" s="10">
        <f t="shared" si="43"/>
        <v>5.8843569017312204E-5</v>
      </c>
      <c r="F455">
        <f t="shared" si="44"/>
        <v>0.36158134349158805</v>
      </c>
      <c r="G455" s="10">
        <f t="shared" si="45"/>
        <v>1.6273950544320925E-4</v>
      </c>
      <c r="H455">
        <f t="shared" si="46"/>
        <v>2.048100739968989E-3</v>
      </c>
      <c r="I455" s="10">
        <f t="shared" si="47"/>
        <v>7.7265767205094624</v>
      </c>
    </row>
    <row r="456" spans="1:9">
      <c r="A456" t="s">
        <v>535</v>
      </c>
      <c r="B456" t="s">
        <v>334</v>
      </c>
      <c r="C456">
        <f>VLOOKUP(B456,Proteome!B:I,8,FALSE)</f>
        <v>3.0970299482795891E-4</v>
      </c>
      <c r="D456">
        <f t="shared" si="42"/>
        <v>0.1</v>
      </c>
      <c r="E456" s="10">
        <f t="shared" si="43"/>
        <v>3.0970299482795893E-5</v>
      </c>
      <c r="F456">
        <f t="shared" si="44"/>
        <v>0.36158134349158805</v>
      </c>
      <c r="G456" s="10">
        <f t="shared" si="45"/>
        <v>8.5652371285899594E-5</v>
      </c>
      <c r="H456">
        <f t="shared" si="46"/>
        <v>1.15726180388712E-3</v>
      </c>
      <c r="I456" s="10">
        <f t="shared" si="47"/>
        <v>7.7265767205094624</v>
      </c>
    </row>
    <row r="457" spans="1:9">
      <c r="A457" t="s">
        <v>535</v>
      </c>
      <c r="B457" t="s">
        <v>335</v>
      </c>
      <c r="C457">
        <f>VLOOKUP(B457,Proteome!B:I,8,FALSE)</f>
        <v>5.8843569017312199E-4</v>
      </c>
      <c r="D457">
        <f t="shared" si="42"/>
        <v>0.1</v>
      </c>
      <c r="E457" s="10">
        <f t="shared" si="43"/>
        <v>5.8843569017312204E-5</v>
      </c>
      <c r="F457">
        <f t="shared" si="44"/>
        <v>0.36158134349158805</v>
      </c>
      <c r="G457" s="10">
        <f t="shared" si="45"/>
        <v>1.6273950544320925E-4</v>
      </c>
      <c r="H457">
        <f t="shared" si="46"/>
        <v>2.048100739968989E-3</v>
      </c>
      <c r="I457" s="10">
        <f t="shared" si="47"/>
        <v>7.7265767205094624</v>
      </c>
    </row>
    <row r="458" spans="1:9">
      <c r="A458" t="s">
        <v>535</v>
      </c>
      <c r="B458" t="s">
        <v>337</v>
      </c>
      <c r="C458">
        <f>VLOOKUP(B458,Proteome!B:I,8,FALSE)</f>
        <v>5.8843569017312199E-4</v>
      </c>
      <c r="D458">
        <f t="shared" si="42"/>
        <v>0.1</v>
      </c>
      <c r="E458" s="10">
        <f t="shared" si="43"/>
        <v>5.8843569017312204E-5</v>
      </c>
      <c r="F458">
        <f t="shared" si="44"/>
        <v>0.36158134349158805</v>
      </c>
      <c r="G458" s="10">
        <f t="shared" si="45"/>
        <v>1.6273950544320925E-4</v>
      </c>
      <c r="H458">
        <f t="shared" si="46"/>
        <v>2.048100739968989E-3</v>
      </c>
      <c r="I458" s="10">
        <f t="shared" si="47"/>
        <v>7.7265767205094624</v>
      </c>
    </row>
    <row r="459" spans="1:9">
      <c r="A459" t="s">
        <v>535</v>
      </c>
      <c r="B459" t="s">
        <v>338</v>
      </c>
      <c r="C459">
        <f>VLOOKUP(B459,Proteome!B:I,8,FALSE)</f>
        <v>3.0970299482795891E-4</v>
      </c>
      <c r="D459">
        <f t="shared" si="42"/>
        <v>0.1</v>
      </c>
      <c r="E459" s="10">
        <f t="shared" si="43"/>
        <v>3.0970299482795893E-5</v>
      </c>
      <c r="F459">
        <f t="shared" si="44"/>
        <v>0.36158134349158805</v>
      </c>
      <c r="G459" s="10">
        <f t="shared" si="45"/>
        <v>8.5652371285899594E-5</v>
      </c>
      <c r="H459">
        <f t="shared" si="46"/>
        <v>1.15726180388712E-3</v>
      </c>
      <c r="I459" s="10">
        <f t="shared" si="47"/>
        <v>7.7265767205094624</v>
      </c>
    </row>
    <row r="460" spans="1:9">
      <c r="A460" t="s">
        <v>535</v>
      </c>
      <c r="B460" t="s">
        <v>339</v>
      </c>
      <c r="C460">
        <f>VLOOKUP(B460,Proteome!B:I,8,FALSE)</f>
        <v>5.8843569017312199E-4</v>
      </c>
      <c r="D460">
        <f t="shared" si="42"/>
        <v>0.1</v>
      </c>
      <c r="E460" s="10">
        <f t="shared" si="43"/>
        <v>5.8843569017312204E-5</v>
      </c>
      <c r="F460">
        <f t="shared" si="44"/>
        <v>0.36158134349158805</v>
      </c>
      <c r="G460" s="10">
        <f t="shared" si="45"/>
        <v>1.6273950544320925E-4</v>
      </c>
      <c r="H460">
        <f t="shared" si="46"/>
        <v>2.048100739968989E-3</v>
      </c>
      <c r="I460" s="10">
        <f t="shared" si="47"/>
        <v>7.7265767205094624</v>
      </c>
    </row>
    <row r="461" spans="1:9">
      <c r="A461" t="s">
        <v>535</v>
      </c>
      <c r="B461" t="s">
        <v>340</v>
      </c>
      <c r="C461">
        <f>VLOOKUP(B461,Proteome!B:I,8,FALSE)</f>
        <v>5.8843569017312199E-4</v>
      </c>
      <c r="D461">
        <f t="shared" si="42"/>
        <v>0.1</v>
      </c>
      <c r="E461" s="10">
        <f t="shared" si="43"/>
        <v>5.8843569017312204E-5</v>
      </c>
      <c r="F461">
        <f t="shared" si="44"/>
        <v>0.36158134349158805</v>
      </c>
      <c r="G461" s="10">
        <f t="shared" si="45"/>
        <v>1.6273950544320925E-4</v>
      </c>
      <c r="H461">
        <f t="shared" si="46"/>
        <v>2.048100739968989E-3</v>
      </c>
      <c r="I461" s="10">
        <f t="shared" si="47"/>
        <v>7.7265767205094624</v>
      </c>
    </row>
    <row r="462" spans="1:9">
      <c r="A462" t="s">
        <v>535</v>
      </c>
      <c r="B462" t="s">
        <v>341</v>
      </c>
      <c r="C462">
        <f>VLOOKUP(B462,Proteome!B:I,8,FALSE)</f>
        <v>3.0970299482795891E-4</v>
      </c>
      <c r="D462">
        <f t="shared" si="42"/>
        <v>0.1</v>
      </c>
      <c r="E462" s="10">
        <f t="shared" si="43"/>
        <v>3.0970299482795893E-5</v>
      </c>
      <c r="F462">
        <f t="shared" si="44"/>
        <v>0.36158134349158805</v>
      </c>
      <c r="G462" s="10">
        <f t="shared" si="45"/>
        <v>8.5652371285899594E-5</v>
      </c>
      <c r="H462">
        <f t="shared" si="46"/>
        <v>1.15726180388712E-3</v>
      </c>
      <c r="I462" s="10">
        <f t="shared" si="47"/>
        <v>7.7265767205094624</v>
      </c>
    </row>
    <row r="463" spans="1:9">
      <c r="A463" t="s">
        <v>535</v>
      </c>
      <c r="B463" t="s">
        <v>342</v>
      </c>
      <c r="C463">
        <f>VLOOKUP(B463,Proteome!B:I,8,FALSE)</f>
        <v>5.8843569017312199E-4</v>
      </c>
      <c r="D463">
        <f t="shared" si="42"/>
        <v>0.1</v>
      </c>
      <c r="E463" s="10">
        <f t="shared" si="43"/>
        <v>5.8843569017312204E-5</v>
      </c>
      <c r="F463">
        <f t="shared" si="44"/>
        <v>0.36158134349158805</v>
      </c>
      <c r="G463" s="10">
        <f t="shared" si="45"/>
        <v>1.6273950544320925E-4</v>
      </c>
      <c r="H463">
        <f t="shared" si="46"/>
        <v>2.048100739968989E-3</v>
      </c>
      <c r="I463" s="10">
        <f t="shared" si="47"/>
        <v>7.7265767205094624</v>
      </c>
    </row>
    <row r="464" spans="1:9">
      <c r="A464" t="s">
        <v>535</v>
      </c>
      <c r="B464" t="s">
        <v>344</v>
      </c>
      <c r="C464">
        <f>VLOOKUP(B464,Proteome!B:I,8,FALSE)</f>
        <v>5.8843569017312199E-4</v>
      </c>
      <c r="D464">
        <f t="shared" si="42"/>
        <v>0.1</v>
      </c>
      <c r="E464" s="10">
        <f t="shared" si="43"/>
        <v>5.8843569017312204E-5</v>
      </c>
      <c r="F464">
        <f t="shared" si="44"/>
        <v>0.36158134349158805</v>
      </c>
      <c r="G464" s="10">
        <f t="shared" si="45"/>
        <v>1.6273950544320925E-4</v>
      </c>
      <c r="H464">
        <f t="shared" si="46"/>
        <v>2.048100739968989E-3</v>
      </c>
      <c r="I464" s="10">
        <f t="shared" si="47"/>
        <v>7.7265767205094624</v>
      </c>
    </row>
    <row r="465" spans="1:9">
      <c r="A465" t="s">
        <v>535</v>
      </c>
      <c r="B465" t="s">
        <v>345</v>
      </c>
      <c r="C465">
        <f>VLOOKUP(B465,Proteome!B:I,8,FALSE)</f>
        <v>5.8843569017312199E-4</v>
      </c>
      <c r="D465">
        <f t="shared" si="42"/>
        <v>0.1</v>
      </c>
      <c r="E465" s="10">
        <f t="shared" si="43"/>
        <v>5.8843569017312204E-5</v>
      </c>
      <c r="F465">
        <f t="shared" si="44"/>
        <v>0.36158134349158805</v>
      </c>
      <c r="G465" s="10">
        <f t="shared" si="45"/>
        <v>1.6273950544320925E-4</v>
      </c>
      <c r="H465">
        <f t="shared" si="46"/>
        <v>2.048100739968989E-3</v>
      </c>
      <c r="I465" s="10">
        <f t="shared" si="47"/>
        <v>7.7265767205094624</v>
      </c>
    </row>
    <row r="466" spans="1:9">
      <c r="A466" t="s">
        <v>535</v>
      </c>
      <c r="B466" t="s">
        <v>346</v>
      </c>
      <c r="C466">
        <f>VLOOKUP(B466,Proteome!B:I,8,FALSE)</f>
        <v>5.8843569017312199E-4</v>
      </c>
      <c r="D466">
        <f t="shared" si="42"/>
        <v>0.1</v>
      </c>
      <c r="E466" s="10">
        <f t="shared" si="43"/>
        <v>5.8843569017312204E-5</v>
      </c>
      <c r="F466">
        <f t="shared" si="44"/>
        <v>0.36158134349158805</v>
      </c>
      <c r="G466" s="10">
        <f t="shared" si="45"/>
        <v>1.6273950544320925E-4</v>
      </c>
      <c r="H466">
        <f t="shared" si="46"/>
        <v>2.048100739968989E-3</v>
      </c>
      <c r="I466" s="10">
        <f t="shared" si="47"/>
        <v>7.7265767205094624</v>
      </c>
    </row>
    <row r="467" spans="1:9">
      <c r="A467" t="s">
        <v>535</v>
      </c>
      <c r="B467" t="s">
        <v>349</v>
      </c>
      <c r="C467">
        <f>VLOOKUP(B467,Proteome!B:I,8,FALSE)</f>
        <v>5.8843569017312199E-4</v>
      </c>
      <c r="D467">
        <f t="shared" si="42"/>
        <v>0.1</v>
      </c>
      <c r="E467" s="10">
        <f t="shared" si="43"/>
        <v>5.8843569017312204E-5</v>
      </c>
      <c r="F467">
        <f t="shared" si="44"/>
        <v>0.36158134349158805</v>
      </c>
      <c r="G467" s="10">
        <f t="shared" si="45"/>
        <v>1.6273950544320925E-4</v>
      </c>
      <c r="H467">
        <f t="shared" si="46"/>
        <v>2.048100739968989E-3</v>
      </c>
      <c r="I467" s="10">
        <f t="shared" si="47"/>
        <v>7.7265767205094624</v>
      </c>
    </row>
    <row r="468" spans="1:9">
      <c r="A468" t="s">
        <v>535</v>
      </c>
      <c r="B468" t="s">
        <v>350</v>
      </c>
      <c r="C468">
        <f>VLOOKUP(B468,Proteome!B:I,8,FALSE)</f>
        <v>3.0970299482795891E-4</v>
      </c>
      <c r="D468">
        <f t="shared" si="42"/>
        <v>0.1</v>
      </c>
      <c r="E468" s="10">
        <f t="shared" si="43"/>
        <v>3.0970299482795893E-5</v>
      </c>
      <c r="F468">
        <f t="shared" si="44"/>
        <v>0.36158134349158805</v>
      </c>
      <c r="G468" s="10">
        <f t="shared" si="45"/>
        <v>8.5652371285899594E-5</v>
      </c>
      <c r="H468">
        <f t="shared" si="46"/>
        <v>1.15726180388712E-3</v>
      </c>
      <c r="I468" s="10">
        <f t="shared" si="47"/>
        <v>7.7265767205094624</v>
      </c>
    </row>
    <row r="469" spans="1:9">
      <c r="A469" t="s">
        <v>535</v>
      </c>
      <c r="B469" t="s">
        <v>351</v>
      </c>
      <c r="C469">
        <f>VLOOKUP(B469,Proteome!B:I,8,FALSE)</f>
        <v>3.0970299482795891E-4</v>
      </c>
      <c r="D469">
        <f t="shared" si="42"/>
        <v>0.1</v>
      </c>
      <c r="E469" s="10">
        <f t="shared" si="43"/>
        <v>3.0970299482795893E-5</v>
      </c>
      <c r="F469">
        <f t="shared" si="44"/>
        <v>0.36158134349158805</v>
      </c>
      <c r="G469" s="10">
        <f t="shared" si="45"/>
        <v>8.5652371285899594E-5</v>
      </c>
      <c r="H469">
        <f t="shared" si="46"/>
        <v>1.15726180388712E-3</v>
      </c>
      <c r="I469" s="10">
        <f t="shared" si="47"/>
        <v>7.7265767205094624</v>
      </c>
    </row>
    <row r="470" spans="1:9">
      <c r="A470" t="s">
        <v>535</v>
      </c>
      <c r="B470" t="s">
        <v>352</v>
      </c>
      <c r="C470">
        <f>VLOOKUP(B470,Proteome!B:I,8,FALSE)</f>
        <v>5.8843569017312199E-4</v>
      </c>
      <c r="D470">
        <f t="shared" si="42"/>
        <v>0.1</v>
      </c>
      <c r="E470" s="10">
        <f t="shared" si="43"/>
        <v>5.8843569017312204E-5</v>
      </c>
      <c r="F470">
        <f t="shared" si="44"/>
        <v>0.36158134349158805</v>
      </c>
      <c r="G470" s="10">
        <f t="shared" si="45"/>
        <v>1.6273950544320925E-4</v>
      </c>
      <c r="H470">
        <f t="shared" si="46"/>
        <v>2.048100739968989E-3</v>
      </c>
      <c r="I470" s="10">
        <f t="shared" si="47"/>
        <v>7.7265767205094624</v>
      </c>
    </row>
    <row r="471" spans="1:9">
      <c r="A471" t="s">
        <v>535</v>
      </c>
      <c r="B471" t="s">
        <v>354</v>
      </c>
      <c r="C471">
        <f>VLOOKUP(B471,Proteome!B:I,8,FALSE)</f>
        <v>5.8843569017312199E-4</v>
      </c>
      <c r="D471">
        <f t="shared" si="42"/>
        <v>0.1</v>
      </c>
      <c r="E471" s="10">
        <f t="shared" si="43"/>
        <v>5.8843569017312204E-5</v>
      </c>
      <c r="F471">
        <f t="shared" si="44"/>
        <v>0.36158134349158805</v>
      </c>
      <c r="G471" s="10">
        <f t="shared" si="45"/>
        <v>1.6273950544320925E-4</v>
      </c>
      <c r="H471">
        <f t="shared" si="46"/>
        <v>2.048100739968989E-3</v>
      </c>
      <c r="I471" s="10">
        <f t="shared" si="47"/>
        <v>7.7265767205094624</v>
      </c>
    </row>
    <row r="472" spans="1:9">
      <c r="A472" t="s">
        <v>535</v>
      </c>
      <c r="B472" t="s">
        <v>355</v>
      </c>
      <c r="C472">
        <f>VLOOKUP(B472,Proteome!B:I,8,FALSE)</f>
        <v>5.8843569017312199E-4</v>
      </c>
      <c r="D472">
        <f t="shared" si="42"/>
        <v>0.1</v>
      </c>
      <c r="E472" s="10">
        <f t="shared" si="43"/>
        <v>5.8843569017312204E-5</v>
      </c>
      <c r="F472">
        <f t="shared" si="44"/>
        <v>0.36158134349158805</v>
      </c>
      <c r="G472" s="10">
        <f t="shared" si="45"/>
        <v>1.6273950544320925E-4</v>
      </c>
      <c r="H472">
        <f t="shared" si="46"/>
        <v>2.048100739968989E-3</v>
      </c>
      <c r="I472" s="10">
        <f t="shared" si="47"/>
        <v>7.7265767205094624</v>
      </c>
    </row>
    <row r="473" spans="1:9">
      <c r="A473" t="s">
        <v>535</v>
      </c>
      <c r="B473" t="s">
        <v>356</v>
      </c>
      <c r="C473">
        <f>VLOOKUP(B473,Proteome!B:I,8,FALSE)</f>
        <v>5.8843569017312199E-4</v>
      </c>
      <c r="D473">
        <f t="shared" si="42"/>
        <v>0.1</v>
      </c>
      <c r="E473" s="10">
        <f t="shared" si="43"/>
        <v>5.8843569017312204E-5</v>
      </c>
      <c r="F473">
        <f t="shared" si="44"/>
        <v>0.36158134349158805</v>
      </c>
      <c r="G473" s="10">
        <f t="shared" si="45"/>
        <v>1.6273950544320925E-4</v>
      </c>
      <c r="H473">
        <f t="shared" si="46"/>
        <v>2.048100739968989E-3</v>
      </c>
      <c r="I473" s="10">
        <f t="shared" si="47"/>
        <v>7.7265767205094624</v>
      </c>
    </row>
    <row r="474" spans="1:9">
      <c r="A474" t="s">
        <v>535</v>
      </c>
      <c r="B474" t="s">
        <v>357</v>
      </c>
      <c r="C474">
        <f>VLOOKUP(B474,Proteome!B:I,8,FALSE)</f>
        <v>5.8843569017312199E-4</v>
      </c>
      <c r="D474">
        <f t="shared" si="42"/>
        <v>0.1</v>
      </c>
      <c r="E474" s="10">
        <f t="shared" si="43"/>
        <v>5.8843569017312204E-5</v>
      </c>
      <c r="F474">
        <f t="shared" si="44"/>
        <v>0.36158134349158805</v>
      </c>
      <c r="G474" s="10">
        <f t="shared" si="45"/>
        <v>1.6273950544320925E-4</v>
      </c>
      <c r="H474">
        <f t="shared" si="46"/>
        <v>2.048100739968989E-3</v>
      </c>
      <c r="I474" s="10">
        <f t="shared" si="47"/>
        <v>7.7265767205094624</v>
      </c>
    </row>
    <row r="475" spans="1:9">
      <c r="A475" t="s">
        <v>535</v>
      </c>
      <c r="B475" t="s">
        <v>358</v>
      </c>
      <c r="C475">
        <f>VLOOKUP(B475,Proteome!B:I,8,FALSE)</f>
        <v>5.8843569017312199E-4</v>
      </c>
      <c r="D475">
        <f t="shared" si="42"/>
        <v>0.1</v>
      </c>
      <c r="E475" s="10">
        <f t="shared" si="43"/>
        <v>5.8843569017312204E-5</v>
      </c>
      <c r="F475">
        <f t="shared" si="44"/>
        <v>0.36158134349158805</v>
      </c>
      <c r="G475" s="10">
        <f t="shared" si="45"/>
        <v>1.6273950544320925E-4</v>
      </c>
      <c r="H475">
        <f t="shared" si="46"/>
        <v>2.048100739968989E-3</v>
      </c>
      <c r="I475" s="10">
        <f t="shared" si="47"/>
        <v>7.7265767205094624</v>
      </c>
    </row>
    <row r="476" spans="1:9">
      <c r="A476" t="s">
        <v>535</v>
      </c>
      <c r="B476" t="s">
        <v>359</v>
      </c>
      <c r="C476">
        <f>VLOOKUP(B476,Proteome!B:I,8,FALSE)</f>
        <v>5.8843569017312199E-4</v>
      </c>
      <c r="D476">
        <f t="shared" si="42"/>
        <v>0.1</v>
      </c>
      <c r="E476" s="10">
        <f t="shared" si="43"/>
        <v>5.8843569017312204E-5</v>
      </c>
      <c r="F476">
        <f t="shared" si="44"/>
        <v>0.36158134349158805</v>
      </c>
      <c r="G476" s="10">
        <f t="shared" si="45"/>
        <v>1.6273950544320925E-4</v>
      </c>
      <c r="H476">
        <f t="shared" si="46"/>
        <v>2.048100739968989E-3</v>
      </c>
      <c r="I476" s="10">
        <f t="shared" si="47"/>
        <v>7.7265767205094624</v>
      </c>
    </row>
    <row r="477" spans="1:9">
      <c r="A477" t="s">
        <v>535</v>
      </c>
      <c r="B477" t="s">
        <v>361</v>
      </c>
      <c r="C477">
        <f>VLOOKUP(B477,Proteome!B:I,8,FALSE)</f>
        <v>5.8843569017312199E-4</v>
      </c>
      <c r="D477">
        <f t="shared" si="42"/>
        <v>0.1</v>
      </c>
      <c r="E477" s="10">
        <f t="shared" si="43"/>
        <v>5.8843569017312204E-5</v>
      </c>
      <c r="F477">
        <f t="shared" si="44"/>
        <v>0.36158134349158805</v>
      </c>
      <c r="G477" s="10">
        <f t="shared" si="45"/>
        <v>1.6273950544320925E-4</v>
      </c>
      <c r="H477">
        <f t="shared" si="46"/>
        <v>2.048100739968989E-3</v>
      </c>
      <c r="I477" s="10">
        <f t="shared" si="47"/>
        <v>7.7265767205094624</v>
      </c>
    </row>
    <row r="478" spans="1:9">
      <c r="A478" t="s">
        <v>543</v>
      </c>
      <c r="B478" t="s">
        <v>223</v>
      </c>
      <c r="C478">
        <f>VLOOKUP(B478,Proteome!B:I,8,FALSE)</f>
        <v>3.0970299482795891E-4</v>
      </c>
      <c r="D478">
        <f t="shared" si="42"/>
        <v>0.1</v>
      </c>
      <c r="E478" s="10">
        <f t="shared" si="43"/>
        <v>3.0970299482795893E-5</v>
      </c>
      <c r="F478">
        <f t="shared" si="44"/>
        <v>0.36158134349158805</v>
      </c>
      <c r="G478" s="10">
        <f t="shared" si="45"/>
        <v>8.5652371285899594E-5</v>
      </c>
      <c r="H478">
        <f t="shared" si="46"/>
        <v>1.15726180388712E-3</v>
      </c>
      <c r="I478" s="10">
        <f t="shared" si="47"/>
        <v>7.7265767205094624</v>
      </c>
    </row>
    <row r="479" spans="1:9">
      <c r="A479" t="s">
        <v>543</v>
      </c>
      <c r="B479" t="s">
        <v>224</v>
      </c>
      <c r="C479">
        <f>VLOOKUP(B479,Proteome!B:I,8,FALSE)</f>
        <v>5.8843569017312199E-4</v>
      </c>
      <c r="D479">
        <f t="shared" si="42"/>
        <v>0.1</v>
      </c>
      <c r="E479" s="10">
        <f t="shared" si="43"/>
        <v>5.8843569017312204E-5</v>
      </c>
      <c r="F479">
        <f t="shared" si="44"/>
        <v>0.36158134349158805</v>
      </c>
      <c r="G479" s="10">
        <f t="shared" si="45"/>
        <v>1.6273950544320925E-4</v>
      </c>
      <c r="H479">
        <f t="shared" si="46"/>
        <v>2.048100739968989E-3</v>
      </c>
      <c r="I479" s="10">
        <f t="shared" si="47"/>
        <v>7.7265767205094624</v>
      </c>
    </row>
    <row r="480" spans="1:9">
      <c r="A480" t="s">
        <v>543</v>
      </c>
      <c r="B480" t="s">
        <v>226</v>
      </c>
      <c r="C480">
        <f>VLOOKUP(B480,Proteome!B:I,8,FALSE)</f>
        <v>3.0970299482795891E-4</v>
      </c>
      <c r="D480">
        <f t="shared" si="42"/>
        <v>0.1</v>
      </c>
      <c r="E480" s="10">
        <f t="shared" si="43"/>
        <v>3.0970299482795893E-5</v>
      </c>
      <c r="F480">
        <f t="shared" si="44"/>
        <v>0.36158134349158805</v>
      </c>
      <c r="G480" s="10">
        <f t="shared" si="45"/>
        <v>8.5652371285899594E-5</v>
      </c>
      <c r="H480">
        <f t="shared" si="46"/>
        <v>1.15726180388712E-3</v>
      </c>
      <c r="I480" s="10">
        <f t="shared" si="47"/>
        <v>7.7265767205094624</v>
      </c>
    </row>
    <row r="481" spans="1:9">
      <c r="A481" t="s">
        <v>543</v>
      </c>
      <c r="B481" t="s">
        <v>225</v>
      </c>
      <c r="C481">
        <f>VLOOKUP(B481,Proteome!B:I,8,FALSE)</f>
        <v>5.8843569017312199E-4</v>
      </c>
      <c r="D481">
        <f t="shared" si="42"/>
        <v>0.1</v>
      </c>
      <c r="E481" s="10">
        <f t="shared" si="43"/>
        <v>5.8843569017312204E-5</v>
      </c>
      <c r="F481">
        <f t="shared" si="44"/>
        <v>0.36158134349158805</v>
      </c>
      <c r="G481" s="10">
        <f t="shared" si="45"/>
        <v>1.6273950544320925E-4</v>
      </c>
      <c r="H481">
        <f t="shared" si="46"/>
        <v>2.048100739968989E-3</v>
      </c>
      <c r="I481" s="10">
        <f t="shared" si="47"/>
        <v>7.7265767205094624</v>
      </c>
    </row>
    <row r="482" spans="1:9">
      <c r="A482" t="s">
        <v>543</v>
      </c>
      <c r="B482" t="s">
        <v>227</v>
      </c>
      <c r="C482">
        <f>VLOOKUP(B482,Proteome!B:I,8,FALSE)</f>
        <v>3.0970299482795891E-4</v>
      </c>
      <c r="D482">
        <f t="shared" si="42"/>
        <v>0.1</v>
      </c>
      <c r="E482" s="10">
        <f t="shared" si="43"/>
        <v>3.0970299482795893E-5</v>
      </c>
      <c r="F482">
        <f t="shared" si="44"/>
        <v>0.36158134349158805</v>
      </c>
      <c r="G482" s="10">
        <f t="shared" si="45"/>
        <v>8.5652371285899594E-5</v>
      </c>
      <c r="H482">
        <f t="shared" si="46"/>
        <v>1.15726180388712E-3</v>
      </c>
      <c r="I482" s="10">
        <f t="shared" si="47"/>
        <v>7.7265767205094624</v>
      </c>
    </row>
    <row r="483" spans="1:9">
      <c r="A483" t="s">
        <v>535</v>
      </c>
      <c r="B483" t="s">
        <v>362</v>
      </c>
      <c r="C483">
        <f>VLOOKUP(B483,Proteome!B:I,8,FALSE)</f>
        <v>5.8843569017312199E-4</v>
      </c>
      <c r="D483">
        <f t="shared" si="42"/>
        <v>0.1</v>
      </c>
      <c r="E483" s="10">
        <f t="shared" si="43"/>
        <v>5.8843569017312204E-5</v>
      </c>
      <c r="F483">
        <f t="shared" si="44"/>
        <v>0.36158134349158805</v>
      </c>
      <c r="G483" s="10">
        <f t="shared" si="45"/>
        <v>1.6273950544320925E-4</v>
      </c>
      <c r="H483">
        <f t="shared" si="46"/>
        <v>2.048100739968989E-3</v>
      </c>
      <c r="I483" s="10">
        <f t="shared" si="47"/>
        <v>7.7265767205094624</v>
      </c>
    </row>
    <row r="484" spans="1:9">
      <c r="A484" t="s">
        <v>535</v>
      </c>
      <c r="B484" t="s">
        <v>364</v>
      </c>
      <c r="C484">
        <f>VLOOKUP(B484,Proteome!B:I,8,FALSE)</f>
        <v>5.8843569017312199E-4</v>
      </c>
      <c r="D484">
        <f t="shared" si="42"/>
        <v>0.1</v>
      </c>
      <c r="E484" s="10">
        <f t="shared" si="43"/>
        <v>5.8843569017312204E-5</v>
      </c>
      <c r="F484">
        <f t="shared" si="44"/>
        <v>0.36158134349158805</v>
      </c>
      <c r="G484" s="10">
        <f t="shared" si="45"/>
        <v>1.6273950544320925E-4</v>
      </c>
      <c r="H484">
        <f t="shared" si="46"/>
        <v>2.048100739968989E-3</v>
      </c>
      <c r="I484" s="10">
        <f t="shared" si="47"/>
        <v>7.7265767205094624</v>
      </c>
    </row>
    <row r="485" spans="1:9">
      <c r="A485" t="s">
        <v>535</v>
      </c>
      <c r="B485" t="s">
        <v>370</v>
      </c>
      <c r="C485">
        <f>VLOOKUP(B485,Proteome!B:I,8,FALSE)</f>
        <v>5.8843569017312199E-4</v>
      </c>
      <c r="D485">
        <f t="shared" si="42"/>
        <v>0.1</v>
      </c>
      <c r="E485" s="10">
        <f t="shared" si="43"/>
        <v>5.8843569017312204E-5</v>
      </c>
      <c r="F485">
        <f t="shared" si="44"/>
        <v>0.36158134349158805</v>
      </c>
      <c r="G485" s="10">
        <f t="shared" si="45"/>
        <v>1.6273950544320925E-4</v>
      </c>
      <c r="H485">
        <f t="shared" si="46"/>
        <v>2.048100739968989E-3</v>
      </c>
      <c r="I485" s="10">
        <f t="shared" si="47"/>
        <v>7.7265767205094624</v>
      </c>
    </row>
    <row r="486" spans="1:9">
      <c r="A486" t="s">
        <v>535</v>
      </c>
      <c r="B486" t="s">
        <v>371</v>
      </c>
      <c r="C486">
        <f>VLOOKUP(B486,Proteome!B:I,8,FALSE)</f>
        <v>5.8843569017312199E-4</v>
      </c>
      <c r="D486">
        <f t="shared" si="42"/>
        <v>0.1</v>
      </c>
      <c r="E486" s="10">
        <f t="shared" si="43"/>
        <v>5.8843569017312204E-5</v>
      </c>
      <c r="F486">
        <f t="shared" si="44"/>
        <v>0.36158134349158805</v>
      </c>
      <c r="G486" s="10">
        <f t="shared" si="45"/>
        <v>1.6273950544320925E-4</v>
      </c>
      <c r="H486">
        <f t="shared" si="46"/>
        <v>2.048100739968989E-3</v>
      </c>
      <c r="I486" s="10">
        <f t="shared" si="47"/>
        <v>7.7265767205094624</v>
      </c>
    </row>
    <row r="487" spans="1:9">
      <c r="A487" t="s">
        <v>535</v>
      </c>
      <c r="B487" t="s">
        <v>372</v>
      </c>
      <c r="C487">
        <f>VLOOKUP(B487,Proteome!B:I,8,FALSE)</f>
        <v>5.8843569017312199E-4</v>
      </c>
      <c r="D487">
        <f t="shared" si="42"/>
        <v>0.1</v>
      </c>
      <c r="E487" s="10">
        <f t="shared" si="43"/>
        <v>5.8843569017312204E-5</v>
      </c>
      <c r="F487">
        <f t="shared" si="44"/>
        <v>0.36158134349158805</v>
      </c>
      <c r="G487" s="10">
        <f t="shared" si="45"/>
        <v>1.6273950544320925E-4</v>
      </c>
      <c r="H487">
        <f t="shared" si="46"/>
        <v>2.048100739968989E-3</v>
      </c>
      <c r="I487" s="10">
        <f t="shared" si="47"/>
        <v>7.7265767205094624</v>
      </c>
    </row>
    <row r="488" spans="1:9">
      <c r="A488" t="s">
        <v>535</v>
      </c>
      <c r="B488" t="s">
        <v>374</v>
      </c>
      <c r="C488">
        <f>VLOOKUP(B488,Proteome!B:I,8,FALSE)</f>
        <v>3.0970299482795891E-4</v>
      </c>
      <c r="D488">
        <f t="shared" si="42"/>
        <v>0.1</v>
      </c>
      <c r="E488" s="10">
        <f t="shared" si="43"/>
        <v>3.0970299482795893E-5</v>
      </c>
      <c r="F488">
        <f t="shared" si="44"/>
        <v>0.36158134349158805</v>
      </c>
      <c r="G488" s="10">
        <f t="shared" si="45"/>
        <v>8.5652371285899594E-5</v>
      </c>
      <c r="H488">
        <f t="shared" si="46"/>
        <v>1.15726180388712E-3</v>
      </c>
      <c r="I488" s="10">
        <f t="shared" si="47"/>
        <v>7.7265767205094624</v>
      </c>
    </row>
    <row r="489" spans="1:9">
      <c r="A489" t="s">
        <v>535</v>
      </c>
      <c r="B489" t="s">
        <v>375</v>
      </c>
      <c r="C489">
        <f>VLOOKUP(B489,Proteome!B:I,8,FALSE)</f>
        <v>5.8843569017312199E-4</v>
      </c>
      <c r="D489">
        <f t="shared" si="42"/>
        <v>0.1</v>
      </c>
      <c r="E489" s="10">
        <f t="shared" si="43"/>
        <v>5.8843569017312204E-5</v>
      </c>
      <c r="F489">
        <f t="shared" si="44"/>
        <v>0.36158134349158805</v>
      </c>
      <c r="G489" s="10">
        <f t="shared" si="45"/>
        <v>1.6273950544320925E-4</v>
      </c>
      <c r="H489">
        <f t="shared" si="46"/>
        <v>2.048100739968989E-3</v>
      </c>
      <c r="I489" s="10">
        <f t="shared" si="47"/>
        <v>7.7265767205094624</v>
      </c>
    </row>
    <row r="490" spans="1:9">
      <c r="A490" t="s">
        <v>535</v>
      </c>
      <c r="B490" t="s">
        <v>376</v>
      </c>
      <c r="C490">
        <f>VLOOKUP(B490,Proteome!B:I,8,FALSE)</f>
        <v>5.8843569017312199E-4</v>
      </c>
      <c r="D490">
        <f t="shared" si="42"/>
        <v>0.1</v>
      </c>
      <c r="E490" s="10">
        <f t="shared" si="43"/>
        <v>5.8843569017312204E-5</v>
      </c>
      <c r="F490">
        <f t="shared" si="44"/>
        <v>0.36158134349158805</v>
      </c>
      <c r="G490" s="10">
        <f t="shared" si="45"/>
        <v>1.6273950544320925E-4</v>
      </c>
      <c r="H490">
        <f t="shared" si="46"/>
        <v>2.048100739968989E-3</v>
      </c>
      <c r="I490" s="10">
        <f t="shared" si="47"/>
        <v>7.7265767205094624</v>
      </c>
    </row>
    <row r="491" spans="1:9">
      <c r="A491" t="s">
        <v>535</v>
      </c>
      <c r="B491" t="s">
        <v>377</v>
      </c>
      <c r="C491">
        <f>VLOOKUP(B491,Proteome!B:I,8,FALSE)</f>
        <v>5.8843569017312199E-4</v>
      </c>
      <c r="D491">
        <f t="shared" si="42"/>
        <v>0.1</v>
      </c>
      <c r="E491" s="10">
        <f t="shared" si="43"/>
        <v>5.8843569017312204E-5</v>
      </c>
      <c r="F491">
        <f t="shared" si="44"/>
        <v>0.36158134349158805</v>
      </c>
      <c r="G491" s="10">
        <f t="shared" si="45"/>
        <v>1.6273950544320925E-4</v>
      </c>
      <c r="H491">
        <f t="shared" si="46"/>
        <v>2.048100739968989E-3</v>
      </c>
      <c r="I491" s="10">
        <f t="shared" si="47"/>
        <v>7.7265767205094624</v>
      </c>
    </row>
    <row r="492" spans="1:9">
      <c r="A492" t="s">
        <v>535</v>
      </c>
      <c r="B492" t="s">
        <v>378</v>
      </c>
      <c r="C492">
        <f>VLOOKUP(B492,Proteome!B:I,8,FALSE)</f>
        <v>5.8843569017312199E-4</v>
      </c>
      <c r="D492">
        <f t="shared" si="42"/>
        <v>0.1</v>
      </c>
      <c r="E492" s="10">
        <f t="shared" si="43"/>
        <v>5.8843569017312204E-5</v>
      </c>
      <c r="F492">
        <f t="shared" si="44"/>
        <v>0.36158134349158805</v>
      </c>
      <c r="G492" s="10">
        <f t="shared" si="45"/>
        <v>1.6273950544320925E-4</v>
      </c>
      <c r="H492">
        <f t="shared" si="46"/>
        <v>2.048100739968989E-3</v>
      </c>
      <c r="I492" s="10">
        <f t="shared" si="47"/>
        <v>7.7265767205094624</v>
      </c>
    </row>
    <row r="493" spans="1:9">
      <c r="A493" t="s">
        <v>535</v>
      </c>
      <c r="B493" t="s">
        <v>379</v>
      </c>
      <c r="C493">
        <f>VLOOKUP(B493,Proteome!B:I,8,FALSE)</f>
        <v>5.8843569017312199E-4</v>
      </c>
      <c r="D493">
        <f t="shared" si="42"/>
        <v>0.1</v>
      </c>
      <c r="E493" s="10">
        <f t="shared" si="43"/>
        <v>5.8843569017312204E-5</v>
      </c>
      <c r="F493">
        <f t="shared" si="44"/>
        <v>0.36158134349158805</v>
      </c>
      <c r="G493" s="10">
        <f t="shared" si="45"/>
        <v>1.6273950544320925E-4</v>
      </c>
      <c r="H493">
        <f t="shared" si="46"/>
        <v>2.048100739968989E-3</v>
      </c>
      <c r="I493" s="10">
        <f t="shared" si="47"/>
        <v>7.7265767205094624</v>
      </c>
    </row>
    <row r="494" spans="1:9">
      <c r="A494" t="s">
        <v>535</v>
      </c>
      <c r="B494" t="s">
        <v>380</v>
      </c>
      <c r="C494">
        <f>VLOOKUP(B494,Proteome!B:I,8,FALSE)</f>
        <v>5.8843569017312199E-4</v>
      </c>
      <c r="D494">
        <f t="shared" si="42"/>
        <v>0.1</v>
      </c>
      <c r="E494" s="10">
        <f t="shared" si="43"/>
        <v>5.8843569017312204E-5</v>
      </c>
      <c r="F494">
        <f t="shared" si="44"/>
        <v>0.36158134349158805</v>
      </c>
      <c r="G494" s="10">
        <f t="shared" si="45"/>
        <v>1.6273950544320925E-4</v>
      </c>
      <c r="H494">
        <f t="shared" si="46"/>
        <v>2.048100739968989E-3</v>
      </c>
      <c r="I494" s="10">
        <f t="shared" si="47"/>
        <v>7.7265767205094624</v>
      </c>
    </row>
    <row r="495" spans="1:9">
      <c r="A495" t="s">
        <v>535</v>
      </c>
      <c r="B495" t="s">
        <v>381</v>
      </c>
      <c r="C495">
        <f>VLOOKUP(B495,Proteome!B:I,8,FALSE)</f>
        <v>5.8843569017312199E-4</v>
      </c>
      <c r="D495">
        <f t="shared" si="42"/>
        <v>0.1</v>
      </c>
      <c r="E495" s="10">
        <f t="shared" si="43"/>
        <v>5.8843569017312204E-5</v>
      </c>
      <c r="F495">
        <f t="shared" si="44"/>
        <v>0.36158134349158805</v>
      </c>
      <c r="G495" s="10">
        <f t="shared" si="45"/>
        <v>1.6273950544320925E-4</v>
      </c>
      <c r="H495">
        <f t="shared" si="46"/>
        <v>2.048100739968989E-3</v>
      </c>
      <c r="I495" s="10">
        <f t="shared" si="47"/>
        <v>7.7265767205094624</v>
      </c>
    </row>
    <row r="496" spans="1:9">
      <c r="A496" t="s">
        <v>543</v>
      </c>
      <c r="B496" t="s">
        <v>228</v>
      </c>
      <c r="C496">
        <f>VLOOKUP(B496,Proteome!B:I,8,FALSE)</f>
        <v>5.8843569017312199E-4</v>
      </c>
      <c r="D496">
        <f t="shared" si="42"/>
        <v>0.1</v>
      </c>
      <c r="E496" s="10">
        <f t="shared" si="43"/>
        <v>5.8843569017312204E-5</v>
      </c>
      <c r="F496">
        <f t="shared" si="44"/>
        <v>0.36158134349158805</v>
      </c>
      <c r="G496" s="10">
        <f t="shared" si="45"/>
        <v>1.6273950544320925E-4</v>
      </c>
      <c r="H496">
        <f t="shared" si="46"/>
        <v>2.048100739968989E-3</v>
      </c>
      <c r="I496" s="10">
        <f t="shared" si="47"/>
        <v>7.7265767205094624</v>
      </c>
    </row>
    <row r="497" spans="1:9">
      <c r="A497" t="s">
        <v>543</v>
      </c>
      <c r="B497" t="s">
        <v>229</v>
      </c>
      <c r="C497">
        <f>VLOOKUP(B497,Proteome!B:I,8,FALSE)</f>
        <v>3.0970299482795891E-4</v>
      </c>
      <c r="D497">
        <f t="shared" si="42"/>
        <v>0.1</v>
      </c>
      <c r="E497" s="10">
        <f t="shared" si="43"/>
        <v>3.0970299482795893E-5</v>
      </c>
      <c r="F497">
        <f t="shared" si="44"/>
        <v>0.36158134349158805</v>
      </c>
      <c r="G497" s="10">
        <f t="shared" si="45"/>
        <v>8.5652371285899594E-5</v>
      </c>
      <c r="H497">
        <f t="shared" si="46"/>
        <v>1.15726180388712E-3</v>
      </c>
      <c r="I497" s="10">
        <f t="shared" si="47"/>
        <v>7.7265767205094624</v>
      </c>
    </row>
    <row r="498" spans="1:9">
      <c r="A498" t="s">
        <v>535</v>
      </c>
      <c r="B498" t="s">
        <v>382</v>
      </c>
      <c r="C498">
        <f>VLOOKUP(B498,Proteome!B:I,8,FALSE)</f>
        <v>3.0970299482795891E-4</v>
      </c>
      <c r="D498">
        <f t="shared" si="42"/>
        <v>0.1</v>
      </c>
      <c r="E498" s="10">
        <f t="shared" si="43"/>
        <v>3.0970299482795893E-5</v>
      </c>
      <c r="F498">
        <f t="shared" si="44"/>
        <v>0.36158134349158805</v>
      </c>
      <c r="G498" s="10">
        <f t="shared" si="45"/>
        <v>8.5652371285899594E-5</v>
      </c>
      <c r="H498">
        <f t="shared" si="46"/>
        <v>1.15726180388712E-3</v>
      </c>
      <c r="I498" s="10">
        <f t="shared" si="47"/>
        <v>7.7265767205094624</v>
      </c>
    </row>
    <row r="499" spans="1:9">
      <c r="A499" t="s">
        <v>535</v>
      </c>
      <c r="B499" t="s">
        <v>383</v>
      </c>
      <c r="C499">
        <f>VLOOKUP(B499,Proteome!B:I,8,FALSE)</f>
        <v>3.0970299482795891E-4</v>
      </c>
      <c r="D499">
        <f t="shared" si="42"/>
        <v>0.1</v>
      </c>
      <c r="E499" s="10">
        <f t="shared" si="43"/>
        <v>3.0970299482795893E-5</v>
      </c>
      <c r="F499">
        <f t="shared" si="44"/>
        <v>0.36158134349158805</v>
      </c>
      <c r="G499" s="10">
        <f t="shared" si="45"/>
        <v>8.5652371285899594E-5</v>
      </c>
      <c r="H499">
        <f t="shared" si="46"/>
        <v>1.15726180388712E-3</v>
      </c>
      <c r="I499" s="10">
        <f t="shared" si="47"/>
        <v>7.7265767205094624</v>
      </c>
    </row>
    <row r="500" spans="1:9">
      <c r="A500" t="s">
        <v>535</v>
      </c>
      <c r="B500" t="s">
        <v>384</v>
      </c>
      <c r="C500">
        <f>VLOOKUP(B500,Proteome!B:I,8,FALSE)</f>
        <v>3.0970299482795891E-4</v>
      </c>
      <c r="D500">
        <f t="shared" si="42"/>
        <v>0.1</v>
      </c>
      <c r="E500" s="10">
        <f t="shared" si="43"/>
        <v>3.0970299482795893E-5</v>
      </c>
      <c r="F500">
        <f t="shared" si="44"/>
        <v>0.36158134349158805</v>
      </c>
      <c r="G500" s="10">
        <f t="shared" si="45"/>
        <v>8.5652371285899594E-5</v>
      </c>
      <c r="H500">
        <f t="shared" si="46"/>
        <v>1.15726180388712E-3</v>
      </c>
      <c r="I500" s="10">
        <f t="shared" si="47"/>
        <v>7.7265767205094624</v>
      </c>
    </row>
    <row r="501" spans="1:9">
      <c r="A501" t="s">
        <v>535</v>
      </c>
      <c r="B501" t="s">
        <v>385</v>
      </c>
      <c r="C501">
        <f>VLOOKUP(B501,Proteome!B:I,8,FALSE)</f>
        <v>5.8843569017312199E-4</v>
      </c>
      <c r="D501">
        <f t="shared" si="42"/>
        <v>0.1</v>
      </c>
      <c r="E501" s="10">
        <f t="shared" si="43"/>
        <v>5.8843569017312204E-5</v>
      </c>
      <c r="F501">
        <f t="shared" si="44"/>
        <v>0.36158134349158805</v>
      </c>
      <c r="G501" s="10">
        <f t="shared" si="45"/>
        <v>1.6273950544320925E-4</v>
      </c>
      <c r="H501">
        <f t="shared" si="46"/>
        <v>2.048100739968989E-3</v>
      </c>
      <c r="I501" s="10">
        <f t="shared" si="47"/>
        <v>7.7265767205094624</v>
      </c>
    </row>
    <row r="502" spans="1:9">
      <c r="A502" t="s">
        <v>535</v>
      </c>
      <c r="B502" t="s">
        <v>386</v>
      </c>
      <c r="C502">
        <f>VLOOKUP(B502,Proteome!B:I,8,FALSE)</f>
        <v>5.8843569017312199E-4</v>
      </c>
      <c r="D502">
        <f t="shared" si="42"/>
        <v>0.1</v>
      </c>
      <c r="E502" s="10">
        <f t="shared" si="43"/>
        <v>5.8843569017312204E-5</v>
      </c>
      <c r="F502">
        <f t="shared" si="44"/>
        <v>0.36158134349158805</v>
      </c>
      <c r="G502" s="10">
        <f t="shared" si="45"/>
        <v>1.6273950544320925E-4</v>
      </c>
      <c r="H502">
        <f t="shared" si="46"/>
        <v>2.048100739968989E-3</v>
      </c>
      <c r="I502" s="10">
        <f t="shared" si="47"/>
        <v>7.7265767205094624</v>
      </c>
    </row>
    <row r="503" spans="1:9">
      <c r="A503" t="s">
        <v>535</v>
      </c>
      <c r="B503" t="s">
        <v>388</v>
      </c>
      <c r="C503">
        <f>VLOOKUP(B503,Proteome!B:I,8,FALSE)</f>
        <v>5.8843569017312199E-4</v>
      </c>
      <c r="D503">
        <f t="shared" si="42"/>
        <v>0.1</v>
      </c>
      <c r="E503" s="10">
        <f t="shared" si="43"/>
        <v>5.8843569017312204E-5</v>
      </c>
      <c r="F503">
        <f t="shared" si="44"/>
        <v>0.36158134349158805</v>
      </c>
      <c r="G503" s="10">
        <f t="shared" si="45"/>
        <v>1.6273950544320925E-4</v>
      </c>
      <c r="H503">
        <f t="shared" si="46"/>
        <v>2.048100739968989E-3</v>
      </c>
      <c r="I503" s="10">
        <f t="shared" si="47"/>
        <v>7.7265767205094624</v>
      </c>
    </row>
    <row r="504" spans="1:9">
      <c r="A504" t="s">
        <v>535</v>
      </c>
      <c r="B504" t="s">
        <v>389</v>
      </c>
      <c r="C504">
        <f>VLOOKUP(B504,Proteome!B:I,8,FALSE)</f>
        <v>5.8843569017312199E-4</v>
      </c>
      <c r="D504">
        <f t="shared" si="42"/>
        <v>0.1</v>
      </c>
      <c r="E504" s="10">
        <f t="shared" si="43"/>
        <v>5.8843569017312204E-5</v>
      </c>
      <c r="F504">
        <f t="shared" si="44"/>
        <v>0.36158134349158805</v>
      </c>
      <c r="G504" s="10">
        <f t="shared" si="45"/>
        <v>1.6273950544320925E-4</v>
      </c>
      <c r="H504">
        <f t="shared" si="46"/>
        <v>2.048100739968989E-3</v>
      </c>
      <c r="I504" s="10">
        <f t="shared" si="47"/>
        <v>7.7265767205094624</v>
      </c>
    </row>
    <row r="505" spans="1:9">
      <c r="A505" t="s">
        <v>535</v>
      </c>
      <c r="B505" t="s">
        <v>391</v>
      </c>
      <c r="C505">
        <f>VLOOKUP(B505,Proteome!B:I,8,FALSE)</f>
        <v>5.8843569017312199E-4</v>
      </c>
      <c r="D505">
        <f t="shared" si="42"/>
        <v>0.1</v>
      </c>
      <c r="E505" s="10">
        <f t="shared" si="43"/>
        <v>5.8843569017312204E-5</v>
      </c>
      <c r="F505">
        <f t="shared" si="44"/>
        <v>0.36158134349158805</v>
      </c>
      <c r="G505" s="10">
        <f t="shared" si="45"/>
        <v>1.6273950544320925E-4</v>
      </c>
      <c r="H505">
        <f t="shared" si="46"/>
        <v>2.048100739968989E-3</v>
      </c>
      <c r="I505" s="10">
        <f t="shared" si="47"/>
        <v>7.7265767205094624</v>
      </c>
    </row>
    <row r="506" spans="1:9">
      <c r="A506" t="s">
        <v>535</v>
      </c>
      <c r="B506" t="s">
        <v>392</v>
      </c>
      <c r="C506">
        <f>VLOOKUP(B506,Proteome!B:I,8,FALSE)</f>
        <v>5.8843569017312199E-4</v>
      </c>
      <c r="D506">
        <f t="shared" si="42"/>
        <v>0.1</v>
      </c>
      <c r="E506" s="10">
        <f t="shared" si="43"/>
        <v>5.8843569017312204E-5</v>
      </c>
      <c r="F506">
        <f t="shared" si="44"/>
        <v>0.36158134349158805</v>
      </c>
      <c r="G506" s="10">
        <f t="shared" si="45"/>
        <v>1.6273950544320925E-4</v>
      </c>
      <c r="H506">
        <f t="shared" si="46"/>
        <v>2.048100739968989E-3</v>
      </c>
      <c r="I506" s="10">
        <f t="shared" si="47"/>
        <v>7.7265767205094624</v>
      </c>
    </row>
    <row r="507" spans="1:9">
      <c r="A507" t="s">
        <v>535</v>
      </c>
      <c r="B507" t="s">
        <v>393</v>
      </c>
      <c r="C507">
        <f>VLOOKUP(B507,Proteome!B:I,8,FALSE)</f>
        <v>3.0970299482795891E-4</v>
      </c>
      <c r="D507">
        <f t="shared" si="42"/>
        <v>0.1</v>
      </c>
      <c r="E507" s="10">
        <f t="shared" si="43"/>
        <v>3.0970299482795893E-5</v>
      </c>
      <c r="F507">
        <f t="shared" si="44"/>
        <v>0.36158134349158805</v>
      </c>
      <c r="G507" s="10">
        <f t="shared" si="45"/>
        <v>8.5652371285899594E-5</v>
      </c>
      <c r="H507">
        <f t="shared" si="46"/>
        <v>1.15726180388712E-3</v>
      </c>
      <c r="I507" s="10">
        <f t="shared" si="47"/>
        <v>7.7265767205094624</v>
      </c>
    </row>
    <row r="508" spans="1:9">
      <c r="A508" t="s">
        <v>535</v>
      </c>
      <c r="B508" t="s">
        <v>394</v>
      </c>
      <c r="C508">
        <f>VLOOKUP(B508,Proteome!B:I,8,FALSE)</f>
        <v>3.0970299482795891E-4</v>
      </c>
      <c r="D508">
        <f t="shared" si="42"/>
        <v>0.1</v>
      </c>
      <c r="E508" s="10">
        <f t="shared" si="43"/>
        <v>3.0970299482795893E-5</v>
      </c>
      <c r="F508">
        <f t="shared" si="44"/>
        <v>0.36158134349158805</v>
      </c>
      <c r="G508" s="10">
        <f t="shared" si="45"/>
        <v>8.5652371285899594E-5</v>
      </c>
      <c r="H508">
        <f t="shared" si="46"/>
        <v>1.15726180388712E-3</v>
      </c>
      <c r="I508" s="10">
        <f t="shared" si="47"/>
        <v>7.7265767205094624</v>
      </c>
    </row>
    <row r="509" spans="1:9">
      <c r="A509" t="s">
        <v>535</v>
      </c>
      <c r="B509" t="s">
        <v>400</v>
      </c>
      <c r="C509">
        <f>VLOOKUP(B509,Proteome!B:I,8,FALSE)</f>
        <v>3.0970299482795891E-4</v>
      </c>
      <c r="D509">
        <f t="shared" si="42"/>
        <v>0.1</v>
      </c>
      <c r="E509" s="10">
        <f t="shared" si="43"/>
        <v>3.0970299482795893E-5</v>
      </c>
      <c r="F509">
        <f t="shared" si="44"/>
        <v>0.36158134349158805</v>
      </c>
      <c r="G509" s="10">
        <f t="shared" si="45"/>
        <v>8.5652371285899594E-5</v>
      </c>
      <c r="H509">
        <f t="shared" si="46"/>
        <v>1.15726180388712E-3</v>
      </c>
      <c r="I509" s="10">
        <f t="shared" si="47"/>
        <v>7.7265767205094624</v>
      </c>
    </row>
    <row r="510" spans="1:9">
      <c r="A510" t="s">
        <v>535</v>
      </c>
      <c r="B510" t="s">
        <v>401</v>
      </c>
      <c r="C510">
        <f>VLOOKUP(B510,Proteome!B:I,8,FALSE)</f>
        <v>3.0970299482795891E-4</v>
      </c>
      <c r="D510">
        <f t="shared" si="42"/>
        <v>0.1</v>
      </c>
      <c r="E510" s="10">
        <f t="shared" si="43"/>
        <v>3.0970299482795893E-5</v>
      </c>
      <c r="F510">
        <f t="shared" si="44"/>
        <v>0.36158134349158805</v>
      </c>
      <c r="G510" s="10">
        <f t="shared" si="45"/>
        <v>8.5652371285899594E-5</v>
      </c>
      <c r="H510">
        <f t="shared" si="46"/>
        <v>1.15726180388712E-3</v>
      </c>
      <c r="I510" s="10">
        <f t="shared" si="47"/>
        <v>7.7265767205094624</v>
      </c>
    </row>
    <row r="511" spans="1:9">
      <c r="A511" t="s">
        <v>535</v>
      </c>
      <c r="B511" t="s">
        <v>402</v>
      </c>
      <c r="C511">
        <f>VLOOKUP(B511,Proteome!B:I,8,FALSE)</f>
        <v>3.0970299482795891E-4</v>
      </c>
      <c r="D511">
        <f t="shared" si="42"/>
        <v>0.1</v>
      </c>
      <c r="E511" s="10">
        <f t="shared" si="43"/>
        <v>3.0970299482795893E-5</v>
      </c>
      <c r="F511">
        <f t="shared" si="44"/>
        <v>0.36158134349158805</v>
      </c>
      <c r="G511" s="10">
        <f t="shared" si="45"/>
        <v>8.5652371285899594E-5</v>
      </c>
      <c r="H511">
        <f t="shared" si="46"/>
        <v>1.15726180388712E-3</v>
      </c>
      <c r="I511" s="10">
        <f t="shared" si="47"/>
        <v>7.7265767205094624</v>
      </c>
    </row>
    <row r="512" spans="1:9">
      <c r="A512" t="s">
        <v>535</v>
      </c>
      <c r="B512" t="s">
        <v>396</v>
      </c>
      <c r="C512">
        <f>VLOOKUP(B512,Proteome!B:I,8,FALSE)</f>
        <v>5.8843569017312199E-4</v>
      </c>
      <c r="D512">
        <f t="shared" si="42"/>
        <v>0.1</v>
      </c>
      <c r="E512" s="10">
        <f t="shared" si="43"/>
        <v>5.8843569017312204E-5</v>
      </c>
      <c r="F512">
        <f t="shared" si="44"/>
        <v>0.36158134349158805</v>
      </c>
      <c r="G512" s="10">
        <f t="shared" si="45"/>
        <v>1.6273950544320925E-4</v>
      </c>
      <c r="H512">
        <f t="shared" si="46"/>
        <v>2.048100739968989E-3</v>
      </c>
      <c r="I512" s="10">
        <f t="shared" si="47"/>
        <v>7.7265767205094624</v>
      </c>
    </row>
    <row r="513" spans="1:9">
      <c r="A513" t="s">
        <v>535</v>
      </c>
      <c r="B513" t="s">
        <v>397</v>
      </c>
      <c r="C513">
        <f>VLOOKUP(B513,Proteome!B:I,8,FALSE)</f>
        <v>5.8843569017312199E-4</v>
      </c>
      <c r="D513">
        <f t="shared" si="42"/>
        <v>0.1</v>
      </c>
      <c r="E513" s="10">
        <f t="shared" si="43"/>
        <v>5.8843569017312204E-5</v>
      </c>
      <c r="F513">
        <f t="shared" si="44"/>
        <v>0.36158134349158805</v>
      </c>
      <c r="G513" s="10">
        <f t="shared" si="45"/>
        <v>1.6273950544320925E-4</v>
      </c>
      <c r="H513">
        <f t="shared" si="46"/>
        <v>2.048100739968989E-3</v>
      </c>
      <c r="I513" s="10">
        <f t="shared" si="47"/>
        <v>7.7265767205094624</v>
      </c>
    </row>
    <row r="514" spans="1:9">
      <c r="A514" t="s">
        <v>535</v>
      </c>
      <c r="B514" t="s">
        <v>399</v>
      </c>
      <c r="C514">
        <f>VLOOKUP(B514,Proteome!B:I,8,FALSE)</f>
        <v>5.8843569017312199E-4</v>
      </c>
      <c r="D514">
        <f t="shared" ref="D514:D522" si="48">VLOOKUP(A514,$K$2:$L$12,2,FALSE)</f>
        <v>0.1</v>
      </c>
      <c r="E514" s="10">
        <f t="shared" ref="E514:E522" si="49">C514*D514</f>
        <v>5.8843569017312204E-5</v>
      </c>
      <c r="F514">
        <f t="shared" ref="F514:F522" si="50">SUM($E$2:$E$522)</f>
        <v>0.36158134349158805</v>
      </c>
      <c r="G514" s="10">
        <f t="shared" ref="G514:G522" si="51">E514/F514</f>
        <v>1.6273950544320925E-4</v>
      </c>
      <c r="H514">
        <f t="shared" ref="H514:H522" si="52">-G514*LOG(G514,2)</f>
        <v>2.048100739968989E-3</v>
      </c>
      <c r="I514" s="10">
        <f t="shared" ref="I514:I522" si="53">SUM($H$2:$H$522)</f>
        <v>7.7265767205094624</v>
      </c>
    </row>
    <row r="515" spans="1:9">
      <c r="A515" t="s">
        <v>535</v>
      </c>
      <c r="B515" t="s">
        <v>403</v>
      </c>
      <c r="C515">
        <f>VLOOKUP(B515,Proteome!B:I,8,FALSE)</f>
        <v>5.8843569017312199E-4</v>
      </c>
      <c r="D515">
        <f t="shared" si="48"/>
        <v>0.1</v>
      </c>
      <c r="E515" s="10">
        <f t="shared" si="49"/>
        <v>5.8843569017312204E-5</v>
      </c>
      <c r="F515">
        <f t="shared" si="50"/>
        <v>0.36158134349158805</v>
      </c>
      <c r="G515" s="10">
        <f t="shared" si="51"/>
        <v>1.6273950544320925E-4</v>
      </c>
      <c r="H515">
        <f t="shared" si="52"/>
        <v>2.048100739968989E-3</v>
      </c>
      <c r="I515" s="10">
        <f t="shared" si="53"/>
        <v>7.7265767205094624</v>
      </c>
    </row>
    <row r="516" spans="1:9">
      <c r="A516" t="s">
        <v>535</v>
      </c>
      <c r="B516" t="s">
        <v>404</v>
      </c>
      <c r="C516">
        <f>VLOOKUP(B516,Proteome!B:I,8,FALSE)</f>
        <v>5.8843569017312199E-4</v>
      </c>
      <c r="D516">
        <f t="shared" si="48"/>
        <v>0.1</v>
      </c>
      <c r="E516" s="10">
        <f t="shared" si="49"/>
        <v>5.8843569017312204E-5</v>
      </c>
      <c r="F516">
        <f t="shared" si="50"/>
        <v>0.36158134349158805</v>
      </c>
      <c r="G516" s="10">
        <f t="shared" si="51"/>
        <v>1.6273950544320925E-4</v>
      </c>
      <c r="H516">
        <f t="shared" si="52"/>
        <v>2.048100739968989E-3</v>
      </c>
      <c r="I516" s="10">
        <f t="shared" si="53"/>
        <v>7.7265767205094624</v>
      </c>
    </row>
    <row r="517" spans="1:9">
      <c r="A517" t="s">
        <v>535</v>
      </c>
      <c r="B517" t="s">
        <v>405</v>
      </c>
      <c r="C517">
        <f>VLOOKUP(B517,Proteome!B:I,8,FALSE)</f>
        <v>5.8843569017312199E-4</v>
      </c>
      <c r="D517">
        <f t="shared" si="48"/>
        <v>0.1</v>
      </c>
      <c r="E517" s="10">
        <f t="shared" si="49"/>
        <v>5.8843569017312204E-5</v>
      </c>
      <c r="F517">
        <f t="shared" si="50"/>
        <v>0.36158134349158805</v>
      </c>
      <c r="G517" s="10">
        <f t="shared" si="51"/>
        <v>1.6273950544320925E-4</v>
      </c>
      <c r="H517">
        <f t="shared" si="52"/>
        <v>2.048100739968989E-3</v>
      </c>
      <c r="I517" s="10">
        <f t="shared" si="53"/>
        <v>7.7265767205094624</v>
      </c>
    </row>
    <row r="518" spans="1:9">
      <c r="A518" t="s">
        <v>535</v>
      </c>
      <c r="B518" t="s">
        <v>408</v>
      </c>
      <c r="C518">
        <f>VLOOKUP(B518,Proteome!B:I,8,FALSE)</f>
        <v>3.0970299482795891E-4</v>
      </c>
      <c r="D518">
        <f t="shared" si="48"/>
        <v>0.1</v>
      </c>
      <c r="E518" s="10">
        <f t="shared" si="49"/>
        <v>3.0970299482795893E-5</v>
      </c>
      <c r="F518">
        <f t="shared" si="50"/>
        <v>0.36158134349158805</v>
      </c>
      <c r="G518" s="10">
        <f t="shared" si="51"/>
        <v>8.5652371285899594E-5</v>
      </c>
      <c r="H518">
        <f t="shared" si="52"/>
        <v>1.15726180388712E-3</v>
      </c>
      <c r="I518" s="10">
        <f t="shared" si="53"/>
        <v>7.7265767205094624</v>
      </c>
    </row>
    <row r="519" spans="1:9">
      <c r="A519" t="s">
        <v>535</v>
      </c>
      <c r="B519" t="s">
        <v>409</v>
      </c>
      <c r="C519">
        <f>VLOOKUP(B519,Proteome!B:I,8,FALSE)</f>
        <v>5.8843569017312199E-4</v>
      </c>
      <c r="D519">
        <f t="shared" si="48"/>
        <v>0.1</v>
      </c>
      <c r="E519" s="10">
        <f t="shared" si="49"/>
        <v>5.8843569017312204E-5</v>
      </c>
      <c r="F519">
        <f t="shared" si="50"/>
        <v>0.36158134349158805</v>
      </c>
      <c r="G519" s="10">
        <f t="shared" si="51"/>
        <v>1.6273950544320925E-4</v>
      </c>
      <c r="H519">
        <f t="shared" si="52"/>
        <v>2.048100739968989E-3</v>
      </c>
      <c r="I519" s="10">
        <f t="shared" si="53"/>
        <v>7.7265767205094624</v>
      </c>
    </row>
    <row r="520" spans="1:9">
      <c r="A520" t="s">
        <v>535</v>
      </c>
      <c r="B520" t="s">
        <v>410</v>
      </c>
      <c r="C520">
        <f>VLOOKUP(B520,Proteome!B:I,8,FALSE)</f>
        <v>3.0970299482795891E-4</v>
      </c>
      <c r="D520">
        <f t="shared" si="48"/>
        <v>0.1</v>
      </c>
      <c r="E520" s="10">
        <f t="shared" si="49"/>
        <v>3.0970299482795893E-5</v>
      </c>
      <c r="F520">
        <f t="shared" si="50"/>
        <v>0.36158134349158805</v>
      </c>
      <c r="G520" s="10">
        <f t="shared" si="51"/>
        <v>8.5652371285899594E-5</v>
      </c>
      <c r="H520">
        <f t="shared" si="52"/>
        <v>1.15726180388712E-3</v>
      </c>
      <c r="I520" s="10">
        <f t="shared" si="53"/>
        <v>7.7265767205094624</v>
      </c>
    </row>
    <row r="521" spans="1:9">
      <c r="A521" t="s">
        <v>535</v>
      </c>
      <c r="B521" t="s">
        <v>411</v>
      </c>
      <c r="C521">
        <f>VLOOKUP(B521,Proteome!B:I,8,FALSE)</f>
        <v>5.8843569017312199E-4</v>
      </c>
      <c r="D521">
        <f t="shared" si="48"/>
        <v>0.1</v>
      </c>
      <c r="E521" s="10">
        <f t="shared" si="49"/>
        <v>5.8843569017312204E-5</v>
      </c>
      <c r="F521">
        <f t="shared" si="50"/>
        <v>0.36158134349158805</v>
      </c>
      <c r="G521" s="10">
        <f t="shared" si="51"/>
        <v>1.6273950544320925E-4</v>
      </c>
      <c r="H521">
        <f t="shared" si="52"/>
        <v>2.048100739968989E-3</v>
      </c>
      <c r="I521" s="10">
        <f t="shared" si="53"/>
        <v>7.7265767205094624</v>
      </c>
    </row>
    <row r="522" spans="1:9">
      <c r="A522" t="s">
        <v>535</v>
      </c>
      <c r="B522" t="s">
        <v>412</v>
      </c>
      <c r="C522">
        <f>VLOOKUP(B522,Proteome!B:I,8,FALSE)</f>
        <v>3.0970299482795891E-4</v>
      </c>
      <c r="D522">
        <f t="shared" si="48"/>
        <v>0.1</v>
      </c>
      <c r="E522" s="10">
        <f t="shared" si="49"/>
        <v>3.0970299482795893E-5</v>
      </c>
      <c r="F522">
        <f t="shared" si="50"/>
        <v>0.36158134349158805</v>
      </c>
      <c r="G522" s="10">
        <f t="shared" si="51"/>
        <v>8.5652371285899594E-5</v>
      </c>
      <c r="H522">
        <f t="shared" si="52"/>
        <v>1.15726180388712E-3</v>
      </c>
      <c r="I522" s="10">
        <f t="shared" si="53"/>
        <v>7.7265767205094624</v>
      </c>
    </row>
  </sheetData>
  <sortState ref="A2:I522">
    <sortCondition descending="1" ref="D1"/>
  </sortState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7"/>
  <sheetViews>
    <sheetView workbookViewId="0">
      <selection activeCell="B15" sqref="B1:B1048576"/>
    </sheetView>
  </sheetViews>
  <sheetFormatPr baseColWidth="10" defaultColWidth="8.83203125" defaultRowHeight="14" x14ac:dyDescent="0"/>
  <cols>
    <col min="1" max="1" width="8.83203125" style="17"/>
    <col min="2" max="2" width="9.83203125" style="17" customWidth="1"/>
    <col min="3" max="3" width="10.1640625" style="17" customWidth="1"/>
    <col min="4" max="4" width="11.1640625" style="17" customWidth="1"/>
    <col min="5" max="5" width="15.6640625" style="8" customWidth="1"/>
    <col min="6" max="8" width="11.33203125" style="8" customWidth="1"/>
    <col min="9" max="9" width="10" customWidth="1"/>
    <col min="11" max="11" width="10.1640625" customWidth="1"/>
    <col min="12" max="12" width="8.83203125" style="17"/>
    <col min="13" max="15" width="14" style="17" customWidth="1"/>
    <col min="16" max="16" width="14.5" style="10" customWidth="1"/>
  </cols>
  <sheetData>
    <row r="1" spans="1:17" s="19" customFormat="1" ht="42">
      <c r="A1" s="23" t="s">
        <v>523</v>
      </c>
      <c r="B1" s="23" t="s">
        <v>520</v>
      </c>
      <c r="C1" s="24" t="s">
        <v>611</v>
      </c>
      <c r="D1" s="24" t="s">
        <v>912</v>
      </c>
      <c r="E1" s="24" t="s">
        <v>913</v>
      </c>
      <c r="F1" s="24" t="s">
        <v>926</v>
      </c>
      <c r="G1" s="24" t="s">
        <v>925</v>
      </c>
      <c r="H1" s="24" t="s">
        <v>927</v>
      </c>
      <c r="I1" s="19" t="s">
        <v>612</v>
      </c>
      <c r="J1" s="19" t="s">
        <v>617</v>
      </c>
      <c r="K1" s="19" t="s">
        <v>527</v>
      </c>
      <c r="L1" s="23" t="s">
        <v>914</v>
      </c>
      <c r="M1" s="23" t="s">
        <v>614</v>
      </c>
      <c r="N1" s="23"/>
      <c r="O1" s="23"/>
      <c r="P1" s="19" t="s">
        <v>913</v>
      </c>
    </row>
    <row r="2" spans="1:17" ht="28">
      <c r="A2" s="17" t="s">
        <v>537</v>
      </c>
      <c r="B2" s="14" t="s">
        <v>193</v>
      </c>
      <c r="C2" s="25">
        <f>VLOOKUP(B2,'Consensus Phospho site'!B:G,6,FALSE)</f>
        <v>1.3914227715394386E-2</v>
      </c>
      <c r="D2" s="17" t="s">
        <v>547</v>
      </c>
      <c r="E2" s="8" t="s">
        <v>915</v>
      </c>
      <c r="F2" s="8">
        <v>0.9</v>
      </c>
      <c r="G2" s="8">
        <v>0.5</v>
      </c>
      <c r="H2" s="8">
        <f t="shared" ref="H2:H65" si="0">F2*G2</f>
        <v>0.45</v>
      </c>
      <c r="I2" s="26">
        <f t="shared" ref="I2:I65" si="1">H2*C2</f>
        <v>6.2614024719274738E-3</v>
      </c>
      <c r="J2" s="26">
        <f t="shared" ref="J2:J65" si="2">SUM($I$2:$I$522)</f>
        <v>0.26455000385435651</v>
      </c>
      <c r="K2" s="26">
        <f t="shared" ref="K2:K65" si="3">I2/J2</f>
        <v>2.3668124667178544E-2</v>
      </c>
      <c r="L2" s="27">
        <f t="shared" ref="L2:L65" si="4">K2*-LOG(K2,2)</f>
        <v>0.12782942990450447</v>
      </c>
      <c r="M2" s="27">
        <f t="shared" ref="M2:M65" si="5">SUM($L$2:$L$522)</f>
        <v>7.6126901302180414</v>
      </c>
      <c r="N2" s="27"/>
      <c r="O2" s="27"/>
      <c r="P2" s="10" t="s">
        <v>916</v>
      </c>
      <c r="Q2">
        <v>0.9</v>
      </c>
    </row>
    <row r="3" spans="1:17" ht="42">
      <c r="A3" s="17" t="s">
        <v>537</v>
      </c>
      <c r="B3" s="14" t="s">
        <v>198</v>
      </c>
      <c r="C3" s="25">
        <f>VLOOKUP(B3,'Consensus Phospho site'!B:G,6,FALSE)</f>
        <v>1.3914227715394386E-2</v>
      </c>
      <c r="D3" s="17" t="s">
        <v>555</v>
      </c>
      <c r="E3" s="8" t="s">
        <v>918</v>
      </c>
      <c r="F3" s="8">
        <v>0.9</v>
      </c>
      <c r="G3" s="8">
        <v>0.5</v>
      </c>
      <c r="H3" s="8">
        <f t="shared" si="0"/>
        <v>0.45</v>
      </c>
      <c r="I3" s="26">
        <f t="shared" si="1"/>
        <v>6.2614024719274738E-3</v>
      </c>
      <c r="J3" s="26">
        <f t="shared" si="2"/>
        <v>0.26455000385435651</v>
      </c>
      <c r="K3" s="26">
        <f t="shared" si="3"/>
        <v>2.3668124667178544E-2</v>
      </c>
      <c r="L3" s="27">
        <f t="shared" si="4"/>
        <v>0.12782942990450447</v>
      </c>
      <c r="M3" s="27">
        <f t="shared" si="5"/>
        <v>7.6126901302180414</v>
      </c>
      <c r="N3" s="27"/>
      <c r="O3" s="27"/>
      <c r="P3" s="10" t="s">
        <v>917</v>
      </c>
      <c r="Q3">
        <v>0.65</v>
      </c>
    </row>
    <row r="4" spans="1:17" ht="28">
      <c r="A4" s="17" t="s">
        <v>537</v>
      </c>
      <c r="B4" s="14" t="s">
        <v>200</v>
      </c>
      <c r="C4" s="25">
        <f>VLOOKUP(B4,'Consensus Phospho site'!B:G,6,FALSE)</f>
        <v>1.3914227715394386E-2</v>
      </c>
      <c r="D4" s="17" t="s">
        <v>560</v>
      </c>
      <c r="E4" s="8" t="s">
        <v>915</v>
      </c>
      <c r="F4" s="8">
        <v>0.9</v>
      </c>
      <c r="G4" s="8">
        <v>0.5</v>
      </c>
      <c r="H4" s="8">
        <f t="shared" si="0"/>
        <v>0.45</v>
      </c>
      <c r="I4" s="26">
        <f t="shared" si="1"/>
        <v>6.2614024719274738E-3</v>
      </c>
      <c r="J4" s="26">
        <f t="shared" si="2"/>
        <v>0.26455000385435651</v>
      </c>
      <c r="K4" s="26">
        <f t="shared" si="3"/>
        <v>2.3668124667178544E-2</v>
      </c>
      <c r="L4" s="27">
        <f t="shared" si="4"/>
        <v>0.12782942990450447</v>
      </c>
      <c r="M4" s="27">
        <f t="shared" si="5"/>
        <v>7.6126901302180414</v>
      </c>
      <c r="N4" s="27"/>
      <c r="O4" s="27"/>
    </row>
    <row r="5" spans="1:17" ht="42">
      <c r="A5" s="17" t="s">
        <v>537</v>
      </c>
      <c r="B5" s="14" t="s">
        <v>185</v>
      </c>
      <c r="C5" s="25">
        <f>VLOOKUP(B5,'Consensus Phospho site'!B:G,6,FALSE)</f>
        <v>1.0252588842922178E-2</v>
      </c>
      <c r="D5" s="17" t="s">
        <v>711</v>
      </c>
      <c r="E5" s="8" t="s">
        <v>915</v>
      </c>
      <c r="F5" s="8">
        <v>0.9</v>
      </c>
      <c r="G5" s="8">
        <v>0.5</v>
      </c>
      <c r="H5" s="8">
        <f t="shared" si="0"/>
        <v>0.45</v>
      </c>
      <c r="I5" s="26">
        <f t="shared" si="1"/>
        <v>4.6136649793149806E-3</v>
      </c>
      <c r="J5" s="26">
        <f t="shared" si="2"/>
        <v>0.26455000385435651</v>
      </c>
      <c r="K5" s="26">
        <f t="shared" si="3"/>
        <v>1.7439670807394714E-2</v>
      </c>
      <c r="L5" s="27">
        <f t="shared" si="4"/>
        <v>0.10187354720595668</v>
      </c>
      <c r="M5" s="27">
        <f t="shared" si="5"/>
        <v>7.6126901302180414</v>
      </c>
      <c r="N5" s="27"/>
      <c r="O5" s="27"/>
      <c r="P5" s="10" t="s">
        <v>919</v>
      </c>
      <c r="Q5">
        <v>0.2</v>
      </c>
    </row>
    <row r="6" spans="1:17" ht="15">
      <c r="A6" s="17" t="s">
        <v>537</v>
      </c>
      <c r="B6" s="14" t="s">
        <v>162</v>
      </c>
      <c r="C6" s="25">
        <f>VLOOKUP(B6,'Consensus Phospho site'!B:G,6,FALSE)</f>
        <v>1.3914227715394386E-2</v>
      </c>
      <c r="D6" s="17" t="e">
        <v>#N/A</v>
      </c>
      <c r="E6" s="8" t="e">
        <v>#N/A</v>
      </c>
      <c r="F6" s="8">
        <v>0.5</v>
      </c>
      <c r="G6" s="8">
        <v>0.5</v>
      </c>
      <c r="H6" s="8">
        <f t="shared" si="0"/>
        <v>0.25</v>
      </c>
      <c r="I6" s="26">
        <f t="shared" si="1"/>
        <v>3.4785569288485964E-3</v>
      </c>
      <c r="J6" s="26">
        <f t="shared" si="2"/>
        <v>0.26455000385435651</v>
      </c>
      <c r="K6" s="26">
        <f t="shared" si="3"/>
        <v>1.3148958148432524E-2</v>
      </c>
      <c r="L6" s="27">
        <f t="shared" si="4"/>
        <v>8.2166625781238206E-2</v>
      </c>
      <c r="M6" s="27">
        <f t="shared" si="5"/>
        <v>7.6126901302180414</v>
      </c>
      <c r="N6" s="27"/>
      <c r="O6" s="27"/>
    </row>
    <row r="7" spans="1:17" ht="15">
      <c r="A7" s="17" t="s">
        <v>537</v>
      </c>
      <c r="B7" s="14" t="s">
        <v>165</v>
      </c>
      <c r="C7" s="25">
        <f>VLOOKUP(B7,'Consensus Phospho site'!B:G,6,FALSE)</f>
        <v>1.3914227715394386E-2</v>
      </c>
      <c r="D7" s="17" t="e">
        <v>#N/A</v>
      </c>
      <c r="E7" s="8" t="e">
        <v>#N/A</v>
      </c>
      <c r="F7" s="8">
        <v>0.5</v>
      </c>
      <c r="G7" s="8">
        <v>0.5</v>
      </c>
      <c r="H7" s="8">
        <f t="shared" si="0"/>
        <v>0.25</v>
      </c>
      <c r="I7" s="26">
        <f t="shared" si="1"/>
        <v>3.4785569288485964E-3</v>
      </c>
      <c r="J7" s="26">
        <f t="shared" si="2"/>
        <v>0.26455000385435651</v>
      </c>
      <c r="K7" s="26">
        <f t="shared" si="3"/>
        <v>1.3148958148432524E-2</v>
      </c>
      <c r="L7" s="27">
        <f t="shared" si="4"/>
        <v>8.2166625781238206E-2</v>
      </c>
      <c r="M7" s="27">
        <f t="shared" si="5"/>
        <v>7.6126901302180414</v>
      </c>
      <c r="N7" s="27"/>
      <c r="O7" s="27"/>
      <c r="P7" s="10" t="s">
        <v>920</v>
      </c>
      <c r="Q7">
        <v>0.5</v>
      </c>
    </row>
    <row r="8" spans="1:17" ht="15">
      <c r="A8" s="17" t="s">
        <v>537</v>
      </c>
      <c r="B8" s="14" t="s">
        <v>167</v>
      </c>
      <c r="C8" s="25">
        <f>VLOOKUP(B8,'Consensus Phospho site'!B:G,6,FALSE)</f>
        <v>1.3914227715394386E-2</v>
      </c>
      <c r="D8" s="17" t="e">
        <v>#N/A</v>
      </c>
      <c r="E8" s="8" t="e">
        <v>#N/A</v>
      </c>
      <c r="F8" s="8">
        <v>0.5</v>
      </c>
      <c r="G8" s="8">
        <v>0.5</v>
      </c>
      <c r="H8" s="8">
        <f t="shared" si="0"/>
        <v>0.25</v>
      </c>
      <c r="I8" s="26">
        <f t="shared" si="1"/>
        <v>3.4785569288485964E-3</v>
      </c>
      <c r="J8" s="26">
        <f t="shared" si="2"/>
        <v>0.26455000385435651</v>
      </c>
      <c r="K8" s="26">
        <f t="shared" si="3"/>
        <v>1.3148958148432524E-2</v>
      </c>
      <c r="L8" s="27">
        <f t="shared" si="4"/>
        <v>8.2166625781238206E-2</v>
      </c>
      <c r="M8" s="27">
        <f t="shared" si="5"/>
        <v>7.6126901302180414</v>
      </c>
      <c r="N8" s="27"/>
      <c r="O8" s="27"/>
    </row>
    <row r="9" spans="1:17" ht="15">
      <c r="A9" s="17" t="s">
        <v>537</v>
      </c>
      <c r="B9" s="14" t="s">
        <v>169</v>
      </c>
      <c r="C9" s="25">
        <f>VLOOKUP(B9,'Consensus Phospho site'!B:G,6,FALSE)</f>
        <v>1.3914227715394386E-2</v>
      </c>
      <c r="D9" s="17" t="e">
        <v>#N/A</v>
      </c>
      <c r="E9" s="8" t="e">
        <v>#N/A</v>
      </c>
      <c r="F9" s="8">
        <v>0.5</v>
      </c>
      <c r="G9" s="8">
        <v>0.5</v>
      </c>
      <c r="H9" s="8">
        <f t="shared" si="0"/>
        <v>0.25</v>
      </c>
      <c r="I9" s="26">
        <f t="shared" si="1"/>
        <v>3.4785569288485964E-3</v>
      </c>
      <c r="J9" s="26">
        <f t="shared" si="2"/>
        <v>0.26455000385435651</v>
      </c>
      <c r="K9" s="26">
        <f t="shared" si="3"/>
        <v>1.3148958148432524E-2</v>
      </c>
      <c r="L9" s="27">
        <f t="shared" si="4"/>
        <v>8.2166625781238206E-2</v>
      </c>
      <c r="M9" s="27">
        <f t="shared" si="5"/>
        <v>7.6126901302180414</v>
      </c>
      <c r="N9" s="27"/>
      <c r="O9" s="27"/>
    </row>
    <row r="10" spans="1:17" ht="15">
      <c r="A10" s="17" t="s">
        <v>537</v>
      </c>
      <c r="B10" s="14" t="s">
        <v>170</v>
      </c>
      <c r="C10" s="25">
        <f>VLOOKUP(B10,'Consensus Phospho site'!B:G,6,FALSE)</f>
        <v>1.3914227715394386E-2</v>
      </c>
      <c r="D10" s="17" t="e">
        <v>#N/A</v>
      </c>
      <c r="E10" s="8" t="e">
        <v>#N/A</v>
      </c>
      <c r="F10" s="8">
        <v>0.5</v>
      </c>
      <c r="G10" s="8">
        <v>0.5</v>
      </c>
      <c r="H10" s="8">
        <f t="shared" si="0"/>
        <v>0.25</v>
      </c>
      <c r="I10" s="26">
        <f t="shared" si="1"/>
        <v>3.4785569288485964E-3</v>
      </c>
      <c r="J10" s="26">
        <f t="shared" si="2"/>
        <v>0.26455000385435651</v>
      </c>
      <c r="K10" s="26">
        <f t="shared" si="3"/>
        <v>1.3148958148432524E-2</v>
      </c>
      <c r="L10" s="27">
        <f t="shared" si="4"/>
        <v>8.2166625781238206E-2</v>
      </c>
      <c r="M10" s="27">
        <f t="shared" si="5"/>
        <v>7.6126901302180414</v>
      </c>
      <c r="N10" s="27"/>
      <c r="O10" s="27"/>
    </row>
    <row r="11" spans="1:17" ht="15">
      <c r="A11" s="17" t="s">
        <v>537</v>
      </c>
      <c r="B11" s="14" t="s">
        <v>171</v>
      </c>
      <c r="C11" s="25">
        <f>VLOOKUP(B11,'Consensus Phospho site'!B:G,6,FALSE)</f>
        <v>1.3914227715394386E-2</v>
      </c>
      <c r="D11" s="17" t="e">
        <v>#N/A</v>
      </c>
      <c r="E11" s="8" t="e">
        <v>#N/A</v>
      </c>
      <c r="F11" s="8">
        <v>0.5</v>
      </c>
      <c r="G11" s="8">
        <v>0.5</v>
      </c>
      <c r="H11" s="8">
        <f t="shared" si="0"/>
        <v>0.25</v>
      </c>
      <c r="I11" s="26">
        <f t="shared" si="1"/>
        <v>3.4785569288485964E-3</v>
      </c>
      <c r="J11" s="26">
        <f t="shared" si="2"/>
        <v>0.26455000385435651</v>
      </c>
      <c r="K11" s="26">
        <f t="shared" si="3"/>
        <v>1.3148958148432524E-2</v>
      </c>
      <c r="L11" s="27">
        <f t="shared" si="4"/>
        <v>8.2166625781238206E-2</v>
      </c>
      <c r="M11" s="27">
        <f t="shared" si="5"/>
        <v>7.6126901302180414</v>
      </c>
      <c r="N11" s="27"/>
      <c r="O11" s="27"/>
    </row>
    <row r="12" spans="1:17" ht="15">
      <c r="A12" s="17" t="s">
        <v>537</v>
      </c>
      <c r="B12" s="14" t="s">
        <v>176</v>
      </c>
      <c r="C12" s="25">
        <f>VLOOKUP(B12,'Consensus Phospho site'!B:G,6,FALSE)</f>
        <v>1.3914227715394386E-2</v>
      </c>
      <c r="D12" s="17" t="e">
        <v>#N/A</v>
      </c>
      <c r="E12" s="8" t="e">
        <v>#N/A</v>
      </c>
      <c r="F12" s="8">
        <v>0.5</v>
      </c>
      <c r="G12" s="8">
        <v>0.5</v>
      </c>
      <c r="H12" s="8">
        <f t="shared" si="0"/>
        <v>0.25</v>
      </c>
      <c r="I12" s="26">
        <f t="shared" si="1"/>
        <v>3.4785569288485964E-3</v>
      </c>
      <c r="J12" s="26">
        <f t="shared" si="2"/>
        <v>0.26455000385435651</v>
      </c>
      <c r="K12" s="26">
        <f t="shared" si="3"/>
        <v>1.3148958148432524E-2</v>
      </c>
      <c r="L12" s="27">
        <f t="shared" si="4"/>
        <v>8.2166625781238206E-2</v>
      </c>
      <c r="M12" s="27">
        <f t="shared" si="5"/>
        <v>7.6126901302180414</v>
      </c>
      <c r="N12" s="27"/>
      <c r="O12" s="27"/>
    </row>
    <row r="13" spans="1:17" ht="15">
      <c r="A13" s="17" t="s">
        <v>537</v>
      </c>
      <c r="B13" s="14" t="s">
        <v>177</v>
      </c>
      <c r="C13" s="25">
        <f>VLOOKUP(B13,'Consensus Phospho site'!B:G,6,FALSE)</f>
        <v>1.3914227715394386E-2</v>
      </c>
      <c r="D13" s="17" t="e">
        <v>#N/A</v>
      </c>
      <c r="E13" s="8" t="e">
        <v>#N/A</v>
      </c>
      <c r="F13" s="8">
        <v>0.5</v>
      </c>
      <c r="G13" s="8">
        <v>0.5</v>
      </c>
      <c r="H13" s="8">
        <f t="shared" si="0"/>
        <v>0.25</v>
      </c>
      <c r="I13" s="26">
        <f t="shared" si="1"/>
        <v>3.4785569288485964E-3</v>
      </c>
      <c r="J13" s="26">
        <f t="shared" si="2"/>
        <v>0.26455000385435651</v>
      </c>
      <c r="K13" s="26">
        <f t="shared" si="3"/>
        <v>1.3148958148432524E-2</v>
      </c>
      <c r="L13" s="27">
        <f t="shared" si="4"/>
        <v>8.2166625781238206E-2</v>
      </c>
      <c r="M13" s="27">
        <f t="shared" si="5"/>
        <v>7.6126901302180414</v>
      </c>
      <c r="N13" s="27"/>
      <c r="O13" s="27"/>
    </row>
    <row r="14" spans="1:17" ht="15">
      <c r="A14" s="17" t="s">
        <v>537</v>
      </c>
      <c r="B14" s="14" t="s">
        <v>180</v>
      </c>
      <c r="C14" s="25">
        <f>VLOOKUP(B14,'Consensus Phospho site'!B:G,6,FALSE)</f>
        <v>1.3914227715394386E-2</v>
      </c>
      <c r="D14" s="17" t="e">
        <v>#N/A</v>
      </c>
      <c r="E14" s="8" t="e">
        <v>#N/A</v>
      </c>
      <c r="F14" s="8">
        <v>0.5</v>
      </c>
      <c r="G14" s="8">
        <v>0.5</v>
      </c>
      <c r="H14" s="8">
        <f t="shared" si="0"/>
        <v>0.25</v>
      </c>
      <c r="I14" s="26">
        <f t="shared" si="1"/>
        <v>3.4785569288485964E-3</v>
      </c>
      <c r="J14" s="26">
        <f t="shared" si="2"/>
        <v>0.26455000385435651</v>
      </c>
      <c r="K14" s="26">
        <f t="shared" si="3"/>
        <v>1.3148958148432524E-2</v>
      </c>
      <c r="L14" s="27">
        <f t="shared" si="4"/>
        <v>8.2166625781238206E-2</v>
      </c>
      <c r="M14" s="27">
        <f t="shared" si="5"/>
        <v>7.6126901302180414</v>
      </c>
      <c r="N14" s="27"/>
      <c r="O14" s="27"/>
    </row>
    <row r="15" spans="1:17" ht="15">
      <c r="A15" s="17" t="s">
        <v>537</v>
      </c>
      <c r="B15" s="14" t="s">
        <v>186</v>
      </c>
      <c r="C15" s="25">
        <f>VLOOKUP(B15,'Consensus Phospho site'!B:G,6,FALSE)</f>
        <v>1.3914227715394386E-2</v>
      </c>
      <c r="D15" s="17" t="e">
        <v>#N/A</v>
      </c>
      <c r="E15" s="8" t="e">
        <v>#N/A</v>
      </c>
      <c r="F15" s="8">
        <v>0.5</v>
      </c>
      <c r="G15" s="8">
        <v>0.5</v>
      </c>
      <c r="H15" s="8">
        <f t="shared" si="0"/>
        <v>0.25</v>
      </c>
      <c r="I15" s="26">
        <f t="shared" si="1"/>
        <v>3.4785569288485964E-3</v>
      </c>
      <c r="J15" s="26">
        <f t="shared" si="2"/>
        <v>0.26455000385435651</v>
      </c>
      <c r="K15" s="26">
        <f t="shared" si="3"/>
        <v>1.3148958148432524E-2</v>
      </c>
      <c r="L15" s="27">
        <f t="shared" si="4"/>
        <v>8.2166625781238206E-2</v>
      </c>
      <c r="M15" s="27">
        <f t="shared" si="5"/>
        <v>7.6126901302180414</v>
      </c>
      <c r="N15" s="27"/>
      <c r="O15" s="27"/>
    </row>
    <row r="16" spans="1:17" ht="15">
      <c r="A16" s="17" t="s">
        <v>537</v>
      </c>
      <c r="B16" s="14" t="s">
        <v>196</v>
      </c>
      <c r="C16" s="25">
        <f>VLOOKUP(B16,'Consensus Phospho site'!B:G,6,FALSE)</f>
        <v>1.3914227715394386E-2</v>
      </c>
      <c r="D16" s="17" t="e">
        <v>#N/A</v>
      </c>
      <c r="E16" s="8" t="e">
        <v>#N/A</v>
      </c>
      <c r="F16" s="8">
        <v>0.5</v>
      </c>
      <c r="G16" s="8">
        <v>0.5</v>
      </c>
      <c r="H16" s="8">
        <f t="shared" si="0"/>
        <v>0.25</v>
      </c>
      <c r="I16" s="26">
        <f t="shared" si="1"/>
        <v>3.4785569288485964E-3</v>
      </c>
      <c r="J16" s="26">
        <f t="shared" si="2"/>
        <v>0.26455000385435651</v>
      </c>
      <c r="K16" s="26">
        <f t="shared" si="3"/>
        <v>1.3148958148432524E-2</v>
      </c>
      <c r="L16" s="27">
        <f t="shared" si="4"/>
        <v>8.2166625781238206E-2</v>
      </c>
      <c r="M16" s="27">
        <f t="shared" si="5"/>
        <v>7.6126901302180414</v>
      </c>
      <c r="N16" s="27"/>
      <c r="O16" s="27"/>
    </row>
    <row r="17" spans="1:16" ht="15">
      <c r="A17" s="17" t="s">
        <v>537</v>
      </c>
      <c r="B17" s="14" t="s">
        <v>197</v>
      </c>
      <c r="C17" s="25">
        <f>VLOOKUP(B17,'Consensus Phospho site'!B:G,6,FALSE)</f>
        <v>1.3914227715394386E-2</v>
      </c>
      <c r="D17" s="17" t="e">
        <v>#N/A</v>
      </c>
      <c r="E17" s="8" t="e">
        <v>#N/A</v>
      </c>
      <c r="F17" s="8">
        <v>0.5</v>
      </c>
      <c r="G17" s="8">
        <v>0.5</v>
      </c>
      <c r="H17" s="8">
        <f t="shared" si="0"/>
        <v>0.25</v>
      </c>
      <c r="I17" s="26">
        <f t="shared" si="1"/>
        <v>3.4785569288485964E-3</v>
      </c>
      <c r="J17" s="26">
        <f t="shared" si="2"/>
        <v>0.26455000385435651</v>
      </c>
      <c r="K17" s="26">
        <f t="shared" si="3"/>
        <v>1.3148958148432524E-2</v>
      </c>
      <c r="L17" s="27">
        <f t="shared" si="4"/>
        <v>8.2166625781238206E-2</v>
      </c>
      <c r="M17" s="27">
        <f t="shared" si="5"/>
        <v>7.6126901302180414</v>
      </c>
      <c r="N17" s="27"/>
      <c r="O17" s="27"/>
      <c r="P17"/>
    </row>
    <row r="18" spans="1:16" ht="15">
      <c r="A18" s="17" t="s">
        <v>537</v>
      </c>
      <c r="B18" s="14" t="s">
        <v>202</v>
      </c>
      <c r="C18" s="25">
        <f>VLOOKUP(B18,'Consensus Phospho site'!B:G,6,FALSE)</f>
        <v>1.3914227715394386E-2</v>
      </c>
      <c r="D18" s="17" t="e">
        <v>#N/A</v>
      </c>
      <c r="E18" s="8" t="e">
        <v>#N/A</v>
      </c>
      <c r="F18" s="8">
        <v>0.5</v>
      </c>
      <c r="G18" s="8">
        <v>0.5</v>
      </c>
      <c r="H18" s="8">
        <f t="shared" si="0"/>
        <v>0.25</v>
      </c>
      <c r="I18" s="26">
        <f t="shared" si="1"/>
        <v>3.4785569288485964E-3</v>
      </c>
      <c r="J18" s="26">
        <f t="shared" si="2"/>
        <v>0.26455000385435651</v>
      </c>
      <c r="K18" s="26">
        <f t="shared" si="3"/>
        <v>1.3148958148432524E-2</v>
      </c>
      <c r="L18" s="27">
        <f t="shared" si="4"/>
        <v>8.2166625781238206E-2</v>
      </c>
      <c r="M18" s="27">
        <f t="shared" si="5"/>
        <v>7.6126901302180414</v>
      </c>
      <c r="N18" s="27"/>
      <c r="O18" s="27"/>
      <c r="P18"/>
    </row>
    <row r="19" spans="1:16" ht="15">
      <c r="A19" s="17" t="s">
        <v>537</v>
      </c>
      <c r="B19" s="14" t="s">
        <v>207</v>
      </c>
      <c r="C19" s="25">
        <f>VLOOKUP(B19,'Consensus Phospho site'!B:G,6,FALSE)</f>
        <v>1.3914227715394386E-2</v>
      </c>
      <c r="D19" s="17" t="e">
        <v>#N/A</v>
      </c>
      <c r="E19" s="8" t="e">
        <v>#N/A</v>
      </c>
      <c r="F19" s="8">
        <v>0.5</v>
      </c>
      <c r="G19" s="8">
        <v>0.5</v>
      </c>
      <c r="H19" s="8">
        <f t="shared" si="0"/>
        <v>0.25</v>
      </c>
      <c r="I19" s="26">
        <f t="shared" si="1"/>
        <v>3.4785569288485964E-3</v>
      </c>
      <c r="J19" s="26">
        <f t="shared" si="2"/>
        <v>0.26455000385435651</v>
      </c>
      <c r="K19" s="26">
        <f t="shared" si="3"/>
        <v>1.3148958148432524E-2</v>
      </c>
      <c r="L19" s="27">
        <f t="shared" si="4"/>
        <v>8.2166625781238206E-2</v>
      </c>
      <c r="M19" s="27">
        <f t="shared" si="5"/>
        <v>7.6126901302180414</v>
      </c>
      <c r="N19" s="27"/>
      <c r="O19" s="27"/>
      <c r="P19"/>
    </row>
    <row r="20" spans="1:16" ht="15">
      <c r="A20" s="17" t="s">
        <v>537</v>
      </c>
      <c r="B20" s="14" t="s">
        <v>208</v>
      </c>
      <c r="C20" s="25">
        <f>VLOOKUP(B20,'Consensus Phospho site'!B:G,6,FALSE)</f>
        <v>1.3914227715394386E-2</v>
      </c>
      <c r="D20" s="17" t="e">
        <v>#N/A</v>
      </c>
      <c r="E20" s="8" t="e">
        <v>#N/A</v>
      </c>
      <c r="F20" s="8">
        <v>0.5</v>
      </c>
      <c r="G20" s="8">
        <v>0.5</v>
      </c>
      <c r="H20" s="8">
        <f t="shared" si="0"/>
        <v>0.25</v>
      </c>
      <c r="I20" s="26">
        <f t="shared" si="1"/>
        <v>3.4785569288485964E-3</v>
      </c>
      <c r="J20" s="26">
        <f t="shared" si="2"/>
        <v>0.26455000385435651</v>
      </c>
      <c r="K20" s="26">
        <f t="shared" si="3"/>
        <v>1.3148958148432524E-2</v>
      </c>
      <c r="L20" s="27">
        <f t="shared" si="4"/>
        <v>8.2166625781238206E-2</v>
      </c>
      <c r="M20" s="27">
        <f t="shared" si="5"/>
        <v>7.6126901302180414</v>
      </c>
      <c r="N20" s="27"/>
      <c r="O20" s="27"/>
      <c r="P20"/>
    </row>
    <row r="21" spans="1:16" ht="15">
      <c r="A21" s="17" t="s">
        <v>537</v>
      </c>
      <c r="B21" s="14" t="s">
        <v>209</v>
      </c>
      <c r="C21" s="25">
        <f>VLOOKUP(B21,'Consensus Phospho site'!B:G,6,FALSE)</f>
        <v>1.3914227715394386E-2</v>
      </c>
      <c r="D21" s="17" t="e">
        <v>#N/A</v>
      </c>
      <c r="E21" s="8" t="e">
        <v>#N/A</v>
      </c>
      <c r="F21" s="8">
        <v>0.5</v>
      </c>
      <c r="G21" s="8">
        <v>0.5</v>
      </c>
      <c r="H21" s="8">
        <f t="shared" si="0"/>
        <v>0.25</v>
      </c>
      <c r="I21" s="26">
        <f t="shared" si="1"/>
        <v>3.4785569288485964E-3</v>
      </c>
      <c r="J21" s="26">
        <f t="shared" si="2"/>
        <v>0.26455000385435651</v>
      </c>
      <c r="K21" s="26">
        <f t="shared" si="3"/>
        <v>1.3148958148432524E-2</v>
      </c>
      <c r="L21" s="27">
        <f t="shared" si="4"/>
        <v>8.2166625781238206E-2</v>
      </c>
      <c r="M21" s="27">
        <f t="shared" si="5"/>
        <v>7.6126901302180414</v>
      </c>
      <c r="N21" s="27"/>
      <c r="O21" s="27"/>
      <c r="P21"/>
    </row>
    <row r="22" spans="1:16" ht="15">
      <c r="A22" s="17" t="s">
        <v>537</v>
      </c>
      <c r="B22" s="14" t="s">
        <v>204</v>
      </c>
      <c r="C22" s="25">
        <f>VLOOKUP(B22,'Consensus Phospho site'!B:G,6,FALSE)</f>
        <v>1.0252588842922178E-2</v>
      </c>
      <c r="D22" s="17" t="s">
        <v>718</v>
      </c>
      <c r="E22" s="8" t="s">
        <v>921</v>
      </c>
      <c r="F22" s="8">
        <v>0.65</v>
      </c>
      <c r="G22" s="8">
        <v>0.5</v>
      </c>
      <c r="H22" s="8">
        <f t="shared" si="0"/>
        <v>0.32500000000000001</v>
      </c>
      <c r="I22" s="26">
        <f t="shared" si="1"/>
        <v>3.3320913739497081E-3</v>
      </c>
      <c r="J22" s="26">
        <f t="shared" si="2"/>
        <v>0.26455000385435651</v>
      </c>
      <c r="K22" s="26">
        <f t="shared" si="3"/>
        <v>1.2595317805340627E-2</v>
      </c>
      <c r="L22" s="27">
        <f t="shared" si="4"/>
        <v>7.9488655996855742E-2</v>
      </c>
      <c r="M22" s="27">
        <f t="shared" si="5"/>
        <v>7.6126901302180414</v>
      </c>
      <c r="N22" s="27"/>
      <c r="O22" s="27"/>
      <c r="P22"/>
    </row>
    <row r="23" spans="1:16" ht="15">
      <c r="A23" s="17" t="s">
        <v>537</v>
      </c>
      <c r="B23" s="14" t="s">
        <v>166</v>
      </c>
      <c r="C23" s="25">
        <f>VLOOKUP(B23,'Consensus Phospho site'!B:G,6,FALSE)</f>
        <v>1.0252588842922178E-2</v>
      </c>
      <c r="D23" s="17" t="e">
        <v>#N/A</v>
      </c>
      <c r="E23" s="8" t="e">
        <v>#N/A</v>
      </c>
      <c r="F23" s="8">
        <v>0.5</v>
      </c>
      <c r="G23" s="8">
        <v>0.5</v>
      </c>
      <c r="H23" s="8">
        <f t="shared" si="0"/>
        <v>0.25</v>
      </c>
      <c r="I23" s="26">
        <f t="shared" si="1"/>
        <v>2.5631472107305446E-3</v>
      </c>
      <c r="J23" s="26">
        <f t="shared" si="2"/>
        <v>0.26455000385435651</v>
      </c>
      <c r="K23" s="26">
        <f t="shared" si="3"/>
        <v>9.6887060041081739E-3</v>
      </c>
      <c r="L23" s="27">
        <f t="shared" si="4"/>
        <v>6.4812407834424476E-2</v>
      </c>
      <c r="M23" s="27">
        <f t="shared" si="5"/>
        <v>7.6126901302180414</v>
      </c>
      <c r="N23" s="27"/>
      <c r="O23" s="27"/>
      <c r="P23"/>
    </row>
    <row r="24" spans="1:16" ht="15">
      <c r="A24" s="17" t="s">
        <v>537</v>
      </c>
      <c r="B24" s="14" t="s">
        <v>188</v>
      </c>
      <c r="C24" s="25">
        <f>VLOOKUP(B24,'Consensus Phospho site'!B:G,6,FALSE)</f>
        <v>1.0252588842922178E-2</v>
      </c>
      <c r="D24" s="17" t="e">
        <v>#N/A</v>
      </c>
      <c r="E24" s="8" t="e">
        <v>#N/A</v>
      </c>
      <c r="F24" s="8">
        <v>0.5</v>
      </c>
      <c r="G24" s="8">
        <v>0.5</v>
      </c>
      <c r="H24" s="8">
        <f t="shared" si="0"/>
        <v>0.25</v>
      </c>
      <c r="I24" s="26">
        <f t="shared" si="1"/>
        <v>2.5631472107305446E-3</v>
      </c>
      <c r="J24" s="26">
        <f t="shared" si="2"/>
        <v>0.26455000385435651</v>
      </c>
      <c r="K24" s="26">
        <f t="shared" si="3"/>
        <v>9.6887060041081739E-3</v>
      </c>
      <c r="L24" s="27">
        <f t="shared" si="4"/>
        <v>6.4812407834424476E-2</v>
      </c>
      <c r="M24" s="27">
        <f t="shared" si="5"/>
        <v>7.6126901302180414</v>
      </c>
      <c r="N24" s="27"/>
      <c r="O24" s="27"/>
      <c r="P24"/>
    </row>
    <row r="25" spans="1:16" ht="15">
      <c r="A25" s="17" t="s">
        <v>536</v>
      </c>
      <c r="B25" s="14" t="s">
        <v>413</v>
      </c>
      <c r="C25" s="25">
        <f>VLOOKUP(B25,'Consensus Phospho site'!B:G,6,FALSE)</f>
        <v>7.7301265085524366E-3</v>
      </c>
      <c r="D25" s="17" t="s">
        <v>627</v>
      </c>
      <c r="E25" s="8" t="s">
        <v>921</v>
      </c>
      <c r="F25" s="8">
        <v>0.65</v>
      </c>
      <c r="G25" s="8">
        <v>0.5</v>
      </c>
      <c r="H25" s="8">
        <f t="shared" si="0"/>
        <v>0.32500000000000001</v>
      </c>
      <c r="I25" s="26">
        <f t="shared" si="1"/>
        <v>2.5122911152795418E-3</v>
      </c>
      <c r="J25" s="26">
        <f t="shared" si="2"/>
        <v>0.26455000385435651</v>
      </c>
      <c r="K25" s="26">
        <f t="shared" si="3"/>
        <v>9.4964697738679337E-3</v>
      </c>
      <c r="L25" s="27">
        <f t="shared" si="4"/>
        <v>6.3801015866373462E-2</v>
      </c>
      <c r="M25" s="27">
        <f t="shared" si="5"/>
        <v>7.6126901302180414</v>
      </c>
      <c r="N25" s="27"/>
      <c r="O25" s="27"/>
      <c r="P25"/>
    </row>
    <row r="26" spans="1:16" ht="28">
      <c r="A26" s="17" t="s">
        <v>540</v>
      </c>
      <c r="B26" s="14" t="s">
        <v>230</v>
      </c>
      <c r="C26" s="25">
        <f>VLOOKUP(B26,'Consensus Phospho site'!B:G,6,FALSE)</f>
        <v>4.6380759051314622E-3</v>
      </c>
      <c r="D26" s="17" t="s">
        <v>568</v>
      </c>
      <c r="E26" s="8" t="s">
        <v>915</v>
      </c>
      <c r="F26" s="8">
        <v>0.9</v>
      </c>
      <c r="G26" s="8">
        <v>0.5</v>
      </c>
      <c r="H26" s="8">
        <f t="shared" si="0"/>
        <v>0.45</v>
      </c>
      <c r="I26" s="26">
        <f t="shared" si="1"/>
        <v>2.0871341573091579E-3</v>
      </c>
      <c r="J26" s="26">
        <f t="shared" si="2"/>
        <v>0.26455000385435651</v>
      </c>
      <c r="K26" s="26">
        <f t="shared" si="3"/>
        <v>7.8893748890595146E-3</v>
      </c>
      <c r="L26" s="27">
        <f t="shared" si="4"/>
        <v>5.5114173321458619E-2</v>
      </c>
      <c r="M26" s="27">
        <f t="shared" si="5"/>
        <v>7.6126901302180414</v>
      </c>
      <c r="N26" s="27"/>
      <c r="O26" s="27"/>
      <c r="P26"/>
    </row>
    <row r="27" spans="1:16" ht="28">
      <c r="A27" s="17" t="s">
        <v>540</v>
      </c>
      <c r="B27" s="14" t="s">
        <v>231</v>
      </c>
      <c r="C27" s="25">
        <f>VLOOKUP(B27,'Consensus Phospho site'!B:G,6,FALSE)</f>
        <v>4.6380759051314622E-3</v>
      </c>
      <c r="D27" s="17" t="s">
        <v>660</v>
      </c>
      <c r="E27" s="8" t="s">
        <v>915</v>
      </c>
      <c r="F27" s="8">
        <v>0.9</v>
      </c>
      <c r="G27" s="8">
        <v>0.5</v>
      </c>
      <c r="H27" s="8">
        <f t="shared" si="0"/>
        <v>0.45</v>
      </c>
      <c r="I27" s="26">
        <f t="shared" si="1"/>
        <v>2.0871341573091579E-3</v>
      </c>
      <c r="J27" s="26">
        <f t="shared" si="2"/>
        <v>0.26455000385435651</v>
      </c>
      <c r="K27" s="26">
        <f t="shared" si="3"/>
        <v>7.8893748890595146E-3</v>
      </c>
      <c r="L27" s="27">
        <f t="shared" si="4"/>
        <v>5.5114173321458619E-2</v>
      </c>
      <c r="M27" s="27">
        <f t="shared" si="5"/>
        <v>7.6126901302180414</v>
      </c>
      <c r="N27" s="27"/>
      <c r="O27" s="27"/>
      <c r="P27"/>
    </row>
    <row r="28" spans="1:16" ht="28">
      <c r="A28" s="17" t="s">
        <v>540</v>
      </c>
      <c r="B28" s="14" t="s">
        <v>232</v>
      </c>
      <c r="C28" s="25">
        <f>VLOOKUP(B28,'Consensus Phospho site'!B:G,6,FALSE)</f>
        <v>4.6380759051314622E-3</v>
      </c>
      <c r="D28" s="17" t="s">
        <v>661</v>
      </c>
      <c r="E28" s="8" t="s">
        <v>915</v>
      </c>
      <c r="F28" s="8">
        <v>0.9</v>
      </c>
      <c r="G28" s="8">
        <v>0.5</v>
      </c>
      <c r="H28" s="8">
        <f t="shared" si="0"/>
        <v>0.45</v>
      </c>
      <c r="I28" s="26">
        <f t="shared" si="1"/>
        <v>2.0871341573091579E-3</v>
      </c>
      <c r="J28" s="26">
        <f t="shared" si="2"/>
        <v>0.26455000385435651</v>
      </c>
      <c r="K28" s="26">
        <f t="shared" si="3"/>
        <v>7.8893748890595146E-3</v>
      </c>
      <c r="L28" s="27">
        <f t="shared" si="4"/>
        <v>5.5114173321458619E-2</v>
      </c>
      <c r="M28" s="27">
        <f t="shared" si="5"/>
        <v>7.6126901302180414</v>
      </c>
      <c r="N28" s="27"/>
      <c r="O28" s="27"/>
      <c r="P28"/>
    </row>
    <row r="29" spans="1:16" ht="28">
      <c r="A29" s="17" t="s">
        <v>539</v>
      </c>
      <c r="B29" s="14" t="s">
        <v>310</v>
      </c>
      <c r="C29" s="25">
        <f>VLOOKUP(B29,'Consensus Phospho site'!B:G,6,FALSE)</f>
        <v>4.6380759051314622E-3</v>
      </c>
      <c r="D29" s="17" t="s">
        <v>677</v>
      </c>
      <c r="E29" s="8" t="s">
        <v>915</v>
      </c>
      <c r="F29" s="8">
        <v>0.9</v>
      </c>
      <c r="G29" s="8">
        <v>0.5</v>
      </c>
      <c r="H29" s="8">
        <f t="shared" si="0"/>
        <v>0.45</v>
      </c>
      <c r="I29" s="26">
        <f t="shared" si="1"/>
        <v>2.0871341573091579E-3</v>
      </c>
      <c r="J29" s="26">
        <f t="shared" si="2"/>
        <v>0.26455000385435651</v>
      </c>
      <c r="K29" s="26">
        <f t="shared" si="3"/>
        <v>7.8893748890595146E-3</v>
      </c>
      <c r="L29" s="27">
        <f t="shared" si="4"/>
        <v>5.5114173321458619E-2</v>
      </c>
      <c r="M29" s="27">
        <f t="shared" si="5"/>
        <v>7.6126901302180414</v>
      </c>
      <c r="N29" s="27"/>
      <c r="O29" s="27"/>
      <c r="P29"/>
    </row>
    <row r="30" spans="1:16" ht="15">
      <c r="A30" s="17" t="s">
        <v>536</v>
      </c>
      <c r="B30" s="14" t="s">
        <v>414</v>
      </c>
      <c r="C30" s="25">
        <f>VLOOKUP(B30,'Consensus Phospho site'!B:G,6,FALSE)</f>
        <v>7.7301265085524366E-3</v>
      </c>
      <c r="D30" s="17" t="e">
        <v>#N/A</v>
      </c>
      <c r="E30" s="8" t="e">
        <v>#N/A</v>
      </c>
      <c r="F30" s="8">
        <v>0.5</v>
      </c>
      <c r="G30" s="8">
        <v>0.5</v>
      </c>
      <c r="H30" s="8">
        <f t="shared" si="0"/>
        <v>0.25</v>
      </c>
      <c r="I30" s="26">
        <f t="shared" si="1"/>
        <v>1.9325316271381092E-3</v>
      </c>
      <c r="J30" s="26">
        <f t="shared" si="2"/>
        <v>0.26455000385435651</v>
      </c>
      <c r="K30" s="26">
        <f t="shared" si="3"/>
        <v>7.30497674912918E-3</v>
      </c>
      <c r="L30" s="27">
        <f t="shared" si="4"/>
        <v>5.1842723119738615E-2</v>
      </c>
      <c r="M30" s="27">
        <f t="shared" si="5"/>
        <v>7.6126901302180414</v>
      </c>
      <c r="N30" s="27"/>
      <c r="O30" s="27"/>
      <c r="P30"/>
    </row>
    <row r="31" spans="1:16" ht="15">
      <c r="A31" s="17" t="s">
        <v>536</v>
      </c>
      <c r="B31" s="14" t="s">
        <v>418</v>
      </c>
      <c r="C31" s="25">
        <f>VLOOKUP(B31,'Consensus Phospho site'!B:G,6,FALSE)</f>
        <v>7.7301265085524366E-3</v>
      </c>
      <c r="D31" s="17" t="e">
        <v>#N/A</v>
      </c>
      <c r="E31" s="8" t="e">
        <v>#N/A</v>
      </c>
      <c r="F31" s="8">
        <v>0.5</v>
      </c>
      <c r="G31" s="8">
        <v>0.5</v>
      </c>
      <c r="H31" s="8">
        <f t="shared" si="0"/>
        <v>0.25</v>
      </c>
      <c r="I31" s="26">
        <f t="shared" si="1"/>
        <v>1.9325316271381092E-3</v>
      </c>
      <c r="J31" s="26">
        <f t="shared" si="2"/>
        <v>0.26455000385435651</v>
      </c>
      <c r="K31" s="26">
        <f t="shared" si="3"/>
        <v>7.30497674912918E-3</v>
      </c>
      <c r="L31" s="27">
        <f t="shared" si="4"/>
        <v>5.1842723119738615E-2</v>
      </c>
      <c r="M31" s="27">
        <f t="shared" si="5"/>
        <v>7.6126901302180414</v>
      </c>
      <c r="N31" s="27"/>
      <c r="O31" s="27"/>
      <c r="P31"/>
    </row>
    <row r="32" spans="1:16" ht="15">
      <c r="A32" s="17" t="s">
        <v>536</v>
      </c>
      <c r="B32" s="14" t="s">
        <v>419</v>
      </c>
      <c r="C32" s="25">
        <f>VLOOKUP(B32,'Consensus Phospho site'!B:G,6,FALSE)</f>
        <v>7.7301265085524366E-3</v>
      </c>
      <c r="D32" s="17" t="e">
        <v>#N/A</v>
      </c>
      <c r="E32" s="8" t="e">
        <v>#N/A</v>
      </c>
      <c r="F32" s="8">
        <v>0.5</v>
      </c>
      <c r="G32" s="8">
        <v>0.5</v>
      </c>
      <c r="H32" s="8">
        <f t="shared" si="0"/>
        <v>0.25</v>
      </c>
      <c r="I32" s="26">
        <f t="shared" si="1"/>
        <v>1.9325316271381092E-3</v>
      </c>
      <c r="J32" s="26">
        <f t="shared" si="2"/>
        <v>0.26455000385435651</v>
      </c>
      <c r="K32" s="26">
        <f t="shared" si="3"/>
        <v>7.30497674912918E-3</v>
      </c>
      <c r="L32" s="27">
        <f t="shared" si="4"/>
        <v>5.1842723119738615E-2</v>
      </c>
      <c r="M32" s="27">
        <f t="shared" si="5"/>
        <v>7.6126901302180414</v>
      </c>
      <c r="N32" s="27"/>
      <c r="O32" s="27"/>
      <c r="P32"/>
    </row>
    <row r="33" spans="1:16" ht="15">
      <c r="A33" s="17" t="s">
        <v>536</v>
      </c>
      <c r="B33" s="14" t="s">
        <v>422</v>
      </c>
      <c r="C33" s="25">
        <f>VLOOKUP(B33,'Consensus Phospho site'!B:G,6,FALSE)</f>
        <v>7.7301265085524366E-3</v>
      </c>
      <c r="D33" s="17" t="e">
        <v>#N/A</v>
      </c>
      <c r="E33" s="8" t="e">
        <v>#N/A</v>
      </c>
      <c r="F33" s="8">
        <v>0.5</v>
      </c>
      <c r="G33" s="8">
        <v>0.5</v>
      </c>
      <c r="H33" s="8">
        <f t="shared" si="0"/>
        <v>0.25</v>
      </c>
      <c r="I33" s="26">
        <f t="shared" si="1"/>
        <v>1.9325316271381092E-3</v>
      </c>
      <c r="J33" s="26">
        <f t="shared" si="2"/>
        <v>0.26455000385435651</v>
      </c>
      <c r="K33" s="26">
        <f t="shared" si="3"/>
        <v>7.30497674912918E-3</v>
      </c>
      <c r="L33" s="27">
        <f t="shared" si="4"/>
        <v>5.1842723119738615E-2</v>
      </c>
      <c r="M33" s="27">
        <f t="shared" si="5"/>
        <v>7.6126901302180414</v>
      </c>
      <c r="N33" s="27"/>
      <c r="O33" s="27"/>
      <c r="P33"/>
    </row>
    <row r="34" spans="1:16" ht="15">
      <c r="A34" s="17" t="s">
        <v>536</v>
      </c>
      <c r="B34" s="14" t="s">
        <v>424</v>
      </c>
      <c r="C34" s="25">
        <f>VLOOKUP(B34,'Consensus Phospho site'!B:G,6,FALSE)</f>
        <v>7.7301265085524366E-3</v>
      </c>
      <c r="D34" s="17" t="e">
        <v>#N/A</v>
      </c>
      <c r="E34" s="8" t="e">
        <v>#N/A</v>
      </c>
      <c r="F34" s="8">
        <v>0.5</v>
      </c>
      <c r="G34" s="8">
        <v>0.5</v>
      </c>
      <c r="H34" s="8">
        <f t="shared" si="0"/>
        <v>0.25</v>
      </c>
      <c r="I34" s="26">
        <f t="shared" si="1"/>
        <v>1.9325316271381092E-3</v>
      </c>
      <c r="J34" s="26">
        <f t="shared" si="2"/>
        <v>0.26455000385435651</v>
      </c>
      <c r="K34" s="26">
        <f t="shared" si="3"/>
        <v>7.30497674912918E-3</v>
      </c>
      <c r="L34" s="27">
        <f t="shared" si="4"/>
        <v>5.1842723119738615E-2</v>
      </c>
      <c r="M34" s="27">
        <f t="shared" si="5"/>
        <v>7.6126901302180414</v>
      </c>
      <c r="N34" s="27"/>
      <c r="O34" s="27"/>
      <c r="P34"/>
    </row>
    <row r="35" spans="1:16" ht="15">
      <c r="A35" s="17" t="s">
        <v>536</v>
      </c>
      <c r="B35" s="14" t="s">
        <v>425</v>
      </c>
      <c r="C35" s="25">
        <f>VLOOKUP(B35,'Consensus Phospho site'!B:G,6,FALSE)</f>
        <v>7.7301265085524366E-3</v>
      </c>
      <c r="D35" s="17" t="e">
        <v>#N/A</v>
      </c>
      <c r="E35" s="8" t="e">
        <v>#N/A</v>
      </c>
      <c r="F35" s="8">
        <v>0.5</v>
      </c>
      <c r="G35" s="8">
        <v>0.5</v>
      </c>
      <c r="H35" s="8">
        <f t="shared" si="0"/>
        <v>0.25</v>
      </c>
      <c r="I35" s="26">
        <f t="shared" si="1"/>
        <v>1.9325316271381092E-3</v>
      </c>
      <c r="J35" s="26">
        <f t="shared" si="2"/>
        <v>0.26455000385435651</v>
      </c>
      <c r="K35" s="26">
        <f t="shared" si="3"/>
        <v>7.30497674912918E-3</v>
      </c>
      <c r="L35" s="27">
        <f t="shared" si="4"/>
        <v>5.1842723119738615E-2</v>
      </c>
      <c r="M35" s="27">
        <f t="shared" si="5"/>
        <v>7.6126901302180414</v>
      </c>
      <c r="N35" s="27"/>
      <c r="O35" s="27"/>
      <c r="P35"/>
    </row>
    <row r="36" spans="1:16" ht="15">
      <c r="A36" s="17" t="s">
        <v>536</v>
      </c>
      <c r="B36" s="14" t="s">
        <v>434</v>
      </c>
      <c r="C36" s="25">
        <f>VLOOKUP(B36,'Consensus Phospho site'!B:G,6,FALSE)</f>
        <v>7.7301265085524366E-3</v>
      </c>
      <c r="D36" s="17" t="e">
        <v>#N/A</v>
      </c>
      <c r="E36" s="8" t="e">
        <v>#N/A</v>
      </c>
      <c r="F36" s="8">
        <v>0.5</v>
      </c>
      <c r="G36" s="8">
        <v>0.5</v>
      </c>
      <c r="H36" s="8">
        <f t="shared" si="0"/>
        <v>0.25</v>
      </c>
      <c r="I36" s="26">
        <f t="shared" si="1"/>
        <v>1.9325316271381092E-3</v>
      </c>
      <c r="J36" s="26">
        <f t="shared" si="2"/>
        <v>0.26455000385435651</v>
      </c>
      <c r="K36" s="26">
        <f t="shared" si="3"/>
        <v>7.30497674912918E-3</v>
      </c>
      <c r="L36" s="27">
        <f t="shared" si="4"/>
        <v>5.1842723119738615E-2</v>
      </c>
      <c r="M36" s="27">
        <f t="shared" si="5"/>
        <v>7.6126901302180414</v>
      </c>
      <c r="N36" s="27"/>
      <c r="O36" s="27"/>
      <c r="P36"/>
    </row>
    <row r="37" spans="1:16" ht="15">
      <c r="A37" s="17" t="s">
        <v>536</v>
      </c>
      <c r="B37" s="14" t="s">
        <v>436</v>
      </c>
      <c r="C37" s="25">
        <f>VLOOKUP(B37,'Consensus Phospho site'!B:G,6,FALSE)</f>
        <v>7.7301265085524366E-3</v>
      </c>
      <c r="D37" s="17" t="e">
        <v>#N/A</v>
      </c>
      <c r="E37" s="8" t="e">
        <v>#N/A</v>
      </c>
      <c r="F37" s="8">
        <v>0.5</v>
      </c>
      <c r="G37" s="8">
        <v>0.5</v>
      </c>
      <c r="H37" s="8">
        <f t="shared" si="0"/>
        <v>0.25</v>
      </c>
      <c r="I37" s="26">
        <f t="shared" si="1"/>
        <v>1.9325316271381092E-3</v>
      </c>
      <c r="J37" s="26">
        <f t="shared" si="2"/>
        <v>0.26455000385435651</v>
      </c>
      <c r="K37" s="26">
        <f t="shared" si="3"/>
        <v>7.30497674912918E-3</v>
      </c>
      <c r="L37" s="27">
        <f t="shared" si="4"/>
        <v>5.1842723119738615E-2</v>
      </c>
      <c r="M37" s="27">
        <f t="shared" si="5"/>
        <v>7.6126901302180414</v>
      </c>
      <c r="N37" s="27"/>
      <c r="O37" s="27"/>
      <c r="P37"/>
    </row>
    <row r="38" spans="1:16" ht="15">
      <c r="A38" s="17" t="s">
        <v>542</v>
      </c>
      <c r="B38" s="14" t="s">
        <v>506</v>
      </c>
      <c r="C38" s="25">
        <f>VLOOKUP(B38,'Consensus Phospho site'!B:G,6,FALSE)</f>
        <v>7.7301265085524366E-3</v>
      </c>
      <c r="D38" s="17" t="e">
        <v>#N/A</v>
      </c>
      <c r="E38" s="8" t="e">
        <v>#N/A</v>
      </c>
      <c r="F38" s="8">
        <v>0.5</v>
      </c>
      <c r="G38" s="8">
        <v>0.5</v>
      </c>
      <c r="H38" s="8">
        <f t="shared" si="0"/>
        <v>0.25</v>
      </c>
      <c r="I38" s="26">
        <f t="shared" si="1"/>
        <v>1.9325316271381092E-3</v>
      </c>
      <c r="J38" s="26">
        <f t="shared" si="2"/>
        <v>0.26455000385435651</v>
      </c>
      <c r="K38" s="26">
        <f t="shared" si="3"/>
        <v>7.30497674912918E-3</v>
      </c>
      <c r="L38" s="27">
        <f t="shared" si="4"/>
        <v>5.1842723119738615E-2</v>
      </c>
      <c r="M38" s="27">
        <f t="shared" si="5"/>
        <v>7.6126901302180414</v>
      </c>
      <c r="N38" s="27"/>
      <c r="O38" s="27"/>
      <c r="P38"/>
    </row>
    <row r="39" spans="1:16" ht="15">
      <c r="A39" s="17" t="s">
        <v>542</v>
      </c>
      <c r="B39" s="14" t="s">
        <v>513</v>
      </c>
      <c r="C39" s="25">
        <f>VLOOKUP(B39,'Consensus Phospho site'!B:G,6,FALSE)</f>
        <v>7.7301265085524366E-3</v>
      </c>
      <c r="D39" s="17" t="e">
        <v>#N/A</v>
      </c>
      <c r="E39" s="8" t="e">
        <v>#N/A</v>
      </c>
      <c r="F39" s="8">
        <v>0.5</v>
      </c>
      <c r="G39" s="8">
        <v>0.5</v>
      </c>
      <c r="H39" s="8">
        <f t="shared" si="0"/>
        <v>0.25</v>
      </c>
      <c r="I39" s="26">
        <f t="shared" si="1"/>
        <v>1.9325316271381092E-3</v>
      </c>
      <c r="J39" s="26">
        <f t="shared" si="2"/>
        <v>0.26455000385435651</v>
      </c>
      <c r="K39" s="26">
        <f t="shared" si="3"/>
        <v>7.30497674912918E-3</v>
      </c>
      <c r="L39" s="27">
        <f t="shared" si="4"/>
        <v>5.1842723119738615E-2</v>
      </c>
      <c r="M39" s="27">
        <f t="shared" si="5"/>
        <v>7.6126901302180414</v>
      </c>
      <c r="N39" s="27"/>
      <c r="O39" s="27"/>
      <c r="P39"/>
    </row>
    <row r="40" spans="1:16" ht="15">
      <c r="A40" s="17" t="s">
        <v>536</v>
      </c>
      <c r="B40" s="14" t="s">
        <v>448</v>
      </c>
      <c r="C40" s="25">
        <f>VLOOKUP(B40,'Consensus Phospho site'!B:G,6,FALSE)</f>
        <v>7.7301265085524366E-3</v>
      </c>
      <c r="D40" s="17" t="e">
        <v>#N/A</v>
      </c>
      <c r="E40" s="8" t="e">
        <v>#N/A</v>
      </c>
      <c r="F40" s="8">
        <v>0.5</v>
      </c>
      <c r="G40" s="8">
        <v>0.5</v>
      </c>
      <c r="H40" s="8">
        <f t="shared" si="0"/>
        <v>0.25</v>
      </c>
      <c r="I40" s="26">
        <f t="shared" si="1"/>
        <v>1.9325316271381092E-3</v>
      </c>
      <c r="J40" s="26">
        <f t="shared" si="2"/>
        <v>0.26455000385435651</v>
      </c>
      <c r="K40" s="26">
        <f t="shared" si="3"/>
        <v>7.30497674912918E-3</v>
      </c>
      <c r="L40" s="27">
        <f t="shared" si="4"/>
        <v>5.1842723119738615E-2</v>
      </c>
      <c r="M40" s="27">
        <f t="shared" si="5"/>
        <v>7.6126901302180414</v>
      </c>
      <c r="N40" s="27"/>
      <c r="O40" s="27"/>
      <c r="P40"/>
    </row>
    <row r="41" spans="1:16" ht="15">
      <c r="A41" s="17" t="s">
        <v>536</v>
      </c>
      <c r="B41" s="14" t="s">
        <v>449</v>
      </c>
      <c r="C41" s="25">
        <f>VLOOKUP(B41,'Consensus Phospho site'!B:G,6,FALSE)</f>
        <v>7.7301265085524366E-3</v>
      </c>
      <c r="D41" s="17" t="e">
        <v>#N/A</v>
      </c>
      <c r="E41" s="8" t="e">
        <v>#N/A</v>
      </c>
      <c r="F41" s="8">
        <v>0.5</v>
      </c>
      <c r="G41" s="8">
        <v>0.5</v>
      </c>
      <c r="H41" s="8">
        <f t="shared" si="0"/>
        <v>0.25</v>
      </c>
      <c r="I41" s="26">
        <f t="shared" si="1"/>
        <v>1.9325316271381092E-3</v>
      </c>
      <c r="J41" s="26">
        <f t="shared" si="2"/>
        <v>0.26455000385435651</v>
      </c>
      <c r="K41" s="26">
        <f t="shared" si="3"/>
        <v>7.30497674912918E-3</v>
      </c>
      <c r="L41" s="27">
        <f t="shared" si="4"/>
        <v>5.1842723119738615E-2</v>
      </c>
      <c r="M41" s="27">
        <f t="shared" si="5"/>
        <v>7.6126901302180414</v>
      </c>
      <c r="N41" s="27"/>
      <c r="O41" s="27"/>
      <c r="P41"/>
    </row>
    <row r="42" spans="1:16" ht="15">
      <c r="A42" s="17" t="s">
        <v>536</v>
      </c>
      <c r="B42" s="14" t="s">
        <v>450</v>
      </c>
      <c r="C42" s="25">
        <f>VLOOKUP(B42,'Consensus Phospho site'!B:G,6,FALSE)</f>
        <v>7.7301265085524366E-3</v>
      </c>
      <c r="D42" s="17" t="e">
        <v>#N/A</v>
      </c>
      <c r="E42" s="8" t="e">
        <v>#N/A</v>
      </c>
      <c r="F42" s="8">
        <v>0.5</v>
      </c>
      <c r="G42" s="8">
        <v>0.5</v>
      </c>
      <c r="H42" s="8">
        <f t="shared" si="0"/>
        <v>0.25</v>
      </c>
      <c r="I42" s="26">
        <f t="shared" si="1"/>
        <v>1.9325316271381092E-3</v>
      </c>
      <c r="J42" s="26">
        <f t="shared" si="2"/>
        <v>0.26455000385435651</v>
      </c>
      <c r="K42" s="26">
        <f t="shared" si="3"/>
        <v>7.30497674912918E-3</v>
      </c>
      <c r="L42" s="27">
        <f t="shared" si="4"/>
        <v>5.1842723119738615E-2</v>
      </c>
      <c r="M42" s="27">
        <f t="shared" si="5"/>
        <v>7.6126901302180414</v>
      </c>
      <c r="N42" s="27"/>
      <c r="O42" s="27"/>
      <c r="P42"/>
    </row>
    <row r="43" spans="1:16" ht="15">
      <c r="A43" s="17" t="s">
        <v>542</v>
      </c>
      <c r="B43" s="14" t="s">
        <v>519</v>
      </c>
      <c r="C43" s="25">
        <f>VLOOKUP(B43,'Consensus Phospho site'!B:G,6,FALSE)</f>
        <v>7.7301265085524366E-3</v>
      </c>
      <c r="D43" s="17" t="e">
        <v>#N/A</v>
      </c>
      <c r="E43" s="8" t="e">
        <v>#N/A</v>
      </c>
      <c r="F43" s="8">
        <v>0.5</v>
      </c>
      <c r="G43" s="8">
        <v>0.5</v>
      </c>
      <c r="H43" s="8">
        <f t="shared" si="0"/>
        <v>0.25</v>
      </c>
      <c r="I43" s="26">
        <f t="shared" si="1"/>
        <v>1.9325316271381092E-3</v>
      </c>
      <c r="J43" s="26">
        <f t="shared" si="2"/>
        <v>0.26455000385435651</v>
      </c>
      <c r="K43" s="26">
        <f t="shared" si="3"/>
        <v>7.30497674912918E-3</v>
      </c>
      <c r="L43" s="27">
        <f t="shared" si="4"/>
        <v>5.1842723119738615E-2</v>
      </c>
      <c r="M43" s="27">
        <f t="shared" si="5"/>
        <v>7.6126901302180414</v>
      </c>
      <c r="N43" s="27"/>
      <c r="O43" s="27"/>
      <c r="P43"/>
    </row>
    <row r="44" spans="1:16" ht="15">
      <c r="A44" s="17" t="s">
        <v>536</v>
      </c>
      <c r="B44" s="14" t="s">
        <v>476</v>
      </c>
      <c r="C44" s="25">
        <f>VLOOKUP(B44,'Consensus Phospho site'!B:G,6,FALSE)</f>
        <v>7.7301265085524366E-3</v>
      </c>
      <c r="D44" s="17" t="e">
        <v>#N/A</v>
      </c>
      <c r="E44" s="8" t="e">
        <v>#N/A</v>
      </c>
      <c r="F44" s="8">
        <v>0.5</v>
      </c>
      <c r="G44" s="8">
        <v>0.5</v>
      </c>
      <c r="H44" s="8">
        <f t="shared" si="0"/>
        <v>0.25</v>
      </c>
      <c r="I44" s="26">
        <f t="shared" si="1"/>
        <v>1.9325316271381092E-3</v>
      </c>
      <c r="J44" s="26">
        <f t="shared" si="2"/>
        <v>0.26455000385435651</v>
      </c>
      <c r="K44" s="26">
        <f t="shared" si="3"/>
        <v>7.30497674912918E-3</v>
      </c>
      <c r="L44" s="27">
        <f t="shared" si="4"/>
        <v>5.1842723119738615E-2</v>
      </c>
      <c r="M44" s="27">
        <f t="shared" si="5"/>
        <v>7.6126901302180414</v>
      </c>
      <c r="N44" s="27"/>
      <c r="O44" s="27"/>
      <c r="P44"/>
    </row>
    <row r="45" spans="1:16" ht="15">
      <c r="A45" s="17" t="s">
        <v>536</v>
      </c>
      <c r="B45" s="14" t="s">
        <v>478</v>
      </c>
      <c r="C45" s="25">
        <f>VLOOKUP(B45,'Consensus Phospho site'!B:G,6,FALSE)</f>
        <v>7.7301265085524366E-3</v>
      </c>
      <c r="D45" s="17" t="e">
        <v>#N/A</v>
      </c>
      <c r="E45" s="8" t="e">
        <v>#N/A</v>
      </c>
      <c r="F45" s="8">
        <v>0.5</v>
      </c>
      <c r="G45" s="8">
        <v>0.5</v>
      </c>
      <c r="H45" s="8">
        <f t="shared" si="0"/>
        <v>0.25</v>
      </c>
      <c r="I45" s="26">
        <f t="shared" si="1"/>
        <v>1.9325316271381092E-3</v>
      </c>
      <c r="J45" s="26">
        <f t="shared" si="2"/>
        <v>0.26455000385435651</v>
      </c>
      <c r="K45" s="26">
        <f t="shared" si="3"/>
        <v>7.30497674912918E-3</v>
      </c>
      <c r="L45" s="27">
        <f t="shared" si="4"/>
        <v>5.1842723119738615E-2</v>
      </c>
      <c r="M45" s="27">
        <f t="shared" si="5"/>
        <v>7.6126901302180414</v>
      </c>
      <c r="N45" s="27"/>
      <c r="O45" s="27"/>
      <c r="P45"/>
    </row>
    <row r="46" spans="1:16" ht="15">
      <c r="A46" s="17" t="s">
        <v>536</v>
      </c>
      <c r="B46" s="14" t="s">
        <v>479</v>
      </c>
      <c r="C46" s="25">
        <f>VLOOKUP(B46,'Consensus Phospho site'!B:G,6,FALSE)</f>
        <v>7.7301265085524366E-3</v>
      </c>
      <c r="D46" s="17" t="e">
        <v>#N/A</v>
      </c>
      <c r="E46" s="8" t="e">
        <v>#N/A</v>
      </c>
      <c r="F46" s="8">
        <v>0.5</v>
      </c>
      <c r="G46" s="8">
        <v>0.5</v>
      </c>
      <c r="H46" s="8">
        <f t="shared" si="0"/>
        <v>0.25</v>
      </c>
      <c r="I46" s="26">
        <f t="shared" si="1"/>
        <v>1.9325316271381092E-3</v>
      </c>
      <c r="J46" s="26">
        <f t="shared" si="2"/>
        <v>0.26455000385435651</v>
      </c>
      <c r="K46" s="26">
        <f t="shared" si="3"/>
        <v>7.30497674912918E-3</v>
      </c>
      <c r="L46" s="27">
        <f t="shared" si="4"/>
        <v>5.1842723119738615E-2</v>
      </c>
      <c r="M46" s="27">
        <f t="shared" si="5"/>
        <v>7.6126901302180414</v>
      </c>
      <c r="N46" s="27"/>
      <c r="O46" s="27"/>
      <c r="P46"/>
    </row>
    <row r="47" spans="1:16" ht="15">
      <c r="A47" s="17" t="s">
        <v>542</v>
      </c>
      <c r="B47" s="14" t="s">
        <v>503</v>
      </c>
      <c r="C47" s="25">
        <f>VLOOKUP(B47,'Consensus Phospho site'!B:G,6,FALSE)</f>
        <v>7.7301265085524366E-3</v>
      </c>
      <c r="D47" s="17" t="e">
        <v>#N/A</v>
      </c>
      <c r="E47" s="8" t="e">
        <v>#N/A</v>
      </c>
      <c r="F47" s="8">
        <v>0.5</v>
      </c>
      <c r="G47" s="8">
        <v>0.5</v>
      </c>
      <c r="H47" s="8">
        <f t="shared" si="0"/>
        <v>0.25</v>
      </c>
      <c r="I47" s="26">
        <f t="shared" si="1"/>
        <v>1.9325316271381092E-3</v>
      </c>
      <c r="J47" s="26">
        <f t="shared" si="2"/>
        <v>0.26455000385435651</v>
      </c>
      <c r="K47" s="26">
        <f t="shared" si="3"/>
        <v>7.30497674912918E-3</v>
      </c>
      <c r="L47" s="27">
        <f t="shared" si="4"/>
        <v>5.1842723119738615E-2</v>
      </c>
      <c r="M47" s="27">
        <f t="shared" si="5"/>
        <v>7.6126901302180414</v>
      </c>
      <c r="N47" s="27"/>
      <c r="O47" s="27"/>
      <c r="P47"/>
    </row>
    <row r="48" spans="1:16" ht="15">
      <c r="A48" s="17" t="s">
        <v>536</v>
      </c>
      <c r="B48" s="14" t="s">
        <v>489</v>
      </c>
      <c r="C48" s="25">
        <f>VLOOKUP(B48,'Consensus Phospho site'!B:G,6,FALSE)</f>
        <v>7.7301265085524366E-3</v>
      </c>
      <c r="D48" s="17" t="e">
        <v>#N/A</v>
      </c>
      <c r="E48" s="8" t="e">
        <v>#N/A</v>
      </c>
      <c r="F48" s="8">
        <v>0.5</v>
      </c>
      <c r="G48" s="8">
        <v>0.5</v>
      </c>
      <c r="H48" s="8">
        <f t="shared" si="0"/>
        <v>0.25</v>
      </c>
      <c r="I48" s="26">
        <f t="shared" si="1"/>
        <v>1.9325316271381092E-3</v>
      </c>
      <c r="J48" s="26">
        <f t="shared" si="2"/>
        <v>0.26455000385435651</v>
      </c>
      <c r="K48" s="26">
        <f t="shared" si="3"/>
        <v>7.30497674912918E-3</v>
      </c>
      <c r="L48" s="27">
        <f t="shared" si="4"/>
        <v>5.1842723119738615E-2</v>
      </c>
      <c r="M48" s="27">
        <f t="shared" si="5"/>
        <v>7.6126901302180414</v>
      </c>
      <c r="N48" s="27"/>
      <c r="O48" s="27"/>
      <c r="P48"/>
    </row>
    <row r="49" spans="1:16" ht="15">
      <c r="A49" s="17" t="s">
        <v>537</v>
      </c>
      <c r="B49" s="14" t="s">
        <v>187</v>
      </c>
      <c r="C49" s="25">
        <f>VLOOKUP(B49,'Consensus Phospho site'!B:G,6,FALSE)</f>
        <v>7.3232777449444139E-3</v>
      </c>
      <c r="D49" s="17" t="e">
        <v>#N/A</v>
      </c>
      <c r="E49" s="8" t="e">
        <v>#N/A</v>
      </c>
      <c r="F49" s="8">
        <v>0.5</v>
      </c>
      <c r="G49" s="8">
        <v>0.5</v>
      </c>
      <c r="H49" s="8">
        <f t="shared" si="0"/>
        <v>0.25</v>
      </c>
      <c r="I49" s="26">
        <f t="shared" si="1"/>
        <v>1.8308194362361035E-3</v>
      </c>
      <c r="J49" s="26">
        <f t="shared" si="2"/>
        <v>0.26455000385435651</v>
      </c>
      <c r="K49" s="26">
        <f t="shared" si="3"/>
        <v>6.920504288648697E-3</v>
      </c>
      <c r="L49" s="27">
        <f t="shared" si="4"/>
        <v>4.9653975463845708E-2</v>
      </c>
      <c r="M49" s="27">
        <f t="shared" si="5"/>
        <v>7.6126901302180414</v>
      </c>
      <c r="N49" s="27"/>
      <c r="O49" s="27"/>
      <c r="P49"/>
    </row>
    <row r="50" spans="1:16" ht="15">
      <c r="A50" s="17" t="s">
        <v>537</v>
      </c>
      <c r="B50" s="14" t="s">
        <v>189</v>
      </c>
      <c r="C50" s="25">
        <f>VLOOKUP(B50,'Consensus Phospho site'!B:G,6,FALSE)</f>
        <v>7.3232777449444139E-3</v>
      </c>
      <c r="D50" s="17" t="e">
        <v>#N/A</v>
      </c>
      <c r="E50" s="8" t="e">
        <v>#N/A</v>
      </c>
      <c r="F50" s="8">
        <v>0.5</v>
      </c>
      <c r="G50" s="8">
        <v>0.5</v>
      </c>
      <c r="H50" s="8">
        <f t="shared" si="0"/>
        <v>0.25</v>
      </c>
      <c r="I50" s="26">
        <f t="shared" si="1"/>
        <v>1.8308194362361035E-3</v>
      </c>
      <c r="J50" s="26">
        <f t="shared" si="2"/>
        <v>0.26455000385435651</v>
      </c>
      <c r="K50" s="26">
        <f t="shared" si="3"/>
        <v>6.920504288648697E-3</v>
      </c>
      <c r="L50" s="27">
        <f t="shared" si="4"/>
        <v>4.9653975463845708E-2</v>
      </c>
      <c r="M50" s="27">
        <f t="shared" si="5"/>
        <v>7.6126901302180414</v>
      </c>
      <c r="N50" s="27"/>
      <c r="O50" s="27"/>
      <c r="P50"/>
    </row>
    <row r="51" spans="1:16" ht="28">
      <c r="A51" s="17" t="s">
        <v>539</v>
      </c>
      <c r="B51" s="14" t="s">
        <v>294</v>
      </c>
      <c r="C51" s="25">
        <f>VLOOKUP(B51,'Consensus Phospho site'!B:G,6,FALSE)</f>
        <v>3.4175296143073922E-3</v>
      </c>
      <c r="D51" s="17" t="s">
        <v>698</v>
      </c>
      <c r="E51" s="8" t="s">
        <v>915</v>
      </c>
      <c r="F51" s="8">
        <v>0.9</v>
      </c>
      <c r="G51" s="8">
        <v>0.5</v>
      </c>
      <c r="H51" s="8">
        <f t="shared" si="0"/>
        <v>0.45</v>
      </c>
      <c r="I51" s="26">
        <f t="shared" si="1"/>
        <v>1.5378883264383265E-3</v>
      </c>
      <c r="J51" s="26">
        <f t="shared" si="2"/>
        <v>0.26455000385435651</v>
      </c>
      <c r="K51" s="26">
        <f t="shared" si="3"/>
        <v>5.8132236024649037E-3</v>
      </c>
      <c r="L51" s="27">
        <f t="shared" si="4"/>
        <v>4.3171590486866245E-2</v>
      </c>
      <c r="M51" s="27">
        <f t="shared" si="5"/>
        <v>7.6126901302180414</v>
      </c>
      <c r="N51" s="27"/>
      <c r="O51" s="27"/>
      <c r="P51"/>
    </row>
    <row r="52" spans="1:16" ht="28">
      <c r="A52" s="17" t="s">
        <v>540</v>
      </c>
      <c r="B52" s="14" t="s">
        <v>234</v>
      </c>
      <c r="C52" s="25">
        <f>VLOOKUP(B52,'Consensus Phospho site'!B:G,6,FALSE)</f>
        <v>3.4175296143073922E-3</v>
      </c>
      <c r="D52" s="17" t="s">
        <v>715</v>
      </c>
      <c r="E52" s="8" t="s">
        <v>915</v>
      </c>
      <c r="F52" s="8">
        <v>0.9</v>
      </c>
      <c r="G52" s="8">
        <v>0.5</v>
      </c>
      <c r="H52" s="8">
        <f t="shared" si="0"/>
        <v>0.45</v>
      </c>
      <c r="I52" s="26">
        <f t="shared" si="1"/>
        <v>1.5378883264383265E-3</v>
      </c>
      <c r="J52" s="26">
        <f t="shared" si="2"/>
        <v>0.26455000385435651</v>
      </c>
      <c r="K52" s="26">
        <f t="shared" si="3"/>
        <v>5.8132236024649037E-3</v>
      </c>
      <c r="L52" s="27">
        <f t="shared" si="4"/>
        <v>4.3171590486866245E-2</v>
      </c>
      <c r="M52" s="27">
        <f t="shared" si="5"/>
        <v>7.6126901302180414</v>
      </c>
      <c r="N52" s="27"/>
      <c r="O52" s="27"/>
      <c r="P52"/>
    </row>
    <row r="53" spans="1:16" ht="15">
      <c r="A53" s="17" t="s">
        <v>538</v>
      </c>
      <c r="B53" s="14" t="s">
        <v>141</v>
      </c>
      <c r="C53" s="25">
        <f>VLOOKUP(B53,'Consensus Phospho site'!B:G,6,FALSE)</f>
        <v>4.6380759051314622E-3</v>
      </c>
      <c r="D53" s="17" t="s">
        <v>648</v>
      </c>
      <c r="E53" s="8" t="s">
        <v>921</v>
      </c>
      <c r="F53" s="8">
        <v>0.65</v>
      </c>
      <c r="G53" s="8">
        <v>0.5</v>
      </c>
      <c r="H53" s="8">
        <f t="shared" si="0"/>
        <v>0.32500000000000001</v>
      </c>
      <c r="I53" s="26">
        <f t="shared" si="1"/>
        <v>1.5073746691677253E-3</v>
      </c>
      <c r="J53" s="26">
        <f t="shared" si="2"/>
        <v>0.26455000385435651</v>
      </c>
      <c r="K53" s="26">
        <f t="shared" si="3"/>
        <v>5.6978818643207609E-3</v>
      </c>
      <c r="L53" s="27">
        <f t="shared" si="4"/>
        <v>4.2479752413452081E-2</v>
      </c>
      <c r="M53" s="27">
        <f t="shared" si="5"/>
        <v>7.6126901302180414</v>
      </c>
      <c r="N53" s="27"/>
      <c r="O53" s="27"/>
      <c r="P53"/>
    </row>
    <row r="54" spans="1:16" ht="15">
      <c r="A54" s="17" t="s">
        <v>540</v>
      </c>
      <c r="B54" s="14" t="s">
        <v>267</v>
      </c>
      <c r="C54" s="25">
        <f>VLOOKUP(B54,'Consensus Phospho site'!B:G,6,FALSE)</f>
        <v>4.6380759051314622E-3</v>
      </c>
      <c r="D54" s="17" t="s">
        <v>558</v>
      </c>
      <c r="E54" s="8" t="s">
        <v>921</v>
      </c>
      <c r="F54" s="8">
        <v>0.65</v>
      </c>
      <c r="G54" s="8">
        <v>0.5</v>
      </c>
      <c r="H54" s="8">
        <f t="shared" si="0"/>
        <v>0.32500000000000001</v>
      </c>
      <c r="I54" s="26">
        <f t="shared" si="1"/>
        <v>1.5073746691677253E-3</v>
      </c>
      <c r="J54" s="26">
        <f t="shared" si="2"/>
        <v>0.26455000385435651</v>
      </c>
      <c r="K54" s="26">
        <f t="shared" si="3"/>
        <v>5.6978818643207609E-3</v>
      </c>
      <c r="L54" s="27">
        <f t="shared" si="4"/>
        <v>4.2479752413452081E-2</v>
      </c>
      <c r="M54" s="27">
        <f t="shared" si="5"/>
        <v>7.6126901302180414</v>
      </c>
      <c r="N54" s="27"/>
      <c r="O54" s="27"/>
      <c r="P54"/>
    </row>
    <row r="55" spans="1:16" ht="15">
      <c r="A55" s="17" t="s">
        <v>542</v>
      </c>
      <c r="B55" s="14" t="s">
        <v>497</v>
      </c>
      <c r="C55" s="25">
        <f>VLOOKUP(B55,'Consensus Phospho site'!B:G,6,FALSE)</f>
        <v>5.6958826905123211E-3</v>
      </c>
      <c r="D55" s="17" t="e">
        <v>#N/A</v>
      </c>
      <c r="E55" s="8" t="e">
        <v>#N/A</v>
      </c>
      <c r="F55" s="8">
        <v>0.5</v>
      </c>
      <c r="G55" s="8">
        <v>0.5</v>
      </c>
      <c r="H55" s="8">
        <f t="shared" si="0"/>
        <v>0.25</v>
      </c>
      <c r="I55" s="26">
        <f t="shared" si="1"/>
        <v>1.4239706726280803E-3</v>
      </c>
      <c r="J55" s="26">
        <f t="shared" si="2"/>
        <v>0.26455000385435651</v>
      </c>
      <c r="K55" s="26">
        <f t="shared" si="3"/>
        <v>5.3826144467267632E-3</v>
      </c>
      <c r="L55" s="27">
        <f t="shared" si="4"/>
        <v>4.0571333641349204E-2</v>
      </c>
      <c r="M55" s="27">
        <f t="shared" si="5"/>
        <v>7.6126901302180414</v>
      </c>
      <c r="N55" s="27"/>
      <c r="O55" s="27"/>
      <c r="P55"/>
    </row>
    <row r="56" spans="1:16" ht="15">
      <c r="A56" s="17" t="s">
        <v>542</v>
      </c>
      <c r="B56" s="14" t="s">
        <v>510</v>
      </c>
      <c r="C56" s="25">
        <f>VLOOKUP(B56,'Consensus Phospho site'!B:G,6,FALSE)</f>
        <v>5.6958826905123211E-3</v>
      </c>
      <c r="D56" s="17" t="e">
        <v>#N/A</v>
      </c>
      <c r="E56" s="8" t="e">
        <v>#N/A</v>
      </c>
      <c r="F56" s="8">
        <v>0.5</v>
      </c>
      <c r="G56" s="8">
        <v>0.5</v>
      </c>
      <c r="H56" s="8">
        <f t="shared" si="0"/>
        <v>0.25</v>
      </c>
      <c r="I56" s="26">
        <f t="shared" si="1"/>
        <v>1.4239706726280803E-3</v>
      </c>
      <c r="J56" s="26">
        <f t="shared" si="2"/>
        <v>0.26455000385435651</v>
      </c>
      <c r="K56" s="26">
        <f t="shared" si="3"/>
        <v>5.3826144467267632E-3</v>
      </c>
      <c r="L56" s="27">
        <f t="shared" si="4"/>
        <v>4.0571333641349204E-2</v>
      </c>
      <c r="M56" s="27">
        <f t="shared" si="5"/>
        <v>7.6126901302180414</v>
      </c>
      <c r="N56" s="27"/>
      <c r="O56" s="27"/>
      <c r="P56"/>
    </row>
    <row r="57" spans="1:16" ht="15">
      <c r="A57" s="17" t="s">
        <v>542</v>
      </c>
      <c r="B57" s="14" t="s">
        <v>511</v>
      </c>
      <c r="C57" s="25">
        <f>VLOOKUP(B57,'Consensus Phospho site'!B:G,6,FALSE)</f>
        <v>5.6958826905123211E-3</v>
      </c>
      <c r="D57" s="17" t="e">
        <v>#N/A</v>
      </c>
      <c r="E57" s="8" t="e">
        <v>#N/A</v>
      </c>
      <c r="F57" s="8">
        <v>0.5</v>
      </c>
      <c r="G57" s="8">
        <v>0.5</v>
      </c>
      <c r="H57" s="8">
        <f t="shared" si="0"/>
        <v>0.25</v>
      </c>
      <c r="I57" s="26">
        <f t="shared" si="1"/>
        <v>1.4239706726280803E-3</v>
      </c>
      <c r="J57" s="26">
        <f t="shared" si="2"/>
        <v>0.26455000385435651</v>
      </c>
      <c r="K57" s="26">
        <f t="shared" si="3"/>
        <v>5.3826144467267632E-3</v>
      </c>
      <c r="L57" s="27">
        <f t="shared" si="4"/>
        <v>4.0571333641349204E-2</v>
      </c>
      <c r="M57" s="27">
        <f t="shared" si="5"/>
        <v>7.6126901302180414</v>
      </c>
      <c r="N57" s="27"/>
      <c r="O57" s="27"/>
      <c r="P57"/>
    </row>
    <row r="58" spans="1:16" ht="15">
      <c r="A58" s="17" t="s">
        <v>536</v>
      </c>
      <c r="B58" s="14" t="s">
        <v>415</v>
      </c>
      <c r="C58" s="25">
        <f>VLOOKUP(B58,'Consensus Phospho site'!B:G,6,FALSE)</f>
        <v>5.6958826905123211E-3</v>
      </c>
      <c r="D58" s="17" t="e">
        <v>#N/A</v>
      </c>
      <c r="E58" s="8" t="e">
        <v>#N/A</v>
      </c>
      <c r="F58" s="8">
        <v>0.5</v>
      </c>
      <c r="G58" s="8">
        <v>0.5</v>
      </c>
      <c r="H58" s="8">
        <f t="shared" si="0"/>
        <v>0.25</v>
      </c>
      <c r="I58" s="26">
        <f t="shared" si="1"/>
        <v>1.4239706726280803E-3</v>
      </c>
      <c r="J58" s="26">
        <f t="shared" si="2"/>
        <v>0.26455000385435651</v>
      </c>
      <c r="K58" s="26">
        <f t="shared" si="3"/>
        <v>5.3826144467267632E-3</v>
      </c>
      <c r="L58" s="27">
        <f t="shared" si="4"/>
        <v>4.0571333641349204E-2</v>
      </c>
      <c r="M58" s="27">
        <f t="shared" si="5"/>
        <v>7.6126901302180414</v>
      </c>
      <c r="N58" s="27"/>
      <c r="O58" s="27"/>
      <c r="P58"/>
    </row>
    <row r="59" spans="1:16" ht="15">
      <c r="A59" s="17" t="s">
        <v>542</v>
      </c>
      <c r="B59" s="14" t="s">
        <v>505</v>
      </c>
      <c r="C59" s="25">
        <f>VLOOKUP(B59,'Consensus Phospho site'!B:G,6,FALSE)</f>
        <v>5.6958826905123211E-3</v>
      </c>
      <c r="D59" s="17" t="e">
        <v>#N/A</v>
      </c>
      <c r="E59" s="8" t="e">
        <v>#N/A</v>
      </c>
      <c r="F59" s="8">
        <v>0.5</v>
      </c>
      <c r="G59" s="8">
        <v>0.5</v>
      </c>
      <c r="H59" s="8">
        <f t="shared" si="0"/>
        <v>0.25</v>
      </c>
      <c r="I59" s="26">
        <f t="shared" si="1"/>
        <v>1.4239706726280803E-3</v>
      </c>
      <c r="J59" s="26">
        <f t="shared" si="2"/>
        <v>0.26455000385435651</v>
      </c>
      <c r="K59" s="26">
        <f t="shared" si="3"/>
        <v>5.3826144467267632E-3</v>
      </c>
      <c r="L59" s="27">
        <f t="shared" si="4"/>
        <v>4.0571333641349204E-2</v>
      </c>
      <c r="M59" s="27">
        <f t="shared" si="5"/>
        <v>7.6126901302180414</v>
      </c>
      <c r="N59" s="27"/>
      <c r="O59" s="27"/>
      <c r="P59"/>
    </row>
    <row r="60" spans="1:16" ht="15">
      <c r="A60" s="17" t="s">
        <v>536</v>
      </c>
      <c r="B60" s="14" t="s">
        <v>417</v>
      </c>
      <c r="C60" s="25">
        <f>VLOOKUP(B60,'Consensus Phospho site'!B:G,6,FALSE)</f>
        <v>5.6958826905123211E-3</v>
      </c>
      <c r="D60" s="17" t="e">
        <v>#N/A</v>
      </c>
      <c r="E60" s="8" t="e">
        <v>#N/A</v>
      </c>
      <c r="F60" s="8">
        <v>0.5</v>
      </c>
      <c r="G60" s="8">
        <v>0.5</v>
      </c>
      <c r="H60" s="8">
        <f t="shared" si="0"/>
        <v>0.25</v>
      </c>
      <c r="I60" s="26">
        <f t="shared" si="1"/>
        <v>1.4239706726280803E-3</v>
      </c>
      <c r="J60" s="26">
        <f t="shared" si="2"/>
        <v>0.26455000385435651</v>
      </c>
      <c r="K60" s="26">
        <f t="shared" si="3"/>
        <v>5.3826144467267632E-3</v>
      </c>
      <c r="L60" s="27">
        <f t="shared" si="4"/>
        <v>4.0571333641349204E-2</v>
      </c>
      <c r="M60" s="27">
        <f t="shared" si="5"/>
        <v>7.6126901302180414</v>
      </c>
      <c r="N60" s="27"/>
      <c r="O60" s="27"/>
      <c r="P60"/>
    </row>
    <row r="61" spans="1:16" ht="15">
      <c r="A61" s="17" t="s">
        <v>536</v>
      </c>
      <c r="B61" s="14" t="s">
        <v>440</v>
      </c>
      <c r="C61" s="25">
        <f>VLOOKUP(B61,'Consensus Phospho site'!B:G,6,FALSE)</f>
        <v>5.6958826905123211E-3</v>
      </c>
      <c r="D61" s="17" t="e">
        <v>#N/A</v>
      </c>
      <c r="E61" s="8" t="e">
        <v>#N/A</v>
      </c>
      <c r="F61" s="8">
        <v>0.5</v>
      </c>
      <c r="G61" s="8">
        <v>0.5</v>
      </c>
      <c r="H61" s="8">
        <f t="shared" si="0"/>
        <v>0.25</v>
      </c>
      <c r="I61" s="26">
        <f t="shared" si="1"/>
        <v>1.4239706726280803E-3</v>
      </c>
      <c r="J61" s="26">
        <f t="shared" si="2"/>
        <v>0.26455000385435651</v>
      </c>
      <c r="K61" s="26">
        <f t="shared" si="3"/>
        <v>5.3826144467267632E-3</v>
      </c>
      <c r="L61" s="27">
        <f t="shared" si="4"/>
        <v>4.0571333641349204E-2</v>
      </c>
      <c r="M61" s="27">
        <f t="shared" si="5"/>
        <v>7.6126901302180414</v>
      </c>
      <c r="N61" s="27"/>
      <c r="O61" s="27"/>
      <c r="P61"/>
    </row>
    <row r="62" spans="1:16" ht="15">
      <c r="A62" s="17" t="s">
        <v>536</v>
      </c>
      <c r="B62" s="14" t="s">
        <v>441</v>
      </c>
      <c r="C62" s="25">
        <f>VLOOKUP(B62,'Consensus Phospho site'!B:G,6,FALSE)</f>
        <v>5.6958826905123211E-3</v>
      </c>
      <c r="D62" s="17" t="e">
        <v>#N/A</v>
      </c>
      <c r="E62" s="8" t="e">
        <v>#N/A</v>
      </c>
      <c r="F62" s="8">
        <v>0.5</v>
      </c>
      <c r="G62" s="8">
        <v>0.5</v>
      </c>
      <c r="H62" s="8">
        <f t="shared" si="0"/>
        <v>0.25</v>
      </c>
      <c r="I62" s="26">
        <f t="shared" si="1"/>
        <v>1.4239706726280803E-3</v>
      </c>
      <c r="J62" s="26">
        <f t="shared" si="2"/>
        <v>0.26455000385435651</v>
      </c>
      <c r="K62" s="26">
        <f t="shared" si="3"/>
        <v>5.3826144467267632E-3</v>
      </c>
      <c r="L62" s="27">
        <f t="shared" si="4"/>
        <v>4.0571333641349204E-2</v>
      </c>
      <c r="M62" s="27">
        <f t="shared" si="5"/>
        <v>7.6126901302180414</v>
      </c>
      <c r="N62" s="27"/>
      <c r="O62" s="27"/>
      <c r="P62"/>
    </row>
    <row r="63" spans="1:16" ht="15">
      <c r="A63" s="17" t="s">
        <v>536</v>
      </c>
      <c r="B63" s="14" t="s">
        <v>442</v>
      </c>
      <c r="C63" s="25">
        <f>VLOOKUP(B63,'Consensus Phospho site'!B:G,6,FALSE)</f>
        <v>5.6958826905123211E-3</v>
      </c>
      <c r="D63" s="17" t="e">
        <v>#N/A</v>
      </c>
      <c r="E63" s="8" t="e">
        <v>#N/A</v>
      </c>
      <c r="F63" s="8">
        <v>0.5</v>
      </c>
      <c r="G63" s="8">
        <v>0.5</v>
      </c>
      <c r="H63" s="8">
        <f t="shared" si="0"/>
        <v>0.25</v>
      </c>
      <c r="I63" s="26">
        <f t="shared" si="1"/>
        <v>1.4239706726280803E-3</v>
      </c>
      <c r="J63" s="26">
        <f t="shared" si="2"/>
        <v>0.26455000385435651</v>
      </c>
      <c r="K63" s="26">
        <f t="shared" si="3"/>
        <v>5.3826144467267632E-3</v>
      </c>
      <c r="L63" s="27">
        <f t="shared" si="4"/>
        <v>4.0571333641349204E-2</v>
      </c>
      <c r="M63" s="27">
        <f t="shared" si="5"/>
        <v>7.6126901302180414</v>
      </c>
      <c r="N63" s="27"/>
      <c r="O63" s="27"/>
      <c r="P63"/>
    </row>
    <row r="64" spans="1:16" ht="15">
      <c r="A64" s="17" t="s">
        <v>542</v>
      </c>
      <c r="B64" s="14" t="s">
        <v>508</v>
      </c>
      <c r="C64" s="25">
        <f>VLOOKUP(B64,'Consensus Phospho site'!B:G,6,FALSE)</f>
        <v>5.6958826905123211E-3</v>
      </c>
      <c r="D64" s="17" t="e">
        <v>#N/A</v>
      </c>
      <c r="E64" s="8" t="e">
        <v>#N/A</v>
      </c>
      <c r="F64" s="8">
        <v>0.5</v>
      </c>
      <c r="G64" s="8">
        <v>0.5</v>
      </c>
      <c r="H64" s="8">
        <f t="shared" si="0"/>
        <v>0.25</v>
      </c>
      <c r="I64" s="26">
        <f t="shared" si="1"/>
        <v>1.4239706726280803E-3</v>
      </c>
      <c r="J64" s="26">
        <f t="shared" si="2"/>
        <v>0.26455000385435651</v>
      </c>
      <c r="K64" s="26">
        <f t="shared" si="3"/>
        <v>5.3826144467267632E-3</v>
      </c>
      <c r="L64" s="27">
        <f t="shared" si="4"/>
        <v>4.0571333641349204E-2</v>
      </c>
      <c r="M64" s="27">
        <f t="shared" si="5"/>
        <v>7.6126901302180414</v>
      </c>
      <c r="N64" s="27"/>
      <c r="O64" s="27"/>
      <c r="P64"/>
    </row>
    <row r="65" spans="1:16" ht="15">
      <c r="A65" s="17" t="s">
        <v>542</v>
      </c>
      <c r="B65" s="14" t="s">
        <v>515</v>
      </c>
      <c r="C65" s="25">
        <f>VLOOKUP(B65,'Consensus Phospho site'!B:G,6,FALSE)</f>
        <v>5.6958826905123211E-3</v>
      </c>
      <c r="D65" s="17" t="e">
        <v>#N/A</v>
      </c>
      <c r="E65" s="8" t="e">
        <v>#N/A</v>
      </c>
      <c r="F65" s="8">
        <v>0.5</v>
      </c>
      <c r="G65" s="8">
        <v>0.5</v>
      </c>
      <c r="H65" s="8">
        <f t="shared" si="0"/>
        <v>0.25</v>
      </c>
      <c r="I65" s="26">
        <f t="shared" si="1"/>
        <v>1.4239706726280803E-3</v>
      </c>
      <c r="J65" s="26">
        <f t="shared" si="2"/>
        <v>0.26455000385435651</v>
      </c>
      <c r="K65" s="26">
        <f t="shared" si="3"/>
        <v>5.3826144467267632E-3</v>
      </c>
      <c r="L65" s="27">
        <f t="shared" si="4"/>
        <v>4.0571333641349204E-2</v>
      </c>
      <c r="M65" s="27">
        <f t="shared" si="5"/>
        <v>7.6126901302180414</v>
      </c>
      <c r="N65" s="27"/>
      <c r="O65" s="27"/>
      <c r="P65"/>
    </row>
    <row r="66" spans="1:16" ht="15">
      <c r="A66" s="17" t="s">
        <v>536</v>
      </c>
      <c r="B66" s="14" t="s">
        <v>455</v>
      </c>
      <c r="C66" s="25">
        <f>VLOOKUP(B66,'Consensus Phospho site'!B:G,6,FALSE)</f>
        <v>5.6958826905123211E-3</v>
      </c>
      <c r="D66" s="17" t="e">
        <v>#N/A</v>
      </c>
      <c r="E66" s="8" t="e">
        <v>#N/A</v>
      </c>
      <c r="F66" s="8">
        <v>0.5</v>
      </c>
      <c r="G66" s="8">
        <v>0.5</v>
      </c>
      <c r="H66" s="8">
        <f t="shared" ref="H66:H129" si="6">F66*G66</f>
        <v>0.25</v>
      </c>
      <c r="I66" s="26">
        <f t="shared" ref="I66:I129" si="7">H66*C66</f>
        <v>1.4239706726280803E-3</v>
      </c>
      <c r="J66" s="26">
        <f t="shared" ref="J66:J129" si="8">SUM($I$2:$I$522)</f>
        <v>0.26455000385435651</v>
      </c>
      <c r="K66" s="26">
        <f t="shared" ref="K66:K129" si="9">I66/J66</f>
        <v>5.3826144467267632E-3</v>
      </c>
      <c r="L66" s="27">
        <f t="shared" ref="L66:L129" si="10">K66*-LOG(K66,2)</f>
        <v>4.0571333641349204E-2</v>
      </c>
      <c r="M66" s="27">
        <f t="shared" ref="M66:M129" si="11">SUM($L$2:$L$522)</f>
        <v>7.6126901302180414</v>
      </c>
      <c r="N66" s="27"/>
      <c r="O66" s="27"/>
      <c r="P66"/>
    </row>
    <row r="67" spans="1:16" ht="15">
      <c r="A67" s="17" t="s">
        <v>536</v>
      </c>
      <c r="B67" s="14" t="s">
        <v>461</v>
      </c>
      <c r="C67" s="25">
        <f>VLOOKUP(B67,'Consensus Phospho site'!B:G,6,FALSE)</f>
        <v>5.6958826905123211E-3</v>
      </c>
      <c r="D67" s="17" t="e">
        <v>#N/A</v>
      </c>
      <c r="E67" s="8" t="e">
        <v>#N/A</v>
      </c>
      <c r="F67" s="8">
        <v>0.5</v>
      </c>
      <c r="G67" s="8">
        <v>0.5</v>
      </c>
      <c r="H67" s="8">
        <f t="shared" si="6"/>
        <v>0.25</v>
      </c>
      <c r="I67" s="26">
        <f t="shared" si="7"/>
        <v>1.4239706726280803E-3</v>
      </c>
      <c r="J67" s="26">
        <f t="shared" si="8"/>
        <v>0.26455000385435651</v>
      </c>
      <c r="K67" s="26">
        <f t="shared" si="9"/>
        <v>5.3826144467267632E-3</v>
      </c>
      <c r="L67" s="27">
        <f t="shared" si="10"/>
        <v>4.0571333641349204E-2</v>
      </c>
      <c r="M67" s="27">
        <f t="shared" si="11"/>
        <v>7.6126901302180414</v>
      </c>
      <c r="N67" s="27"/>
      <c r="O67" s="27"/>
      <c r="P67"/>
    </row>
    <row r="68" spans="1:16" ht="15">
      <c r="A68" s="17" t="s">
        <v>536</v>
      </c>
      <c r="B68" s="14" t="s">
        <v>483</v>
      </c>
      <c r="C68" s="25">
        <f>VLOOKUP(B68,'Consensus Phospho site'!B:G,6,FALSE)</f>
        <v>5.6958826905123211E-3</v>
      </c>
      <c r="D68" s="17" t="e">
        <v>#N/A</v>
      </c>
      <c r="E68" s="8" t="e">
        <v>#N/A</v>
      </c>
      <c r="F68" s="8">
        <v>0.5</v>
      </c>
      <c r="G68" s="8">
        <v>0.5</v>
      </c>
      <c r="H68" s="8">
        <f t="shared" si="6"/>
        <v>0.25</v>
      </c>
      <c r="I68" s="26">
        <f t="shared" si="7"/>
        <v>1.4239706726280803E-3</v>
      </c>
      <c r="J68" s="26">
        <f t="shared" si="8"/>
        <v>0.26455000385435651</v>
      </c>
      <c r="K68" s="26">
        <f t="shared" si="9"/>
        <v>5.3826144467267632E-3</v>
      </c>
      <c r="L68" s="27">
        <f t="shared" si="10"/>
        <v>4.0571333641349204E-2</v>
      </c>
      <c r="M68" s="27">
        <f t="shared" si="11"/>
        <v>7.6126901302180414</v>
      </c>
      <c r="N68" s="27"/>
      <c r="O68" s="27"/>
      <c r="P68"/>
    </row>
    <row r="69" spans="1:16" ht="15">
      <c r="A69" s="17" t="s">
        <v>536</v>
      </c>
      <c r="B69" s="14" t="s">
        <v>492</v>
      </c>
      <c r="C69" s="25">
        <f>VLOOKUP(B69,'Consensus Phospho site'!B:G,6,FALSE)</f>
        <v>5.6958826905123211E-3</v>
      </c>
      <c r="D69" s="17" t="e">
        <v>#N/A</v>
      </c>
      <c r="E69" s="8" t="e">
        <v>#N/A</v>
      </c>
      <c r="F69" s="8">
        <v>0.5</v>
      </c>
      <c r="G69" s="8">
        <v>0.5</v>
      </c>
      <c r="H69" s="8">
        <f t="shared" si="6"/>
        <v>0.25</v>
      </c>
      <c r="I69" s="26">
        <f t="shared" si="7"/>
        <v>1.4239706726280803E-3</v>
      </c>
      <c r="J69" s="26">
        <f t="shared" si="8"/>
        <v>0.26455000385435651</v>
      </c>
      <c r="K69" s="26">
        <f t="shared" si="9"/>
        <v>5.3826144467267632E-3</v>
      </c>
      <c r="L69" s="27">
        <f t="shared" si="10"/>
        <v>4.0571333641349204E-2</v>
      </c>
      <c r="M69" s="27">
        <f t="shared" si="11"/>
        <v>7.6126901302180414</v>
      </c>
      <c r="N69" s="27"/>
      <c r="O69" s="27"/>
      <c r="P69"/>
    </row>
    <row r="70" spans="1:16" ht="15">
      <c r="A70" s="17" t="s">
        <v>537</v>
      </c>
      <c r="B70" s="14" t="s">
        <v>179</v>
      </c>
      <c r="C70" s="25">
        <f>VLOOKUP(B70,'Consensus Phospho site'!B:G,6,FALSE)</f>
        <v>5.3960993910116732E-3</v>
      </c>
      <c r="D70" s="17" t="e">
        <v>#N/A</v>
      </c>
      <c r="E70" s="8" t="e">
        <v>#N/A</v>
      </c>
      <c r="F70" s="8">
        <v>0.5</v>
      </c>
      <c r="G70" s="8">
        <v>0.5</v>
      </c>
      <c r="H70" s="8">
        <f t="shared" si="6"/>
        <v>0.25</v>
      </c>
      <c r="I70" s="26">
        <f t="shared" si="7"/>
        <v>1.3490248477529183E-3</v>
      </c>
      <c r="J70" s="26">
        <f t="shared" si="8"/>
        <v>0.26455000385435651</v>
      </c>
      <c r="K70" s="26">
        <f t="shared" si="9"/>
        <v>5.0993189495306184E-3</v>
      </c>
      <c r="L70" s="27">
        <f t="shared" si="10"/>
        <v>3.88337599793636E-2</v>
      </c>
      <c r="M70" s="27">
        <f t="shared" si="11"/>
        <v>7.6126901302180414</v>
      </c>
      <c r="N70" s="27"/>
      <c r="O70" s="27"/>
      <c r="P70"/>
    </row>
    <row r="71" spans="1:16" ht="15">
      <c r="A71" s="17" t="s">
        <v>538</v>
      </c>
      <c r="B71" s="14" t="s">
        <v>138</v>
      </c>
      <c r="C71" s="25">
        <f>VLOOKUP(B71,'Consensus Phospho site'!B:G,6,FALSE)</f>
        <v>4.6380759051314622E-3</v>
      </c>
      <c r="D71" s="17" t="e">
        <v>#N/A</v>
      </c>
      <c r="E71" s="8" t="e">
        <v>#N/A</v>
      </c>
      <c r="F71" s="8">
        <v>0.5</v>
      </c>
      <c r="G71" s="8">
        <v>0.5</v>
      </c>
      <c r="H71" s="8">
        <f t="shared" si="6"/>
        <v>0.25</v>
      </c>
      <c r="I71" s="26">
        <f t="shared" si="7"/>
        <v>1.1595189762828655E-3</v>
      </c>
      <c r="J71" s="26">
        <f t="shared" si="8"/>
        <v>0.26455000385435651</v>
      </c>
      <c r="K71" s="26">
        <f t="shared" si="9"/>
        <v>4.3829860494775082E-3</v>
      </c>
      <c r="L71" s="27">
        <f t="shared" si="10"/>
        <v>3.4335743790018552E-2</v>
      </c>
      <c r="M71" s="27">
        <f t="shared" si="11"/>
        <v>7.6126901302180414</v>
      </c>
      <c r="N71" s="27"/>
      <c r="O71" s="27"/>
      <c r="P71"/>
    </row>
    <row r="72" spans="1:16" ht="15">
      <c r="A72" s="17" t="s">
        <v>538</v>
      </c>
      <c r="B72" s="14" t="s">
        <v>140</v>
      </c>
      <c r="C72" s="25">
        <f>VLOOKUP(B72,'Consensus Phospho site'!B:G,6,FALSE)</f>
        <v>4.6380759051314622E-3</v>
      </c>
      <c r="D72" s="17" t="e">
        <v>#N/A</v>
      </c>
      <c r="E72" s="8" t="e">
        <v>#N/A</v>
      </c>
      <c r="F72" s="8">
        <v>0.5</v>
      </c>
      <c r="G72" s="8">
        <v>0.5</v>
      </c>
      <c r="H72" s="8">
        <f t="shared" si="6"/>
        <v>0.25</v>
      </c>
      <c r="I72" s="26">
        <f t="shared" si="7"/>
        <v>1.1595189762828655E-3</v>
      </c>
      <c r="J72" s="26">
        <f t="shared" si="8"/>
        <v>0.26455000385435651</v>
      </c>
      <c r="K72" s="26">
        <f t="shared" si="9"/>
        <v>4.3829860494775082E-3</v>
      </c>
      <c r="L72" s="27">
        <f t="shared" si="10"/>
        <v>3.4335743790018552E-2</v>
      </c>
      <c r="M72" s="27">
        <f t="shared" si="11"/>
        <v>7.6126901302180414</v>
      </c>
      <c r="N72" s="27"/>
      <c r="O72" s="27"/>
      <c r="P72"/>
    </row>
    <row r="73" spans="1:16" ht="15">
      <c r="A73" s="17" t="s">
        <v>538</v>
      </c>
      <c r="B73" s="14" t="s">
        <v>147</v>
      </c>
      <c r="C73" s="25">
        <f>VLOOKUP(B73,'Consensus Phospho site'!B:G,6,FALSE)</f>
        <v>4.6380759051314622E-3</v>
      </c>
      <c r="D73" s="17" t="e">
        <v>#N/A</v>
      </c>
      <c r="E73" s="8" t="e">
        <v>#N/A</v>
      </c>
      <c r="F73" s="8">
        <v>0.5</v>
      </c>
      <c r="G73" s="8">
        <v>0.5</v>
      </c>
      <c r="H73" s="8">
        <f t="shared" si="6"/>
        <v>0.25</v>
      </c>
      <c r="I73" s="26">
        <f t="shared" si="7"/>
        <v>1.1595189762828655E-3</v>
      </c>
      <c r="J73" s="26">
        <f t="shared" si="8"/>
        <v>0.26455000385435651</v>
      </c>
      <c r="K73" s="26">
        <f t="shared" si="9"/>
        <v>4.3829860494775082E-3</v>
      </c>
      <c r="L73" s="27">
        <f t="shared" si="10"/>
        <v>3.4335743790018552E-2</v>
      </c>
      <c r="M73" s="27">
        <f t="shared" si="11"/>
        <v>7.6126901302180414</v>
      </c>
      <c r="N73" s="27"/>
      <c r="O73" s="27"/>
      <c r="P73"/>
    </row>
    <row r="74" spans="1:16" ht="15">
      <c r="A74" s="17" t="s">
        <v>538</v>
      </c>
      <c r="B74" s="14" t="s">
        <v>149</v>
      </c>
      <c r="C74" s="25">
        <f>VLOOKUP(B74,'Consensus Phospho site'!B:G,6,FALSE)</f>
        <v>4.6380759051314622E-3</v>
      </c>
      <c r="D74" s="17" t="e">
        <v>#N/A</v>
      </c>
      <c r="E74" s="8" t="e">
        <v>#N/A</v>
      </c>
      <c r="F74" s="8">
        <v>0.5</v>
      </c>
      <c r="G74" s="8">
        <v>0.5</v>
      </c>
      <c r="H74" s="8">
        <f t="shared" si="6"/>
        <v>0.25</v>
      </c>
      <c r="I74" s="26">
        <f t="shared" si="7"/>
        <v>1.1595189762828655E-3</v>
      </c>
      <c r="J74" s="26">
        <f t="shared" si="8"/>
        <v>0.26455000385435651</v>
      </c>
      <c r="K74" s="26">
        <f t="shared" si="9"/>
        <v>4.3829860494775082E-3</v>
      </c>
      <c r="L74" s="27">
        <f t="shared" si="10"/>
        <v>3.4335743790018552E-2</v>
      </c>
      <c r="M74" s="27">
        <f t="shared" si="11"/>
        <v>7.6126901302180414</v>
      </c>
      <c r="N74" s="27"/>
      <c r="O74" s="27"/>
      <c r="P74"/>
    </row>
    <row r="75" spans="1:16" ht="15">
      <c r="A75" s="17" t="s">
        <v>539</v>
      </c>
      <c r="B75" s="14" t="s">
        <v>289</v>
      </c>
      <c r="C75" s="25">
        <f>VLOOKUP(B75,'Consensus Phospho site'!B:G,6,FALSE)</f>
        <v>4.6380759051314622E-3</v>
      </c>
      <c r="D75" s="17" t="e">
        <v>#N/A</v>
      </c>
      <c r="E75" s="8" t="e">
        <v>#N/A</v>
      </c>
      <c r="F75" s="8">
        <v>0.5</v>
      </c>
      <c r="G75" s="8">
        <v>0.5</v>
      </c>
      <c r="H75" s="8">
        <f t="shared" si="6"/>
        <v>0.25</v>
      </c>
      <c r="I75" s="26">
        <f t="shared" si="7"/>
        <v>1.1595189762828655E-3</v>
      </c>
      <c r="J75" s="26">
        <f t="shared" si="8"/>
        <v>0.26455000385435651</v>
      </c>
      <c r="K75" s="26">
        <f t="shared" si="9"/>
        <v>4.3829860494775082E-3</v>
      </c>
      <c r="L75" s="27">
        <f t="shared" si="10"/>
        <v>3.4335743790018552E-2</v>
      </c>
      <c r="M75" s="27">
        <f t="shared" si="11"/>
        <v>7.6126901302180414</v>
      </c>
      <c r="N75" s="27"/>
      <c r="O75" s="27"/>
      <c r="P75"/>
    </row>
    <row r="76" spans="1:16" ht="15">
      <c r="A76" s="17" t="s">
        <v>539</v>
      </c>
      <c r="B76" s="14" t="s">
        <v>299</v>
      </c>
      <c r="C76" s="25">
        <f>VLOOKUP(B76,'Consensus Phospho site'!B:G,6,FALSE)</f>
        <v>4.6380759051314622E-3</v>
      </c>
      <c r="D76" s="17" t="e">
        <v>#N/A</v>
      </c>
      <c r="E76" s="8" t="e">
        <v>#N/A</v>
      </c>
      <c r="F76" s="8">
        <v>0.5</v>
      </c>
      <c r="G76" s="8">
        <v>0.5</v>
      </c>
      <c r="H76" s="8">
        <f t="shared" si="6"/>
        <v>0.25</v>
      </c>
      <c r="I76" s="26">
        <f t="shared" si="7"/>
        <v>1.1595189762828655E-3</v>
      </c>
      <c r="J76" s="26">
        <f t="shared" si="8"/>
        <v>0.26455000385435651</v>
      </c>
      <c r="K76" s="26">
        <f t="shared" si="9"/>
        <v>4.3829860494775082E-3</v>
      </c>
      <c r="L76" s="27">
        <f t="shared" si="10"/>
        <v>3.4335743790018552E-2</v>
      </c>
      <c r="M76" s="27">
        <f t="shared" si="11"/>
        <v>7.6126901302180414</v>
      </c>
      <c r="N76" s="27"/>
      <c r="O76" s="27"/>
      <c r="P76"/>
    </row>
    <row r="77" spans="1:16" ht="15">
      <c r="A77" s="17" t="s">
        <v>539</v>
      </c>
      <c r="B77" s="14" t="s">
        <v>308</v>
      </c>
      <c r="C77" s="25">
        <f>VLOOKUP(B77,'Consensus Phospho site'!B:G,6,FALSE)</f>
        <v>4.6380759051314622E-3</v>
      </c>
      <c r="D77" s="17" t="e">
        <v>#N/A</v>
      </c>
      <c r="E77" s="8" t="e">
        <v>#N/A</v>
      </c>
      <c r="F77" s="8">
        <v>0.5</v>
      </c>
      <c r="G77" s="8">
        <v>0.5</v>
      </c>
      <c r="H77" s="8">
        <f t="shared" si="6"/>
        <v>0.25</v>
      </c>
      <c r="I77" s="26">
        <f t="shared" si="7"/>
        <v>1.1595189762828655E-3</v>
      </c>
      <c r="J77" s="26">
        <f t="shared" si="8"/>
        <v>0.26455000385435651</v>
      </c>
      <c r="K77" s="26">
        <f t="shared" si="9"/>
        <v>4.3829860494775082E-3</v>
      </c>
      <c r="L77" s="27">
        <f t="shared" si="10"/>
        <v>3.4335743790018552E-2</v>
      </c>
      <c r="M77" s="27">
        <f t="shared" si="11"/>
        <v>7.6126901302180414</v>
      </c>
      <c r="N77" s="27"/>
      <c r="O77" s="27"/>
      <c r="P77"/>
    </row>
    <row r="78" spans="1:16" ht="15">
      <c r="A78" s="17" t="s">
        <v>540</v>
      </c>
      <c r="B78" s="14" t="s">
        <v>236</v>
      </c>
      <c r="C78" s="25">
        <f>VLOOKUP(B78,'Consensus Phospho site'!B:G,6,FALSE)</f>
        <v>4.6380759051314622E-3</v>
      </c>
      <c r="D78" s="17" t="e">
        <v>#N/A</v>
      </c>
      <c r="E78" s="8" t="e">
        <v>#N/A</v>
      </c>
      <c r="F78" s="8">
        <v>0.5</v>
      </c>
      <c r="G78" s="8">
        <v>0.5</v>
      </c>
      <c r="H78" s="8">
        <f t="shared" si="6"/>
        <v>0.25</v>
      </c>
      <c r="I78" s="26">
        <f t="shared" si="7"/>
        <v>1.1595189762828655E-3</v>
      </c>
      <c r="J78" s="26">
        <f t="shared" si="8"/>
        <v>0.26455000385435651</v>
      </c>
      <c r="K78" s="26">
        <f t="shared" si="9"/>
        <v>4.3829860494775082E-3</v>
      </c>
      <c r="L78" s="27">
        <f t="shared" si="10"/>
        <v>3.4335743790018552E-2</v>
      </c>
      <c r="M78" s="27">
        <f t="shared" si="11"/>
        <v>7.6126901302180414</v>
      </c>
      <c r="N78" s="27"/>
      <c r="O78" s="27"/>
      <c r="P78"/>
    </row>
    <row r="79" spans="1:16" ht="15">
      <c r="A79" s="17" t="s">
        <v>540</v>
      </c>
      <c r="B79" s="14" t="s">
        <v>247</v>
      </c>
      <c r="C79" s="25">
        <f>VLOOKUP(B79,'Consensus Phospho site'!B:G,6,FALSE)</f>
        <v>4.6380759051314622E-3</v>
      </c>
      <c r="D79" s="17" t="e">
        <v>#N/A</v>
      </c>
      <c r="E79" s="8" t="e">
        <v>#N/A</v>
      </c>
      <c r="F79" s="8">
        <v>0.5</v>
      </c>
      <c r="G79" s="8">
        <v>0.5</v>
      </c>
      <c r="H79" s="8">
        <f t="shared" si="6"/>
        <v>0.25</v>
      </c>
      <c r="I79" s="26">
        <f t="shared" si="7"/>
        <v>1.1595189762828655E-3</v>
      </c>
      <c r="J79" s="26">
        <f t="shared" si="8"/>
        <v>0.26455000385435651</v>
      </c>
      <c r="K79" s="26">
        <f t="shared" si="9"/>
        <v>4.3829860494775082E-3</v>
      </c>
      <c r="L79" s="27">
        <f t="shared" si="10"/>
        <v>3.4335743790018552E-2</v>
      </c>
      <c r="M79" s="27">
        <f t="shared" si="11"/>
        <v>7.6126901302180414</v>
      </c>
      <c r="N79" s="27"/>
      <c r="O79" s="27"/>
      <c r="P79"/>
    </row>
    <row r="80" spans="1:16" ht="15">
      <c r="A80" s="17" t="s">
        <v>540</v>
      </c>
      <c r="B80" s="14" t="s">
        <v>255</v>
      </c>
      <c r="C80" s="25">
        <f>VLOOKUP(B80,'Consensus Phospho site'!B:G,6,FALSE)</f>
        <v>4.6380759051314622E-3</v>
      </c>
      <c r="D80" s="17" t="e">
        <v>#N/A</v>
      </c>
      <c r="E80" s="8" t="e">
        <v>#N/A</v>
      </c>
      <c r="F80" s="8">
        <v>0.5</v>
      </c>
      <c r="G80" s="8">
        <v>0.5</v>
      </c>
      <c r="H80" s="8">
        <f t="shared" si="6"/>
        <v>0.25</v>
      </c>
      <c r="I80" s="26">
        <f t="shared" si="7"/>
        <v>1.1595189762828655E-3</v>
      </c>
      <c r="J80" s="26">
        <f t="shared" si="8"/>
        <v>0.26455000385435651</v>
      </c>
      <c r="K80" s="26">
        <f t="shared" si="9"/>
        <v>4.3829860494775082E-3</v>
      </c>
      <c r="L80" s="27">
        <f t="shared" si="10"/>
        <v>3.4335743790018552E-2</v>
      </c>
      <c r="M80" s="27">
        <f t="shared" si="11"/>
        <v>7.6126901302180414</v>
      </c>
      <c r="N80" s="27"/>
      <c r="O80" s="27"/>
      <c r="P80"/>
    </row>
    <row r="81" spans="1:16" ht="15">
      <c r="A81" s="17" t="s">
        <v>540</v>
      </c>
      <c r="B81" s="14" t="s">
        <v>257</v>
      </c>
      <c r="C81" s="25">
        <f>VLOOKUP(B81,'Consensus Phospho site'!B:G,6,FALSE)</f>
        <v>4.6380759051314622E-3</v>
      </c>
      <c r="D81" s="17" t="s">
        <v>556</v>
      </c>
      <c r="E81" s="8" t="s">
        <v>921</v>
      </c>
      <c r="F81" s="8">
        <v>0.5</v>
      </c>
      <c r="G81" s="8">
        <v>0.5</v>
      </c>
      <c r="H81" s="8">
        <f t="shared" si="6"/>
        <v>0.25</v>
      </c>
      <c r="I81" s="26">
        <f t="shared" si="7"/>
        <v>1.1595189762828655E-3</v>
      </c>
      <c r="J81" s="26">
        <f t="shared" si="8"/>
        <v>0.26455000385435651</v>
      </c>
      <c r="K81" s="26">
        <f t="shared" si="9"/>
        <v>4.3829860494775082E-3</v>
      </c>
      <c r="L81" s="27">
        <f t="shared" si="10"/>
        <v>3.4335743790018552E-2</v>
      </c>
      <c r="M81" s="27">
        <f t="shared" si="11"/>
        <v>7.6126901302180414</v>
      </c>
      <c r="N81" s="27"/>
      <c r="O81" s="27"/>
      <c r="P81"/>
    </row>
    <row r="82" spans="1:16" ht="15">
      <c r="A82" s="17" t="s">
        <v>541</v>
      </c>
      <c r="B82" s="14" t="s">
        <v>220</v>
      </c>
      <c r="C82" s="25">
        <f>VLOOKUP(B82,'Consensus Phospho site'!B:G,6,FALSE)</f>
        <v>4.6380759051314622E-3</v>
      </c>
      <c r="D82" s="17" t="e">
        <v>#N/A</v>
      </c>
      <c r="E82" s="8" t="e">
        <v>#N/A</v>
      </c>
      <c r="F82" s="8">
        <v>0.5</v>
      </c>
      <c r="G82" s="8">
        <v>0.5</v>
      </c>
      <c r="H82" s="8">
        <f t="shared" si="6"/>
        <v>0.25</v>
      </c>
      <c r="I82" s="26">
        <f t="shared" si="7"/>
        <v>1.1595189762828655E-3</v>
      </c>
      <c r="J82" s="26">
        <f t="shared" si="8"/>
        <v>0.26455000385435651</v>
      </c>
      <c r="K82" s="26">
        <f t="shared" si="9"/>
        <v>4.3829860494775082E-3</v>
      </c>
      <c r="L82" s="27">
        <f t="shared" si="10"/>
        <v>3.4335743790018552E-2</v>
      </c>
      <c r="M82" s="27">
        <f t="shared" si="11"/>
        <v>7.6126901302180414</v>
      </c>
      <c r="N82" s="27"/>
      <c r="O82" s="27"/>
      <c r="P82"/>
    </row>
    <row r="83" spans="1:16" ht="15">
      <c r="A83" s="17" t="s">
        <v>541</v>
      </c>
      <c r="B83" s="14" t="s">
        <v>222</v>
      </c>
      <c r="C83" s="25">
        <f>VLOOKUP(B83,'Consensus Phospho site'!B:G,6,FALSE)</f>
        <v>4.6380759051314622E-3</v>
      </c>
      <c r="D83" s="17" t="e">
        <v>#N/A</v>
      </c>
      <c r="E83" s="8" t="e">
        <v>#N/A</v>
      </c>
      <c r="F83" s="8">
        <v>0.5</v>
      </c>
      <c r="G83" s="8">
        <v>0.5</v>
      </c>
      <c r="H83" s="8">
        <f t="shared" si="6"/>
        <v>0.25</v>
      </c>
      <c r="I83" s="26">
        <f t="shared" si="7"/>
        <v>1.1595189762828655E-3</v>
      </c>
      <c r="J83" s="26">
        <f t="shared" si="8"/>
        <v>0.26455000385435651</v>
      </c>
      <c r="K83" s="26">
        <f t="shared" si="9"/>
        <v>4.3829860494775082E-3</v>
      </c>
      <c r="L83" s="27">
        <f t="shared" si="10"/>
        <v>3.4335743790018552E-2</v>
      </c>
      <c r="M83" s="27">
        <f t="shared" si="11"/>
        <v>7.6126901302180414</v>
      </c>
      <c r="N83" s="27"/>
      <c r="O83" s="27"/>
      <c r="P83"/>
    </row>
    <row r="84" spans="1:16" ht="15">
      <c r="A84" s="17" t="s">
        <v>540</v>
      </c>
      <c r="B84" s="14" t="s">
        <v>272</v>
      </c>
      <c r="C84" s="25">
        <f>VLOOKUP(B84,'Consensus Phospho site'!B:G,6,FALSE)</f>
        <v>4.6380759051314622E-3</v>
      </c>
      <c r="D84" s="17" t="e">
        <v>#N/A</v>
      </c>
      <c r="E84" s="8" t="e">
        <v>#N/A</v>
      </c>
      <c r="F84" s="8">
        <v>0.5</v>
      </c>
      <c r="G84" s="8">
        <v>0.5</v>
      </c>
      <c r="H84" s="8">
        <f t="shared" si="6"/>
        <v>0.25</v>
      </c>
      <c r="I84" s="26">
        <f t="shared" si="7"/>
        <v>1.1595189762828655E-3</v>
      </c>
      <c r="J84" s="26">
        <f t="shared" si="8"/>
        <v>0.26455000385435651</v>
      </c>
      <c r="K84" s="26">
        <f t="shared" si="9"/>
        <v>4.3829860494775082E-3</v>
      </c>
      <c r="L84" s="27">
        <f t="shared" si="10"/>
        <v>3.4335743790018552E-2</v>
      </c>
      <c r="M84" s="27">
        <f t="shared" si="11"/>
        <v>7.6126901302180414</v>
      </c>
      <c r="N84" s="27"/>
      <c r="O84" s="27"/>
      <c r="P84"/>
    </row>
    <row r="85" spans="1:16" ht="15">
      <c r="A85" s="17" t="s">
        <v>540</v>
      </c>
      <c r="B85" s="14" t="s">
        <v>273</v>
      </c>
      <c r="C85" s="25">
        <f>VLOOKUP(B85,'Consensus Phospho site'!B:G,6,FALSE)</f>
        <v>4.6380759051314622E-3</v>
      </c>
      <c r="D85" s="17" t="e">
        <v>#N/A</v>
      </c>
      <c r="E85" s="8" t="e">
        <v>#N/A</v>
      </c>
      <c r="F85" s="8">
        <v>0.5</v>
      </c>
      <c r="G85" s="8">
        <v>0.5</v>
      </c>
      <c r="H85" s="8">
        <f t="shared" si="6"/>
        <v>0.25</v>
      </c>
      <c r="I85" s="26">
        <f t="shared" si="7"/>
        <v>1.1595189762828655E-3</v>
      </c>
      <c r="J85" s="26">
        <f t="shared" si="8"/>
        <v>0.26455000385435651</v>
      </c>
      <c r="K85" s="26">
        <f t="shared" si="9"/>
        <v>4.3829860494775082E-3</v>
      </c>
      <c r="L85" s="27">
        <f t="shared" si="10"/>
        <v>3.4335743790018552E-2</v>
      </c>
      <c r="M85" s="27">
        <f t="shared" si="11"/>
        <v>7.6126901302180414</v>
      </c>
      <c r="N85" s="27"/>
      <c r="O85" s="27"/>
      <c r="P85"/>
    </row>
    <row r="86" spans="1:16" ht="15">
      <c r="A86" s="17" t="s">
        <v>540</v>
      </c>
      <c r="B86" s="14" t="s">
        <v>275</v>
      </c>
      <c r="C86" s="25">
        <f>VLOOKUP(B86,'Consensus Phospho site'!B:G,6,FALSE)</f>
        <v>4.6380759051314622E-3</v>
      </c>
      <c r="D86" s="17" t="e">
        <v>#N/A</v>
      </c>
      <c r="E86" s="8" t="e">
        <v>#N/A</v>
      </c>
      <c r="F86" s="8">
        <v>0.5</v>
      </c>
      <c r="G86" s="8">
        <v>0.5</v>
      </c>
      <c r="H86" s="8">
        <f t="shared" si="6"/>
        <v>0.25</v>
      </c>
      <c r="I86" s="26">
        <f t="shared" si="7"/>
        <v>1.1595189762828655E-3</v>
      </c>
      <c r="J86" s="26">
        <f t="shared" si="8"/>
        <v>0.26455000385435651</v>
      </c>
      <c r="K86" s="26">
        <f t="shared" si="9"/>
        <v>4.3829860494775082E-3</v>
      </c>
      <c r="L86" s="27">
        <f t="shared" si="10"/>
        <v>3.4335743790018552E-2</v>
      </c>
      <c r="M86" s="27">
        <f t="shared" si="11"/>
        <v>7.6126901302180414</v>
      </c>
      <c r="N86" s="27"/>
      <c r="O86" s="27"/>
      <c r="P86"/>
    </row>
    <row r="87" spans="1:16" ht="15">
      <c r="A87" s="17" t="s">
        <v>540</v>
      </c>
      <c r="B87" s="14" t="s">
        <v>276</v>
      </c>
      <c r="C87" s="25">
        <f>VLOOKUP(B87,'Consensus Phospho site'!B:G,6,FALSE)</f>
        <v>4.6380759051314622E-3</v>
      </c>
      <c r="D87" s="17" t="e">
        <v>#N/A</v>
      </c>
      <c r="E87" s="8" t="e">
        <v>#N/A</v>
      </c>
      <c r="F87" s="8">
        <v>0.5</v>
      </c>
      <c r="G87" s="8">
        <v>0.5</v>
      </c>
      <c r="H87" s="8">
        <f t="shared" si="6"/>
        <v>0.25</v>
      </c>
      <c r="I87" s="26">
        <f t="shared" si="7"/>
        <v>1.1595189762828655E-3</v>
      </c>
      <c r="J87" s="26">
        <f t="shared" si="8"/>
        <v>0.26455000385435651</v>
      </c>
      <c r="K87" s="26">
        <f t="shared" si="9"/>
        <v>4.3829860494775082E-3</v>
      </c>
      <c r="L87" s="27">
        <f t="shared" si="10"/>
        <v>3.4335743790018552E-2</v>
      </c>
      <c r="M87" s="27">
        <f t="shared" si="11"/>
        <v>7.6126901302180414</v>
      </c>
      <c r="N87" s="27"/>
      <c r="O87" s="27"/>
      <c r="P87"/>
    </row>
    <row r="88" spans="1:16" ht="15">
      <c r="A88" s="17" t="s">
        <v>540</v>
      </c>
      <c r="B88" s="14" t="s">
        <v>277</v>
      </c>
      <c r="C88" s="25">
        <f>VLOOKUP(B88,'Consensus Phospho site'!B:G,6,FALSE)</f>
        <v>4.6380759051314622E-3</v>
      </c>
      <c r="D88" s="17" t="e">
        <v>#N/A</v>
      </c>
      <c r="E88" s="8" t="e">
        <v>#N/A</v>
      </c>
      <c r="F88" s="8">
        <v>0.5</v>
      </c>
      <c r="G88" s="8">
        <v>0.5</v>
      </c>
      <c r="H88" s="8">
        <f t="shared" si="6"/>
        <v>0.25</v>
      </c>
      <c r="I88" s="26">
        <f t="shared" si="7"/>
        <v>1.1595189762828655E-3</v>
      </c>
      <c r="J88" s="26">
        <f t="shared" si="8"/>
        <v>0.26455000385435651</v>
      </c>
      <c r="K88" s="26">
        <f t="shared" si="9"/>
        <v>4.3829860494775082E-3</v>
      </c>
      <c r="L88" s="27">
        <f t="shared" si="10"/>
        <v>3.4335743790018552E-2</v>
      </c>
      <c r="M88" s="27">
        <f t="shared" si="11"/>
        <v>7.6126901302180414</v>
      </c>
      <c r="N88" s="27"/>
      <c r="O88" s="27"/>
      <c r="P88"/>
    </row>
    <row r="89" spans="1:16" ht="15">
      <c r="A89" s="17" t="s">
        <v>540</v>
      </c>
      <c r="B89" s="14" t="s">
        <v>279</v>
      </c>
      <c r="C89" s="25">
        <f>VLOOKUP(B89,'Consensus Phospho site'!B:G,6,FALSE)</f>
        <v>4.6380759051314622E-3</v>
      </c>
      <c r="D89" s="17" t="e">
        <v>#N/A</v>
      </c>
      <c r="E89" s="8" t="e">
        <v>#N/A</v>
      </c>
      <c r="F89" s="8">
        <v>0.5</v>
      </c>
      <c r="G89" s="8">
        <v>0.5</v>
      </c>
      <c r="H89" s="8">
        <f t="shared" si="6"/>
        <v>0.25</v>
      </c>
      <c r="I89" s="26">
        <f t="shared" si="7"/>
        <v>1.1595189762828655E-3</v>
      </c>
      <c r="J89" s="26">
        <f t="shared" si="8"/>
        <v>0.26455000385435651</v>
      </c>
      <c r="K89" s="26">
        <f t="shared" si="9"/>
        <v>4.3829860494775082E-3</v>
      </c>
      <c r="L89" s="27">
        <f t="shared" si="10"/>
        <v>3.4335743790018552E-2</v>
      </c>
      <c r="M89" s="27">
        <f t="shared" si="11"/>
        <v>7.6126901302180414</v>
      </c>
      <c r="N89" s="27"/>
      <c r="O89" s="27"/>
      <c r="P89"/>
    </row>
    <row r="90" spans="1:16" ht="15">
      <c r="A90" s="17" t="s">
        <v>540</v>
      </c>
      <c r="B90" s="14" t="s">
        <v>282</v>
      </c>
      <c r="C90" s="25">
        <f>VLOOKUP(B90,'Consensus Phospho site'!B:G,6,FALSE)</f>
        <v>4.6380759051314622E-3</v>
      </c>
      <c r="D90" s="17" t="e">
        <v>#N/A</v>
      </c>
      <c r="E90" s="8" t="e">
        <v>#N/A</v>
      </c>
      <c r="F90" s="8">
        <v>0.5</v>
      </c>
      <c r="G90" s="8">
        <v>0.5</v>
      </c>
      <c r="H90" s="8">
        <f t="shared" si="6"/>
        <v>0.25</v>
      </c>
      <c r="I90" s="26">
        <f t="shared" si="7"/>
        <v>1.1595189762828655E-3</v>
      </c>
      <c r="J90" s="26">
        <f t="shared" si="8"/>
        <v>0.26455000385435651</v>
      </c>
      <c r="K90" s="26">
        <f t="shared" si="9"/>
        <v>4.3829860494775082E-3</v>
      </c>
      <c r="L90" s="27">
        <f t="shared" si="10"/>
        <v>3.4335743790018552E-2</v>
      </c>
      <c r="M90" s="27">
        <f t="shared" si="11"/>
        <v>7.6126901302180414</v>
      </c>
      <c r="N90" s="27"/>
      <c r="O90" s="27"/>
      <c r="P90"/>
    </row>
    <row r="91" spans="1:16" ht="15">
      <c r="A91" s="17" t="s">
        <v>540</v>
      </c>
      <c r="B91" s="14" t="s">
        <v>245</v>
      </c>
      <c r="C91" s="25">
        <f>VLOOKUP(B91,'Consensus Phospho site'!B:G,6,FALSE)</f>
        <v>3.4175296143073922E-3</v>
      </c>
      <c r="D91" s="17" t="s">
        <v>716</v>
      </c>
      <c r="E91" s="8" t="s">
        <v>921</v>
      </c>
      <c r="F91" s="8">
        <v>0.65</v>
      </c>
      <c r="G91" s="8">
        <v>0.5</v>
      </c>
      <c r="H91" s="8">
        <f t="shared" si="6"/>
        <v>0.32500000000000001</v>
      </c>
      <c r="I91" s="26">
        <f t="shared" si="7"/>
        <v>1.1106971246499025E-3</v>
      </c>
      <c r="J91" s="26">
        <f t="shared" si="8"/>
        <v>0.26455000385435651</v>
      </c>
      <c r="K91" s="26">
        <f t="shared" si="9"/>
        <v>4.198439268446875E-3</v>
      </c>
      <c r="L91" s="27">
        <f t="shared" si="10"/>
        <v>3.3150587467662036E-2</v>
      </c>
      <c r="M91" s="27">
        <f t="shared" si="11"/>
        <v>7.6126901302180414</v>
      </c>
      <c r="N91" s="27"/>
      <c r="O91" s="27"/>
      <c r="P91"/>
    </row>
    <row r="92" spans="1:16" ht="15">
      <c r="A92" s="17" t="s">
        <v>536</v>
      </c>
      <c r="B92" s="14" t="s">
        <v>423</v>
      </c>
      <c r="C92" s="25">
        <f>VLOOKUP(B92,'Consensus Phospho site'!B:G,6,FALSE)</f>
        <v>4.0684876360802301E-3</v>
      </c>
      <c r="D92" s="17" t="e">
        <v>#N/A</v>
      </c>
      <c r="E92" s="8" t="e">
        <v>#N/A</v>
      </c>
      <c r="F92" s="8">
        <v>0.5</v>
      </c>
      <c r="G92" s="8">
        <v>0.5</v>
      </c>
      <c r="H92" s="8">
        <f t="shared" si="6"/>
        <v>0.25</v>
      </c>
      <c r="I92" s="26">
        <f t="shared" si="7"/>
        <v>1.0171219090200575E-3</v>
      </c>
      <c r="J92" s="26">
        <f t="shared" si="8"/>
        <v>0.26455000385435651</v>
      </c>
      <c r="K92" s="26">
        <f t="shared" si="9"/>
        <v>3.8447246048048315E-3</v>
      </c>
      <c r="L92" s="27">
        <f t="shared" si="10"/>
        <v>3.0845856495788929E-2</v>
      </c>
      <c r="M92" s="27">
        <f t="shared" si="11"/>
        <v>7.6126901302180414</v>
      </c>
      <c r="N92" s="27"/>
      <c r="O92" s="27"/>
      <c r="P92"/>
    </row>
    <row r="93" spans="1:16" ht="15">
      <c r="A93" s="17" t="s">
        <v>536</v>
      </c>
      <c r="B93" s="14" t="s">
        <v>443</v>
      </c>
      <c r="C93" s="25">
        <f>VLOOKUP(B93,'Consensus Phospho site'!B:G,6,FALSE)</f>
        <v>4.0684876360802301E-3</v>
      </c>
      <c r="D93" s="17" t="e">
        <v>#N/A</v>
      </c>
      <c r="E93" s="8" t="e">
        <v>#N/A</v>
      </c>
      <c r="F93" s="8">
        <v>0.5</v>
      </c>
      <c r="G93" s="8">
        <v>0.5</v>
      </c>
      <c r="H93" s="8">
        <f t="shared" si="6"/>
        <v>0.25</v>
      </c>
      <c r="I93" s="26">
        <f t="shared" si="7"/>
        <v>1.0171219090200575E-3</v>
      </c>
      <c r="J93" s="26">
        <f t="shared" si="8"/>
        <v>0.26455000385435651</v>
      </c>
      <c r="K93" s="26">
        <f t="shared" si="9"/>
        <v>3.8447246048048315E-3</v>
      </c>
      <c r="L93" s="27">
        <f t="shared" si="10"/>
        <v>3.0845856495788929E-2</v>
      </c>
      <c r="M93" s="27">
        <f t="shared" si="11"/>
        <v>7.6126901302180414</v>
      </c>
      <c r="N93" s="27"/>
      <c r="O93" s="27"/>
      <c r="P93"/>
    </row>
    <row r="94" spans="1:16" ht="15">
      <c r="A94" s="17" t="s">
        <v>536</v>
      </c>
      <c r="B94" s="14" t="s">
        <v>452</v>
      </c>
      <c r="C94" s="25">
        <f>VLOOKUP(B94,'Consensus Phospho site'!B:G,6,FALSE)</f>
        <v>4.0684876360802301E-3</v>
      </c>
      <c r="D94" s="17" t="e">
        <v>#N/A</v>
      </c>
      <c r="E94" s="8" t="e">
        <v>#N/A</v>
      </c>
      <c r="F94" s="8">
        <v>0.5</v>
      </c>
      <c r="G94" s="8">
        <v>0.5</v>
      </c>
      <c r="H94" s="8">
        <f t="shared" si="6"/>
        <v>0.25</v>
      </c>
      <c r="I94" s="26">
        <f t="shared" si="7"/>
        <v>1.0171219090200575E-3</v>
      </c>
      <c r="J94" s="26">
        <f t="shared" si="8"/>
        <v>0.26455000385435651</v>
      </c>
      <c r="K94" s="26">
        <f t="shared" si="9"/>
        <v>3.8447246048048315E-3</v>
      </c>
      <c r="L94" s="27">
        <f t="shared" si="10"/>
        <v>3.0845856495788929E-2</v>
      </c>
      <c r="M94" s="27">
        <f t="shared" si="11"/>
        <v>7.6126901302180414</v>
      </c>
      <c r="N94" s="27"/>
      <c r="O94" s="27"/>
      <c r="P94"/>
    </row>
    <row r="95" spans="1:16" ht="15">
      <c r="A95" s="17" t="s">
        <v>538</v>
      </c>
      <c r="B95" s="14" t="s">
        <v>144</v>
      </c>
      <c r="C95" s="25">
        <f>VLOOKUP(B95,'Consensus Phospho site'!B:G,6,FALSE)</f>
        <v>3.4175296143073922E-3</v>
      </c>
      <c r="D95" s="17" t="e">
        <v>#N/A</v>
      </c>
      <c r="E95" s="8" t="e">
        <v>#N/A</v>
      </c>
      <c r="F95" s="8">
        <v>0.5</v>
      </c>
      <c r="G95" s="8">
        <v>0.5</v>
      </c>
      <c r="H95" s="8">
        <f t="shared" si="6"/>
        <v>0.25</v>
      </c>
      <c r="I95" s="26">
        <f t="shared" si="7"/>
        <v>8.5438240357684804E-4</v>
      </c>
      <c r="J95" s="26">
        <f t="shared" si="8"/>
        <v>0.26455000385435651</v>
      </c>
      <c r="K95" s="26">
        <f t="shared" si="9"/>
        <v>3.2295686680360574E-3</v>
      </c>
      <c r="L95" s="27">
        <f t="shared" si="10"/>
        <v>2.6722881177149282E-2</v>
      </c>
      <c r="M95" s="27">
        <f t="shared" si="11"/>
        <v>7.6126901302180414</v>
      </c>
      <c r="N95" s="27"/>
      <c r="O95" s="27"/>
      <c r="P95"/>
    </row>
    <row r="96" spans="1:16" ht="15">
      <c r="A96" s="17" t="s">
        <v>539</v>
      </c>
      <c r="B96" s="14" t="s">
        <v>298</v>
      </c>
      <c r="C96" s="25">
        <f>VLOOKUP(B96,'Consensus Phospho site'!B:G,6,FALSE)</f>
        <v>3.4175296143073922E-3</v>
      </c>
      <c r="D96" s="17" t="e">
        <v>#N/A</v>
      </c>
      <c r="E96" s="8" t="e">
        <v>#N/A</v>
      </c>
      <c r="F96" s="8">
        <v>0.5</v>
      </c>
      <c r="G96" s="8">
        <v>0.5</v>
      </c>
      <c r="H96" s="8">
        <f t="shared" si="6"/>
        <v>0.25</v>
      </c>
      <c r="I96" s="26">
        <f t="shared" si="7"/>
        <v>8.5438240357684804E-4</v>
      </c>
      <c r="J96" s="26">
        <f t="shared" si="8"/>
        <v>0.26455000385435651</v>
      </c>
      <c r="K96" s="26">
        <f t="shared" si="9"/>
        <v>3.2295686680360574E-3</v>
      </c>
      <c r="L96" s="27">
        <f t="shared" si="10"/>
        <v>2.6722881177149282E-2</v>
      </c>
      <c r="M96" s="27">
        <f t="shared" si="11"/>
        <v>7.6126901302180414</v>
      </c>
      <c r="N96" s="27"/>
      <c r="O96" s="27"/>
      <c r="P96"/>
    </row>
    <row r="97" spans="1:16" ht="15">
      <c r="A97" s="17" t="s">
        <v>539</v>
      </c>
      <c r="B97" s="14" t="s">
        <v>307</v>
      </c>
      <c r="C97" s="25">
        <f>VLOOKUP(B97,'Consensus Phospho site'!B:G,6,FALSE)</f>
        <v>3.4175296143073922E-3</v>
      </c>
      <c r="D97" s="17" t="e">
        <v>#N/A</v>
      </c>
      <c r="E97" s="8" t="e">
        <v>#N/A</v>
      </c>
      <c r="F97" s="8">
        <v>0.5</v>
      </c>
      <c r="G97" s="8">
        <v>0.5</v>
      </c>
      <c r="H97" s="8">
        <f t="shared" si="6"/>
        <v>0.25</v>
      </c>
      <c r="I97" s="26">
        <f t="shared" si="7"/>
        <v>8.5438240357684804E-4</v>
      </c>
      <c r="J97" s="26">
        <f t="shared" si="8"/>
        <v>0.26455000385435651</v>
      </c>
      <c r="K97" s="26">
        <f t="shared" si="9"/>
        <v>3.2295686680360574E-3</v>
      </c>
      <c r="L97" s="27">
        <f t="shared" si="10"/>
        <v>2.6722881177149282E-2</v>
      </c>
      <c r="M97" s="27">
        <f t="shared" si="11"/>
        <v>7.6126901302180414</v>
      </c>
      <c r="N97" s="27"/>
      <c r="O97" s="27"/>
      <c r="P97"/>
    </row>
    <row r="98" spans="1:16" ht="15">
      <c r="A98" s="17" t="s">
        <v>540</v>
      </c>
      <c r="B98" s="14" t="s">
        <v>233</v>
      </c>
      <c r="C98" s="25">
        <f>VLOOKUP(B98,'Consensus Phospho site'!B:G,6,FALSE)</f>
        <v>3.4175296143073922E-3</v>
      </c>
      <c r="D98" s="17" t="e">
        <v>#N/A</v>
      </c>
      <c r="E98" s="8" t="e">
        <v>#N/A</v>
      </c>
      <c r="F98" s="8">
        <v>0.5</v>
      </c>
      <c r="G98" s="8">
        <v>0.5</v>
      </c>
      <c r="H98" s="8">
        <f t="shared" si="6"/>
        <v>0.25</v>
      </c>
      <c r="I98" s="26">
        <f t="shared" si="7"/>
        <v>8.5438240357684804E-4</v>
      </c>
      <c r="J98" s="26">
        <f t="shared" si="8"/>
        <v>0.26455000385435651</v>
      </c>
      <c r="K98" s="26">
        <f t="shared" si="9"/>
        <v>3.2295686680360574E-3</v>
      </c>
      <c r="L98" s="27">
        <f t="shared" si="10"/>
        <v>2.6722881177149282E-2</v>
      </c>
      <c r="M98" s="27">
        <f t="shared" si="11"/>
        <v>7.6126901302180414</v>
      </c>
      <c r="N98" s="27"/>
      <c r="O98" s="27"/>
      <c r="P98"/>
    </row>
    <row r="99" spans="1:16" ht="15">
      <c r="A99" s="17" t="s">
        <v>540</v>
      </c>
      <c r="B99" s="14" t="s">
        <v>246</v>
      </c>
      <c r="C99" s="25">
        <f>VLOOKUP(B99,'Consensus Phospho site'!B:G,6,FALSE)</f>
        <v>3.4175296143073922E-3</v>
      </c>
      <c r="D99" s="17" t="e">
        <v>#N/A</v>
      </c>
      <c r="E99" s="8" t="e">
        <v>#N/A</v>
      </c>
      <c r="F99" s="8">
        <v>0.5</v>
      </c>
      <c r="G99" s="8">
        <v>0.5</v>
      </c>
      <c r="H99" s="8">
        <f t="shared" si="6"/>
        <v>0.25</v>
      </c>
      <c r="I99" s="26">
        <f t="shared" si="7"/>
        <v>8.5438240357684804E-4</v>
      </c>
      <c r="J99" s="26">
        <f t="shared" si="8"/>
        <v>0.26455000385435651</v>
      </c>
      <c r="K99" s="26">
        <f t="shared" si="9"/>
        <v>3.2295686680360574E-3</v>
      </c>
      <c r="L99" s="27">
        <f t="shared" si="10"/>
        <v>2.6722881177149282E-2</v>
      </c>
      <c r="M99" s="27">
        <f t="shared" si="11"/>
        <v>7.6126901302180414</v>
      </c>
      <c r="N99" s="27"/>
      <c r="O99" s="27"/>
      <c r="P99"/>
    </row>
    <row r="100" spans="1:16" ht="15">
      <c r="A100" s="17" t="s">
        <v>540</v>
      </c>
      <c r="B100" s="14" t="s">
        <v>256</v>
      </c>
      <c r="C100" s="25">
        <f>VLOOKUP(B100,'Consensus Phospho site'!B:G,6,FALSE)</f>
        <v>3.4175296143073922E-3</v>
      </c>
      <c r="D100" s="17" t="e">
        <v>#N/A</v>
      </c>
      <c r="E100" s="8" t="e">
        <v>#N/A</v>
      </c>
      <c r="F100" s="8">
        <v>0.5</v>
      </c>
      <c r="G100" s="8">
        <v>0.5</v>
      </c>
      <c r="H100" s="8">
        <f t="shared" si="6"/>
        <v>0.25</v>
      </c>
      <c r="I100" s="26">
        <f t="shared" si="7"/>
        <v>8.5438240357684804E-4</v>
      </c>
      <c r="J100" s="26">
        <f t="shared" si="8"/>
        <v>0.26455000385435651</v>
      </c>
      <c r="K100" s="26">
        <f t="shared" si="9"/>
        <v>3.2295686680360574E-3</v>
      </c>
      <c r="L100" s="27">
        <f t="shared" si="10"/>
        <v>2.6722881177149282E-2</v>
      </c>
      <c r="M100" s="27">
        <f t="shared" si="11"/>
        <v>7.6126901302180414</v>
      </c>
      <c r="N100" s="27"/>
      <c r="O100" s="27"/>
      <c r="P100"/>
    </row>
    <row r="101" spans="1:16" ht="15">
      <c r="A101" s="17" t="s">
        <v>541</v>
      </c>
      <c r="B101" s="14" t="s">
        <v>212</v>
      </c>
      <c r="C101" s="25">
        <f>VLOOKUP(B101,'Consensus Phospho site'!B:G,6,FALSE)</f>
        <v>3.4175296143073922E-3</v>
      </c>
      <c r="D101" s="17" t="e">
        <v>#N/A</v>
      </c>
      <c r="E101" s="8" t="e">
        <v>#N/A</v>
      </c>
      <c r="F101" s="8">
        <v>0.5</v>
      </c>
      <c r="G101" s="8">
        <v>0.5</v>
      </c>
      <c r="H101" s="8">
        <f t="shared" si="6"/>
        <v>0.25</v>
      </c>
      <c r="I101" s="26">
        <f t="shared" si="7"/>
        <v>8.5438240357684804E-4</v>
      </c>
      <c r="J101" s="26">
        <f t="shared" si="8"/>
        <v>0.26455000385435651</v>
      </c>
      <c r="K101" s="26">
        <f t="shared" si="9"/>
        <v>3.2295686680360574E-3</v>
      </c>
      <c r="L101" s="27">
        <f t="shared" si="10"/>
        <v>2.6722881177149282E-2</v>
      </c>
      <c r="M101" s="27">
        <f t="shared" si="11"/>
        <v>7.6126901302180414</v>
      </c>
      <c r="N101" s="27"/>
      <c r="O101" s="27"/>
      <c r="P101"/>
    </row>
    <row r="102" spans="1:16" ht="15">
      <c r="A102" s="17" t="s">
        <v>540</v>
      </c>
      <c r="B102" s="14" t="s">
        <v>265</v>
      </c>
      <c r="C102" s="25">
        <f>VLOOKUP(B102,'Consensus Phospho site'!B:G,6,FALSE)</f>
        <v>3.4175296143073922E-3</v>
      </c>
      <c r="D102" s="17" t="e">
        <v>#N/A</v>
      </c>
      <c r="E102" s="8" t="e">
        <v>#N/A</v>
      </c>
      <c r="F102" s="8">
        <v>0.5</v>
      </c>
      <c r="G102" s="8">
        <v>0.5</v>
      </c>
      <c r="H102" s="8">
        <f t="shared" si="6"/>
        <v>0.25</v>
      </c>
      <c r="I102" s="26">
        <f t="shared" si="7"/>
        <v>8.5438240357684804E-4</v>
      </c>
      <c r="J102" s="26">
        <f t="shared" si="8"/>
        <v>0.26455000385435651</v>
      </c>
      <c r="K102" s="26">
        <f t="shared" si="9"/>
        <v>3.2295686680360574E-3</v>
      </c>
      <c r="L102" s="27">
        <f t="shared" si="10"/>
        <v>2.6722881177149282E-2</v>
      </c>
      <c r="M102" s="27">
        <f t="shared" si="11"/>
        <v>7.6126901302180414</v>
      </c>
      <c r="N102" s="27"/>
      <c r="O102" s="27"/>
      <c r="P102"/>
    </row>
    <row r="103" spans="1:16" ht="15">
      <c r="A103" s="17" t="s">
        <v>540</v>
      </c>
      <c r="B103" s="14" t="s">
        <v>269</v>
      </c>
      <c r="C103" s="25">
        <f>VLOOKUP(B103,'Consensus Phospho site'!B:G,6,FALSE)</f>
        <v>3.4175296143073922E-3</v>
      </c>
      <c r="D103" s="17" t="e">
        <v>#N/A</v>
      </c>
      <c r="E103" s="8" t="e">
        <v>#N/A</v>
      </c>
      <c r="F103" s="8">
        <v>0.5</v>
      </c>
      <c r="G103" s="8">
        <v>0.5</v>
      </c>
      <c r="H103" s="8">
        <f t="shared" si="6"/>
        <v>0.25</v>
      </c>
      <c r="I103" s="26">
        <f t="shared" si="7"/>
        <v>8.5438240357684804E-4</v>
      </c>
      <c r="J103" s="26">
        <f t="shared" si="8"/>
        <v>0.26455000385435651</v>
      </c>
      <c r="K103" s="26">
        <f t="shared" si="9"/>
        <v>3.2295686680360574E-3</v>
      </c>
      <c r="L103" s="27">
        <f t="shared" si="10"/>
        <v>2.6722881177149282E-2</v>
      </c>
      <c r="M103" s="27">
        <f t="shared" si="11"/>
        <v>7.6126901302180414</v>
      </c>
      <c r="N103" s="27"/>
      <c r="O103" s="27"/>
      <c r="P103"/>
    </row>
    <row r="104" spans="1:16" ht="15">
      <c r="A104" s="17" t="s">
        <v>540</v>
      </c>
      <c r="B104" s="14" t="s">
        <v>270</v>
      </c>
      <c r="C104" s="25">
        <f>VLOOKUP(B104,'Consensus Phospho site'!B:G,6,FALSE)</f>
        <v>3.4175296143073922E-3</v>
      </c>
      <c r="D104" s="17" t="e">
        <v>#N/A</v>
      </c>
      <c r="E104" s="8" t="e">
        <v>#N/A</v>
      </c>
      <c r="F104" s="8">
        <v>0.5</v>
      </c>
      <c r="G104" s="8">
        <v>0.5</v>
      </c>
      <c r="H104" s="8">
        <f t="shared" si="6"/>
        <v>0.25</v>
      </c>
      <c r="I104" s="26">
        <f t="shared" si="7"/>
        <v>8.5438240357684804E-4</v>
      </c>
      <c r="J104" s="26">
        <f t="shared" si="8"/>
        <v>0.26455000385435651</v>
      </c>
      <c r="K104" s="26">
        <f t="shared" si="9"/>
        <v>3.2295686680360574E-3</v>
      </c>
      <c r="L104" s="27">
        <f t="shared" si="10"/>
        <v>2.6722881177149282E-2</v>
      </c>
      <c r="M104" s="27">
        <f t="shared" si="11"/>
        <v>7.6126901302180414</v>
      </c>
      <c r="N104" s="27"/>
      <c r="O104" s="27"/>
      <c r="P104"/>
    </row>
    <row r="105" spans="1:16" ht="15">
      <c r="A105" s="17" t="s">
        <v>539</v>
      </c>
      <c r="B105" s="14" t="s">
        <v>311</v>
      </c>
      <c r="C105" s="25">
        <f>VLOOKUP(B105,'Consensus Phospho site'!B:G,6,FALSE)</f>
        <v>3.4175296143073922E-3</v>
      </c>
      <c r="D105" s="17" t="e">
        <v>#N/A</v>
      </c>
      <c r="E105" s="8" t="e">
        <v>#N/A</v>
      </c>
      <c r="F105" s="8">
        <v>0.5</v>
      </c>
      <c r="G105" s="8">
        <v>0.5</v>
      </c>
      <c r="H105" s="8">
        <f t="shared" si="6"/>
        <v>0.25</v>
      </c>
      <c r="I105" s="26">
        <f t="shared" si="7"/>
        <v>8.5438240357684804E-4</v>
      </c>
      <c r="J105" s="26">
        <f t="shared" si="8"/>
        <v>0.26455000385435651</v>
      </c>
      <c r="K105" s="26">
        <f t="shared" si="9"/>
        <v>3.2295686680360574E-3</v>
      </c>
      <c r="L105" s="27">
        <f t="shared" si="10"/>
        <v>2.6722881177149282E-2</v>
      </c>
      <c r="M105" s="27">
        <f t="shared" si="11"/>
        <v>7.6126901302180414</v>
      </c>
      <c r="N105" s="27"/>
      <c r="O105" s="27"/>
      <c r="P105"/>
    </row>
    <row r="106" spans="1:16" ht="15">
      <c r="A106" s="17" t="s">
        <v>536</v>
      </c>
      <c r="B106" s="14" t="s">
        <v>430</v>
      </c>
      <c r="C106" s="25">
        <f>VLOOKUP(B106,'Consensus Phospho site'!B:G,6,FALSE)</f>
        <v>2.9978329950064849E-3</v>
      </c>
      <c r="D106" s="17" t="e">
        <v>#N/A</v>
      </c>
      <c r="E106" s="8" t="e">
        <v>#N/A</v>
      </c>
      <c r="F106" s="8">
        <v>0.5</v>
      </c>
      <c r="G106" s="8">
        <v>0.5</v>
      </c>
      <c r="H106" s="8">
        <f t="shared" si="6"/>
        <v>0.25</v>
      </c>
      <c r="I106" s="26">
        <f t="shared" si="7"/>
        <v>7.4945824875162124E-4</v>
      </c>
      <c r="J106" s="26">
        <f t="shared" si="8"/>
        <v>0.26455000385435651</v>
      </c>
      <c r="K106" s="26">
        <f t="shared" si="9"/>
        <v>2.8329549719614544E-3</v>
      </c>
      <c r="L106" s="27">
        <f t="shared" si="10"/>
        <v>2.3976648152279224E-2</v>
      </c>
      <c r="M106" s="27">
        <f t="shared" si="11"/>
        <v>7.6126901302180414</v>
      </c>
      <c r="N106" s="27"/>
      <c r="O106" s="27"/>
      <c r="P106"/>
    </row>
    <row r="107" spans="1:16" ht="15">
      <c r="A107" s="17" t="s">
        <v>536</v>
      </c>
      <c r="B107" s="14" t="s">
        <v>481</v>
      </c>
      <c r="C107" s="25">
        <f>VLOOKUP(B107,'Consensus Phospho site'!B:G,6,FALSE)</f>
        <v>2.9978329950064849E-3</v>
      </c>
      <c r="D107" s="17" t="e">
        <v>#N/A</v>
      </c>
      <c r="E107" s="8" t="e">
        <v>#N/A</v>
      </c>
      <c r="F107" s="8">
        <v>0.5</v>
      </c>
      <c r="G107" s="8">
        <v>0.5</v>
      </c>
      <c r="H107" s="8">
        <f t="shared" si="6"/>
        <v>0.25</v>
      </c>
      <c r="I107" s="26">
        <f t="shared" si="7"/>
        <v>7.4945824875162124E-4</v>
      </c>
      <c r="J107" s="26">
        <f t="shared" si="8"/>
        <v>0.26455000385435651</v>
      </c>
      <c r="K107" s="26">
        <f t="shared" si="9"/>
        <v>2.8329549719614544E-3</v>
      </c>
      <c r="L107" s="27">
        <f t="shared" si="10"/>
        <v>2.3976648152279224E-2</v>
      </c>
      <c r="M107" s="27">
        <f t="shared" si="11"/>
        <v>7.6126901302180414</v>
      </c>
      <c r="N107" s="27"/>
      <c r="O107" s="27"/>
      <c r="P107"/>
    </row>
    <row r="108" spans="1:16" ht="15">
      <c r="A108" s="17" t="s">
        <v>536</v>
      </c>
      <c r="B108" s="14" t="s">
        <v>487</v>
      </c>
      <c r="C108" s="25">
        <f>VLOOKUP(B108,'Consensus Phospho site'!B:G,6,FALSE)</f>
        <v>2.9978329950064849E-3</v>
      </c>
      <c r="D108" s="17" t="e">
        <v>#N/A</v>
      </c>
      <c r="E108" s="8" t="e">
        <v>#N/A</v>
      </c>
      <c r="F108" s="8">
        <v>0.5</v>
      </c>
      <c r="G108" s="8">
        <v>0.5</v>
      </c>
      <c r="H108" s="8">
        <f t="shared" si="6"/>
        <v>0.25</v>
      </c>
      <c r="I108" s="26">
        <f t="shared" si="7"/>
        <v>7.4945824875162124E-4</v>
      </c>
      <c r="J108" s="26">
        <f t="shared" si="8"/>
        <v>0.26455000385435651</v>
      </c>
      <c r="K108" s="26">
        <f t="shared" si="9"/>
        <v>2.8329549719614544E-3</v>
      </c>
      <c r="L108" s="27">
        <f t="shared" si="10"/>
        <v>2.3976648152279224E-2</v>
      </c>
      <c r="M108" s="27">
        <f t="shared" si="11"/>
        <v>7.6126901302180414</v>
      </c>
      <c r="N108" s="27"/>
      <c r="O108" s="27"/>
      <c r="P108"/>
    </row>
    <row r="109" spans="1:16" ht="15">
      <c r="A109" s="17" t="s">
        <v>538</v>
      </c>
      <c r="B109" s="14" t="s">
        <v>143</v>
      </c>
      <c r="C109" s="25">
        <f>VLOOKUP(B109,'Consensus Phospho site'!B:G,6,FALSE)</f>
        <v>2.4410925816481378E-3</v>
      </c>
      <c r="D109" s="17" t="e">
        <v>#N/A</v>
      </c>
      <c r="E109" s="8" t="e">
        <v>#N/A</v>
      </c>
      <c r="F109" s="8">
        <v>0.5</v>
      </c>
      <c r="G109" s="8">
        <v>0.5</v>
      </c>
      <c r="H109" s="8">
        <f t="shared" si="6"/>
        <v>0.25</v>
      </c>
      <c r="I109" s="26">
        <f t="shared" si="7"/>
        <v>6.1027314541203445E-4</v>
      </c>
      <c r="J109" s="26">
        <f t="shared" si="8"/>
        <v>0.26455000385435651</v>
      </c>
      <c r="K109" s="26">
        <f t="shared" si="9"/>
        <v>2.3068347628828986E-3</v>
      </c>
      <c r="L109" s="27">
        <f t="shared" si="10"/>
        <v>2.0207571749144608E-2</v>
      </c>
      <c r="M109" s="27">
        <f t="shared" si="11"/>
        <v>7.6126901302180414</v>
      </c>
      <c r="N109" s="27"/>
      <c r="O109" s="27"/>
      <c r="P109"/>
    </row>
    <row r="110" spans="1:16" ht="15">
      <c r="A110" s="17" t="s">
        <v>539</v>
      </c>
      <c r="B110" s="14" t="s">
        <v>287</v>
      </c>
      <c r="C110" s="25">
        <f>VLOOKUP(B110,'Consensus Phospho site'!B:G,6,FALSE)</f>
        <v>2.4410925816481378E-3</v>
      </c>
      <c r="D110" s="17" t="e">
        <v>#N/A</v>
      </c>
      <c r="E110" s="8" t="e">
        <v>#N/A</v>
      </c>
      <c r="F110" s="8">
        <v>0.5</v>
      </c>
      <c r="G110" s="8">
        <v>0.5</v>
      </c>
      <c r="H110" s="8">
        <f t="shared" si="6"/>
        <v>0.25</v>
      </c>
      <c r="I110" s="26">
        <f t="shared" si="7"/>
        <v>6.1027314541203445E-4</v>
      </c>
      <c r="J110" s="26">
        <f t="shared" si="8"/>
        <v>0.26455000385435651</v>
      </c>
      <c r="K110" s="26">
        <f t="shared" si="9"/>
        <v>2.3068347628828986E-3</v>
      </c>
      <c r="L110" s="27">
        <f t="shared" si="10"/>
        <v>2.0207571749144608E-2</v>
      </c>
      <c r="M110" s="27">
        <f t="shared" si="11"/>
        <v>7.6126901302180414</v>
      </c>
      <c r="N110" s="27"/>
      <c r="O110" s="27"/>
      <c r="P110"/>
    </row>
    <row r="111" spans="1:16" ht="15">
      <c r="A111" s="17" t="s">
        <v>539</v>
      </c>
      <c r="B111" s="14" t="s">
        <v>295</v>
      </c>
      <c r="C111" s="25">
        <f>VLOOKUP(B111,'Consensus Phospho site'!B:G,6,FALSE)</f>
        <v>2.4410925816481378E-3</v>
      </c>
      <c r="D111" s="17" t="e">
        <v>#N/A</v>
      </c>
      <c r="E111" s="8" t="e">
        <v>#N/A</v>
      </c>
      <c r="F111" s="8">
        <v>0.5</v>
      </c>
      <c r="G111" s="8">
        <v>0.5</v>
      </c>
      <c r="H111" s="8">
        <f t="shared" si="6"/>
        <v>0.25</v>
      </c>
      <c r="I111" s="26">
        <f t="shared" si="7"/>
        <v>6.1027314541203445E-4</v>
      </c>
      <c r="J111" s="26">
        <f t="shared" si="8"/>
        <v>0.26455000385435651</v>
      </c>
      <c r="K111" s="26">
        <f t="shared" si="9"/>
        <v>2.3068347628828986E-3</v>
      </c>
      <c r="L111" s="27">
        <f t="shared" si="10"/>
        <v>2.0207571749144608E-2</v>
      </c>
      <c r="M111" s="27">
        <f t="shared" si="11"/>
        <v>7.6126901302180414</v>
      </c>
      <c r="N111" s="27"/>
      <c r="O111" s="27"/>
      <c r="P111"/>
    </row>
    <row r="112" spans="1:16" ht="15">
      <c r="A112" s="17" t="s">
        <v>539</v>
      </c>
      <c r="B112" s="14" t="s">
        <v>297</v>
      </c>
      <c r="C112" s="25">
        <f>VLOOKUP(B112,'Consensus Phospho site'!B:G,6,FALSE)</f>
        <v>2.4410925816481378E-3</v>
      </c>
      <c r="D112" s="17" t="e">
        <v>#N/A</v>
      </c>
      <c r="E112" s="8" t="e">
        <v>#N/A</v>
      </c>
      <c r="F112" s="8">
        <v>0.5</v>
      </c>
      <c r="G112" s="8">
        <v>0.5</v>
      </c>
      <c r="H112" s="8">
        <f t="shared" si="6"/>
        <v>0.25</v>
      </c>
      <c r="I112" s="26">
        <f t="shared" si="7"/>
        <v>6.1027314541203445E-4</v>
      </c>
      <c r="J112" s="26">
        <f t="shared" si="8"/>
        <v>0.26455000385435651</v>
      </c>
      <c r="K112" s="26">
        <f t="shared" si="9"/>
        <v>2.3068347628828986E-3</v>
      </c>
      <c r="L112" s="27">
        <f t="shared" si="10"/>
        <v>2.0207571749144608E-2</v>
      </c>
      <c r="M112" s="27">
        <f t="shared" si="11"/>
        <v>7.6126901302180414</v>
      </c>
      <c r="N112" s="27"/>
      <c r="O112" s="27"/>
      <c r="P112"/>
    </row>
    <row r="113" spans="1:16" ht="15">
      <c r="A113" s="17" t="s">
        <v>539</v>
      </c>
      <c r="B113" s="14" t="s">
        <v>300</v>
      </c>
      <c r="C113" s="25">
        <f>VLOOKUP(B113,'Consensus Phospho site'!B:G,6,FALSE)</f>
        <v>2.4410925816481378E-3</v>
      </c>
      <c r="D113" s="17" t="e">
        <v>#N/A</v>
      </c>
      <c r="E113" s="8" t="e">
        <v>#N/A</v>
      </c>
      <c r="F113" s="8">
        <v>0.5</v>
      </c>
      <c r="G113" s="8">
        <v>0.5</v>
      </c>
      <c r="H113" s="8">
        <f t="shared" si="6"/>
        <v>0.25</v>
      </c>
      <c r="I113" s="26">
        <f t="shared" si="7"/>
        <v>6.1027314541203445E-4</v>
      </c>
      <c r="J113" s="26">
        <f t="shared" si="8"/>
        <v>0.26455000385435651</v>
      </c>
      <c r="K113" s="26">
        <f t="shared" si="9"/>
        <v>2.3068347628828986E-3</v>
      </c>
      <c r="L113" s="27">
        <f t="shared" si="10"/>
        <v>2.0207571749144608E-2</v>
      </c>
      <c r="M113" s="27">
        <f t="shared" si="11"/>
        <v>7.6126901302180414</v>
      </c>
      <c r="N113" s="27"/>
      <c r="O113" s="27"/>
      <c r="P113"/>
    </row>
    <row r="114" spans="1:16" ht="15">
      <c r="A114" s="17" t="s">
        <v>541</v>
      </c>
      <c r="B114" s="14" t="s">
        <v>215</v>
      </c>
      <c r="C114" s="25">
        <f>VLOOKUP(B114,'Consensus Phospho site'!B:G,6,FALSE)</f>
        <v>2.4410925816481378E-3</v>
      </c>
      <c r="D114" s="17" t="e">
        <v>#N/A</v>
      </c>
      <c r="E114" s="8" t="e">
        <v>#N/A</v>
      </c>
      <c r="F114" s="8">
        <v>0.5</v>
      </c>
      <c r="G114" s="8">
        <v>0.5</v>
      </c>
      <c r="H114" s="8">
        <f t="shared" si="6"/>
        <v>0.25</v>
      </c>
      <c r="I114" s="26">
        <f t="shared" si="7"/>
        <v>6.1027314541203445E-4</v>
      </c>
      <c r="J114" s="26">
        <f t="shared" si="8"/>
        <v>0.26455000385435651</v>
      </c>
      <c r="K114" s="26">
        <f t="shared" si="9"/>
        <v>2.3068347628828986E-3</v>
      </c>
      <c r="L114" s="27">
        <f t="shared" si="10"/>
        <v>2.0207571749144608E-2</v>
      </c>
      <c r="M114" s="27">
        <f t="shared" si="11"/>
        <v>7.6126901302180414</v>
      </c>
      <c r="N114" s="27"/>
      <c r="O114" s="27"/>
      <c r="P114"/>
    </row>
    <row r="115" spans="1:16" ht="15">
      <c r="A115" s="17" t="s">
        <v>539</v>
      </c>
      <c r="B115" s="14" t="s">
        <v>314</v>
      </c>
      <c r="C115" s="25">
        <f>VLOOKUP(B115,'Consensus Phospho site'!B:G,6,FALSE)</f>
        <v>2.4410925816481378E-3</v>
      </c>
      <c r="D115" s="17" t="e">
        <v>#N/A</v>
      </c>
      <c r="E115" s="8" t="e">
        <v>#N/A</v>
      </c>
      <c r="F115" s="8">
        <v>0.5</v>
      </c>
      <c r="G115" s="8">
        <v>0.5</v>
      </c>
      <c r="H115" s="8">
        <f t="shared" si="6"/>
        <v>0.25</v>
      </c>
      <c r="I115" s="26">
        <f t="shared" si="7"/>
        <v>6.1027314541203445E-4</v>
      </c>
      <c r="J115" s="26">
        <f t="shared" si="8"/>
        <v>0.26455000385435651</v>
      </c>
      <c r="K115" s="26">
        <f t="shared" si="9"/>
        <v>2.3068347628828986E-3</v>
      </c>
      <c r="L115" s="27">
        <f t="shared" si="10"/>
        <v>2.0207571749144608E-2</v>
      </c>
      <c r="M115" s="27">
        <f t="shared" si="11"/>
        <v>7.6126901302180414</v>
      </c>
      <c r="N115" s="27"/>
      <c r="O115" s="27"/>
      <c r="P115"/>
    </row>
    <row r="116" spans="1:16" ht="15">
      <c r="A116" s="17" t="s">
        <v>539</v>
      </c>
      <c r="B116" s="14" t="s">
        <v>318</v>
      </c>
      <c r="C116" s="25">
        <f>VLOOKUP(B116,'Consensus Phospho site'!B:G,6,FALSE)</f>
        <v>2.4410925816481378E-3</v>
      </c>
      <c r="D116" s="17" t="e">
        <v>#N/A</v>
      </c>
      <c r="E116" s="8" t="e">
        <v>#N/A</v>
      </c>
      <c r="F116" s="8">
        <v>0.5</v>
      </c>
      <c r="G116" s="8">
        <v>0.5</v>
      </c>
      <c r="H116" s="8">
        <f t="shared" si="6"/>
        <v>0.25</v>
      </c>
      <c r="I116" s="26">
        <f t="shared" si="7"/>
        <v>6.1027314541203445E-4</v>
      </c>
      <c r="J116" s="26">
        <f t="shared" si="8"/>
        <v>0.26455000385435651</v>
      </c>
      <c r="K116" s="26">
        <f t="shared" si="9"/>
        <v>2.3068347628828986E-3</v>
      </c>
      <c r="L116" s="27">
        <f t="shared" si="10"/>
        <v>2.0207571749144608E-2</v>
      </c>
      <c r="M116" s="27">
        <f t="shared" si="11"/>
        <v>7.6126901302180414</v>
      </c>
      <c r="N116" s="27"/>
      <c r="O116" s="27"/>
      <c r="P116"/>
    </row>
    <row r="117" spans="1:16" ht="15">
      <c r="A117" s="17" t="s">
        <v>524</v>
      </c>
      <c r="B117" s="14" t="s">
        <v>6</v>
      </c>
      <c r="C117" s="25">
        <f>VLOOKUP(B117,'Consensus Phospho site'!B:G,6,FALSE)</f>
        <v>1.5460253017104872E-3</v>
      </c>
      <c r="D117" s="17" t="s">
        <v>570</v>
      </c>
      <c r="E117" s="8" t="s">
        <v>921</v>
      </c>
      <c r="F117" s="8">
        <v>0.65</v>
      </c>
      <c r="G117" s="8">
        <v>0.5</v>
      </c>
      <c r="H117" s="8">
        <f t="shared" si="6"/>
        <v>0.32500000000000001</v>
      </c>
      <c r="I117" s="26">
        <f t="shared" si="7"/>
        <v>5.0245822305590839E-4</v>
      </c>
      <c r="J117" s="26">
        <f t="shared" si="8"/>
        <v>0.26455000385435651</v>
      </c>
      <c r="K117" s="26">
        <f t="shared" si="9"/>
        <v>1.8992939547735868E-3</v>
      </c>
      <c r="L117" s="27">
        <f t="shared" si="10"/>
        <v>1.7170227167313212E-2</v>
      </c>
      <c r="M117" s="27">
        <f t="shared" si="11"/>
        <v>7.6126901302180414</v>
      </c>
      <c r="N117" s="27"/>
      <c r="O117" s="27"/>
      <c r="P117"/>
    </row>
    <row r="118" spans="1:16" ht="15">
      <c r="A118" s="17" t="s">
        <v>535</v>
      </c>
      <c r="B118" s="14" t="s">
        <v>373</v>
      </c>
      <c r="C118" s="25">
        <f>VLOOKUP(B118,'Consensus Phospho site'!B:G,6,FALSE)</f>
        <v>1.5460253017104872E-3</v>
      </c>
      <c r="D118" s="17" t="s">
        <v>658</v>
      </c>
      <c r="E118" s="8" t="s">
        <v>921</v>
      </c>
      <c r="F118" s="8">
        <v>0.65</v>
      </c>
      <c r="G118" s="8">
        <v>0.5</v>
      </c>
      <c r="H118" s="8">
        <f t="shared" si="6"/>
        <v>0.32500000000000001</v>
      </c>
      <c r="I118" s="26">
        <f t="shared" si="7"/>
        <v>5.0245822305590839E-4</v>
      </c>
      <c r="J118" s="26">
        <f t="shared" si="8"/>
        <v>0.26455000385435651</v>
      </c>
      <c r="K118" s="26">
        <f t="shared" si="9"/>
        <v>1.8992939547735868E-3</v>
      </c>
      <c r="L118" s="27">
        <f t="shared" si="10"/>
        <v>1.7170227167313212E-2</v>
      </c>
      <c r="M118" s="27">
        <f t="shared" si="11"/>
        <v>7.6126901302180414</v>
      </c>
      <c r="N118" s="27"/>
      <c r="O118" s="27"/>
      <c r="P118"/>
    </row>
    <row r="119" spans="1:16" ht="15">
      <c r="A119" s="17" t="s">
        <v>524</v>
      </c>
      <c r="B119" s="14" t="s">
        <v>32</v>
      </c>
      <c r="C119" s="25">
        <f>VLOOKUP(B119,'Consensus Phospho site'!B:G,6,FALSE)</f>
        <v>1.5460253017104872E-3</v>
      </c>
      <c r="D119" s="17" t="s">
        <v>565</v>
      </c>
      <c r="E119" s="8" t="s">
        <v>921</v>
      </c>
      <c r="F119" s="8">
        <v>0.65</v>
      </c>
      <c r="G119" s="8">
        <v>0.5</v>
      </c>
      <c r="H119" s="8">
        <f t="shared" si="6"/>
        <v>0.32500000000000001</v>
      </c>
      <c r="I119" s="26">
        <f t="shared" si="7"/>
        <v>5.0245822305590839E-4</v>
      </c>
      <c r="J119" s="26">
        <f t="shared" si="8"/>
        <v>0.26455000385435651</v>
      </c>
      <c r="K119" s="26">
        <f t="shared" si="9"/>
        <v>1.8992939547735868E-3</v>
      </c>
      <c r="L119" s="27">
        <f t="shared" si="10"/>
        <v>1.7170227167313212E-2</v>
      </c>
      <c r="M119" s="27">
        <f t="shared" si="11"/>
        <v>7.6126901302180414</v>
      </c>
      <c r="N119" s="27"/>
      <c r="O119" s="27"/>
      <c r="P119"/>
    </row>
    <row r="120" spans="1:16" ht="15">
      <c r="A120" s="17" t="s">
        <v>535</v>
      </c>
      <c r="B120" s="14" t="s">
        <v>387</v>
      </c>
      <c r="C120" s="25">
        <f>VLOOKUP(B120,'Consensus Phospho site'!B:G,6,FALSE)</f>
        <v>1.5460253017104872E-3</v>
      </c>
      <c r="D120" s="17" t="s">
        <v>676</v>
      </c>
      <c r="E120" s="8" t="s">
        <v>921</v>
      </c>
      <c r="F120" s="8">
        <v>0.65</v>
      </c>
      <c r="G120" s="8">
        <v>0.5</v>
      </c>
      <c r="H120" s="8">
        <f t="shared" si="6"/>
        <v>0.32500000000000001</v>
      </c>
      <c r="I120" s="26">
        <f t="shared" si="7"/>
        <v>5.0245822305590839E-4</v>
      </c>
      <c r="J120" s="26">
        <f t="shared" si="8"/>
        <v>0.26455000385435651</v>
      </c>
      <c r="K120" s="26">
        <f t="shared" si="9"/>
        <v>1.8992939547735868E-3</v>
      </c>
      <c r="L120" s="27">
        <f t="shared" si="10"/>
        <v>1.7170227167313212E-2</v>
      </c>
      <c r="M120" s="27">
        <f t="shared" si="11"/>
        <v>7.6126901302180414</v>
      </c>
      <c r="N120" s="27"/>
      <c r="O120" s="27"/>
      <c r="P120"/>
    </row>
    <row r="121" spans="1:16" ht="15">
      <c r="A121" s="17" t="s">
        <v>536</v>
      </c>
      <c r="B121" s="14" t="s">
        <v>421</v>
      </c>
      <c r="C121" s="25">
        <f>VLOOKUP(B121,'Consensus Phospho site'!B:G,6,FALSE)</f>
        <v>7.7301265085524366E-3</v>
      </c>
      <c r="D121" s="17" t="s">
        <v>634</v>
      </c>
      <c r="E121" s="8" t="s">
        <v>921</v>
      </c>
      <c r="F121" s="8">
        <v>0.65</v>
      </c>
      <c r="G121" s="8">
        <v>9.9999999999999978E-2</v>
      </c>
      <c r="H121" s="8">
        <f t="shared" si="6"/>
        <v>6.4999999999999988E-2</v>
      </c>
      <c r="I121" s="26">
        <f t="shared" si="7"/>
        <v>5.0245822305590828E-4</v>
      </c>
      <c r="J121" s="26">
        <f t="shared" si="8"/>
        <v>0.26455000385435651</v>
      </c>
      <c r="K121" s="26">
        <f t="shared" si="9"/>
        <v>1.8992939547735864E-3</v>
      </c>
      <c r="L121" s="27">
        <f t="shared" si="10"/>
        <v>1.7170227167313208E-2</v>
      </c>
      <c r="M121" s="27">
        <f t="shared" si="11"/>
        <v>7.6126901302180414</v>
      </c>
      <c r="N121" s="27"/>
      <c r="O121" s="27"/>
      <c r="P121"/>
    </row>
    <row r="122" spans="1:16" ht="15">
      <c r="A122" s="17" t="s">
        <v>537</v>
      </c>
      <c r="B122" s="14" t="s">
        <v>153</v>
      </c>
      <c r="C122" s="25">
        <f>VLOOKUP(B122,'Consensus Phospho site'!B:G,6,FALSE)</f>
        <v>1.4646555489888833E-3</v>
      </c>
      <c r="D122" s="17" t="s">
        <v>739</v>
      </c>
      <c r="E122" s="8" t="s">
        <v>921</v>
      </c>
      <c r="F122" s="8">
        <v>0.65</v>
      </c>
      <c r="G122" s="8">
        <v>0.5</v>
      </c>
      <c r="H122" s="8">
        <f t="shared" si="6"/>
        <v>0.32500000000000001</v>
      </c>
      <c r="I122" s="26">
        <f t="shared" si="7"/>
        <v>4.7601305342138706E-4</v>
      </c>
      <c r="J122" s="26">
        <f t="shared" si="8"/>
        <v>0.26455000385435651</v>
      </c>
      <c r="K122" s="26">
        <f t="shared" si="9"/>
        <v>1.7993311150486617E-3</v>
      </c>
      <c r="L122" s="27">
        <f t="shared" si="10"/>
        <v>1.6406883347508366E-2</v>
      </c>
      <c r="M122" s="27">
        <f t="shared" si="11"/>
        <v>7.6126901302180414</v>
      </c>
      <c r="N122" s="27"/>
      <c r="O122" s="27"/>
      <c r="P122"/>
    </row>
    <row r="123" spans="1:16" ht="15">
      <c r="A123" s="17" t="s">
        <v>537</v>
      </c>
      <c r="B123" s="14" t="s">
        <v>160</v>
      </c>
      <c r="C123" s="25">
        <f>VLOOKUP(B123,'Consensus Phospho site'!B:G,6,FALSE)</f>
        <v>1.4646555489888833E-3</v>
      </c>
      <c r="D123" s="17" t="s">
        <v>746</v>
      </c>
      <c r="E123" s="8" t="s">
        <v>921</v>
      </c>
      <c r="F123" s="8">
        <v>0.65</v>
      </c>
      <c r="G123" s="8">
        <v>0.5</v>
      </c>
      <c r="H123" s="8">
        <f t="shared" si="6"/>
        <v>0.32500000000000001</v>
      </c>
      <c r="I123" s="26">
        <f t="shared" si="7"/>
        <v>4.7601305342138706E-4</v>
      </c>
      <c r="J123" s="26">
        <f t="shared" si="8"/>
        <v>0.26455000385435651</v>
      </c>
      <c r="K123" s="26">
        <f t="shared" si="9"/>
        <v>1.7993311150486617E-3</v>
      </c>
      <c r="L123" s="27">
        <f t="shared" si="10"/>
        <v>1.6406883347508366E-2</v>
      </c>
      <c r="M123" s="27">
        <f t="shared" si="11"/>
        <v>7.6126901302180414</v>
      </c>
      <c r="N123" s="27"/>
      <c r="O123" s="27"/>
      <c r="P123"/>
    </row>
    <row r="124" spans="1:16" ht="15">
      <c r="A124" s="17" t="s">
        <v>537</v>
      </c>
      <c r="B124" s="14" t="s">
        <v>205</v>
      </c>
      <c r="C124" s="25">
        <f>VLOOKUP(B124,'Consensus Phospho site'!B:G,6,FALSE)</f>
        <v>1.4646555489888833E-3</v>
      </c>
      <c r="D124" s="17" t="s">
        <v>811</v>
      </c>
      <c r="E124" s="8" t="s">
        <v>921</v>
      </c>
      <c r="F124" s="8">
        <v>0.65</v>
      </c>
      <c r="G124" s="8">
        <v>0.5</v>
      </c>
      <c r="H124" s="8">
        <f t="shared" si="6"/>
        <v>0.32500000000000001</v>
      </c>
      <c r="I124" s="26">
        <f t="shared" si="7"/>
        <v>4.7601305342138706E-4</v>
      </c>
      <c r="J124" s="26">
        <f t="shared" si="8"/>
        <v>0.26455000385435651</v>
      </c>
      <c r="K124" s="26">
        <f t="shared" si="9"/>
        <v>1.7993311150486617E-3</v>
      </c>
      <c r="L124" s="27">
        <f t="shared" si="10"/>
        <v>1.6406883347508366E-2</v>
      </c>
      <c r="M124" s="27">
        <f t="shared" si="11"/>
        <v>7.6126901302180414</v>
      </c>
      <c r="N124" s="27"/>
      <c r="O124" s="27"/>
      <c r="P124"/>
    </row>
    <row r="125" spans="1:16" ht="15">
      <c r="A125" s="17" t="s">
        <v>538</v>
      </c>
      <c r="B125" s="14" t="s">
        <v>142</v>
      </c>
      <c r="C125" s="25">
        <f>VLOOKUP(B125,'Consensus Phospho site'!B:G,6,FALSE)</f>
        <v>1.7986997970038908E-3</v>
      </c>
      <c r="D125" s="17" t="e">
        <v>#N/A</v>
      </c>
      <c r="E125" s="8" t="e">
        <v>#N/A</v>
      </c>
      <c r="F125" s="8">
        <v>0.5</v>
      </c>
      <c r="G125" s="8">
        <v>0.5</v>
      </c>
      <c r="H125" s="8">
        <f t="shared" si="6"/>
        <v>0.25</v>
      </c>
      <c r="I125" s="26">
        <f t="shared" si="7"/>
        <v>4.496749492509727E-4</v>
      </c>
      <c r="J125" s="26">
        <f t="shared" si="8"/>
        <v>0.26455000385435651</v>
      </c>
      <c r="K125" s="26">
        <f t="shared" si="9"/>
        <v>1.6997729831768726E-3</v>
      </c>
      <c r="L125" s="27">
        <f t="shared" si="10"/>
        <v>1.5638663097862143E-2</v>
      </c>
      <c r="M125" s="27">
        <f t="shared" si="11"/>
        <v>7.6126901302180414</v>
      </c>
      <c r="N125" s="27"/>
      <c r="O125" s="27"/>
      <c r="P125"/>
    </row>
    <row r="126" spans="1:16" ht="15">
      <c r="A126" s="17" t="s">
        <v>540</v>
      </c>
      <c r="B126" s="14" t="s">
        <v>240</v>
      </c>
      <c r="C126" s="25">
        <f>VLOOKUP(B126,'Consensus Phospho site'!B:G,6,FALSE)</f>
        <v>1.7986997970038908E-3</v>
      </c>
      <c r="D126" s="17" t="e">
        <v>#N/A</v>
      </c>
      <c r="E126" s="8" t="e">
        <v>#N/A</v>
      </c>
      <c r="F126" s="8">
        <v>0.5</v>
      </c>
      <c r="G126" s="8">
        <v>0.5</v>
      </c>
      <c r="H126" s="8">
        <f t="shared" si="6"/>
        <v>0.25</v>
      </c>
      <c r="I126" s="26">
        <f t="shared" si="7"/>
        <v>4.496749492509727E-4</v>
      </c>
      <c r="J126" s="26">
        <f t="shared" si="8"/>
        <v>0.26455000385435651</v>
      </c>
      <c r="K126" s="26">
        <f t="shared" si="9"/>
        <v>1.6997729831768726E-3</v>
      </c>
      <c r="L126" s="27">
        <f t="shared" si="10"/>
        <v>1.5638663097862143E-2</v>
      </c>
      <c r="M126" s="27">
        <f t="shared" si="11"/>
        <v>7.6126901302180414</v>
      </c>
      <c r="N126" s="27"/>
      <c r="O126" s="27"/>
      <c r="P126"/>
    </row>
    <row r="127" spans="1:16" ht="15">
      <c r="A127" s="17" t="s">
        <v>539</v>
      </c>
      <c r="B127" s="14" t="s">
        <v>317</v>
      </c>
      <c r="C127" s="25">
        <f>VLOOKUP(B127,'Consensus Phospho site'!B:G,6,FALSE)</f>
        <v>1.7986997970038908E-3</v>
      </c>
      <c r="D127" s="17" t="e">
        <v>#N/A</v>
      </c>
      <c r="E127" s="8" t="e">
        <v>#N/A</v>
      </c>
      <c r="F127" s="8">
        <v>0.5</v>
      </c>
      <c r="G127" s="8">
        <v>0.5</v>
      </c>
      <c r="H127" s="8">
        <f t="shared" si="6"/>
        <v>0.25</v>
      </c>
      <c r="I127" s="26">
        <f t="shared" si="7"/>
        <v>4.496749492509727E-4</v>
      </c>
      <c r="J127" s="26">
        <f t="shared" si="8"/>
        <v>0.26455000385435651</v>
      </c>
      <c r="K127" s="26">
        <f t="shared" si="9"/>
        <v>1.6997729831768726E-3</v>
      </c>
      <c r="L127" s="27">
        <f t="shared" si="10"/>
        <v>1.5638663097862143E-2</v>
      </c>
      <c r="M127" s="27">
        <f t="shared" si="11"/>
        <v>7.6126901302180414</v>
      </c>
      <c r="N127" s="27"/>
      <c r="O127" s="27"/>
      <c r="P127"/>
    </row>
    <row r="128" spans="1:16" ht="15">
      <c r="A128" s="17" t="s">
        <v>524</v>
      </c>
      <c r="B128" s="14" t="s">
        <v>7</v>
      </c>
      <c r="C128" s="25">
        <f>VLOOKUP(B128,'Consensus Phospho site'!B:G,6,FALSE)</f>
        <v>1.5460253017104872E-3</v>
      </c>
      <c r="D128" s="17" t="e">
        <v>#N/A</v>
      </c>
      <c r="E128" s="8" t="e">
        <v>#N/A</v>
      </c>
      <c r="F128" s="8">
        <v>0.5</v>
      </c>
      <c r="G128" s="8">
        <v>0.5</v>
      </c>
      <c r="H128" s="8">
        <f t="shared" si="6"/>
        <v>0.25</v>
      </c>
      <c r="I128" s="26">
        <f t="shared" si="7"/>
        <v>3.8650632542762181E-4</v>
      </c>
      <c r="J128" s="26">
        <f t="shared" si="8"/>
        <v>0.26455000385435651</v>
      </c>
      <c r="K128" s="26">
        <f t="shared" si="9"/>
        <v>1.4609953498258359E-3</v>
      </c>
      <c r="L128" s="27">
        <f t="shared" si="10"/>
        <v>1.376087077320812E-2</v>
      </c>
      <c r="M128" s="27">
        <f t="shared" si="11"/>
        <v>7.6126901302180414</v>
      </c>
      <c r="N128" s="27"/>
      <c r="O128" s="27"/>
      <c r="P128"/>
    </row>
    <row r="129" spans="1:16" ht="15">
      <c r="A129" s="17" t="s">
        <v>534</v>
      </c>
      <c r="B129" s="14" t="s">
        <v>69</v>
      </c>
      <c r="C129" s="25">
        <f>VLOOKUP(B129,'Consensus Phospho site'!B:G,6,FALSE)</f>
        <v>1.5460253017104872E-3</v>
      </c>
      <c r="D129" s="17" t="e">
        <v>#N/A</v>
      </c>
      <c r="E129" s="8" t="e">
        <v>#N/A</v>
      </c>
      <c r="F129" s="8">
        <v>0.5</v>
      </c>
      <c r="G129" s="8">
        <v>0.5</v>
      </c>
      <c r="H129" s="8">
        <f t="shared" si="6"/>
        <v>0.25</v>
      </c>
      <c r="I129" s="26">
        <f t="shared" si="7"/>
        <v>3.8650632542762181E-4</v>
      </c>
      <c r="J129" s="26">
        <f t="shared" si="8"/>
        <v>0.26455000385435651</v>
      </c>
      <c r="K129" s="26">
        <f t="shared" si="9"/>
        <v>1.4609953498258359E-3</v>
      </c>
      <c r="L129" s="27">
        <f t="shared" si="10"/>
        <v>1.376087077320812E-2</v>
      </c>
      <c r="M129" s="27">
        <f t="shared" si="11"/>
        <v>7.6126901302180414</v>
      </c>
      <c r="N129" s="27"/>
      <c r="O129" s="27"/>
      <c r="P129"/>
    </row>
    <row r="130" spans="1:16" ht="15">
      <c r="A130" s="17" t="s">
        <v>535</v>
      </c>
      <c r="B130" s="14" t="s">
        <v>328</v>
      </c>
      <c r="C130" s="25">
        <f>VLOOKUP(B130,'Consensus Phospho site'!B:G,6,FALSE)</f>
        <v>1.5460253017104872E-3</v>
      </c>
      <c r="D130" s="17" t="e">
        <v>#N/A</v>
      </c>
      <c r="E130" s="8" t="e">
        <v>#N/A</v>
      </c>
      <c r="F130" s="8">
        <v>0.5</v>
      </c>
      <c r="G130" s="8">
        <v>0.5</v>
      </c>
      <c r="H130" s="8">
        <f t="shared" ref="H130:H193" si="12">F130*G130</f>
        <v>0.25</v>
      </c>
      <c r="I130" s="26">
        <f t="shared" ref="I130:I193" si="13">H130*C130</f>
        <v>3.8650632542762181E-4</v>
      </c>
      <c r="J130" s="26">
        <f t="shared" ref="J130:J193" si="14">SUM($I$2:$I$522)</f>
        <v>0.26455000385435651</v>
      </c>
      <c r="K130" s="26">
        <f t="shared" ref="K130:K193" si="15">I130/J130</f>
        <v>1.4609953498258359E-3</v>
      </c>
      <c r="L130" s="27">
        <f t="shared" ref="L130:L193" si="16">K130*-LOG(K130,2)</f>
        <v>1.376087077320812E-2</v>
      </c>
      <c r="M130" s="27">
        <f t="shared" ref="M130:M193" si="17">SUM($L$2:$L$522)</f>
        <v>7.6126901302180414</v>
      </c>
      <c r="N130" s="27"/>
      <c r="O130" s="27"/>
      <c r="P130"/>
    </row>
    <row r="131" spans="1:16" ht="15">
      <c r="A131" s="17" t="s">
        <v>535</v>
      </c>
      <c r="B131" s="14" t="s">
        <v>347</v>
      </c>
      <c r="C131" s="25">
        <f>VLOOKUP(B131,'Consensus Phospho site'!B:G,6,FALSE)</f>
        <v>1.5460253017104872E-3</v>
      </c>
      <c r="D131" s="17" t="e">
        <v>#N/A</v>
      </c>
      <c r="E131" s="8" t="e">
        <v>#N/A</v>
      </c>
      <c r="F131" s="8">
        <v>0.5</v>
      </c>
      <c r="G131" s="8">
        <v>0.5</v>
      </c>
      <c r="H131" s="8">
        <f t="shared" si="12"/>
        <v>0.25</v>
      </c>
      <c r="I131" s="26">
        <f t="shared" si="13"/>
        <v>3.8650632542762181E-4</v>
      </c>
      <c r="J131" s="26">
        <f t="shared" si="14"/>
        <v>0.26455000385435651</v>
      </c>
      <c r="K131" s="26">
        <f t="shared" si="15"/>
        <v>1.4609953498258359E-3</v>
      </c>
      <c r="L131" s="27">
        <f t="shared" si="16"/>
        <v>1.376087077320812E-2</v>
      </c>
      <c r="M131" s="27">
        <f t="shared" si="17"/>
        <v>7.6126901302180414</v>
      </c>
      <c r="N131" s="27"/>
      <c r="O131" s="27"/>
      <c r="P131"/>
    </row>
    <row r="132" spans="1:16" ht="15">
      <c r="A132" s="17" t="s">
        <v>535</v>
      </c>
      <c r="B132" s="14" t="s">
        <v>353</v>
      </c>
      <c r="C132" s="25">
        <f>VLOOKUP(B132,'Consensus Phospho site'!B:G,6,FALSE)</f>
        <v>1.5460253017104872E-3</v>
      </c>
      <c r="D132" s="17" t="e">
        <v>#N/A</v>
      </c>
      <c r="E132" s="8" t="e">
        <v>#N/A</v>
      </c>
      <c r="F132" s="8">
        <v>0.5</v>
      </c>
      <c r="G132" s="8">
        <v>0.5</v>
      </c>
      <c r="H132" s="8">
        <f t="shared" si="12"/>
        <v>0.25</v>
      </c>
      <c r="I132" s="26">
        <f t="shared" si="13"/>
        <v>3.8650632542762181E-4</v>
      </c>
      <c r="J132" s="26">
        <f t="shared" si="14"/>
        <v>0.26455000385435651</v>
      </c>
      <c r="K132" s="26">
        <f t="shared" si="15"/>
        <v>1.4609953498258359E-3</v>
      </c>
      <c r="L132" s="27">
        <f t="shared" si="16"/>
        <v>1.376087077320812E-2</v>
      </c>
      <c r="M132" s="27">
        <f t="shared" si="17"/>
        <v>7.6126901302180414</v>
      </c>
      <c r="N132" s="27"/>
      <c r="O132" s="27"/>
      <c r="P132"/>
    </row>
    <row r="133" spans="1:16" ht="15">
      <c r="A133" s="17" t="s">
        <v>535</v>
      </c>
      <c r="B133" s="14" t="s">
        <v>360</v>
      </c>
      <c r="C133" s="25">
        <f>VLOOKUP(B133,'Consensus Phospho site'!B:G,6,FALSE)</f>
        <v>1.5460253017104872E-3</v>
      </c>
      <c r="D133" s="17" t="e">
        <v>#N/A</v>
      </c>
      <c r="E133" s="8" t="e">
        <v>#N/A</v>
      </c>
      <c r="F133" s="8">
        <v>0.5</v>
      </c>
      <c r="G133" s="8">
        <v>0.5</v>
      </c>
      <c r="H133" s="8">
        <f t="shared" si="12"/>
        <v>0.25</v>
      </c>
      <c r="I133" s="26">
        <f t="shared" si="13"/>
        <v>3.8650632542762181E-4</v>
      </c>
      <c r="J133" s="26">
        <f t="shared" si="14"/>
        <v>0.26455000385435651</v>
      </c>
      <c r="K133" s="26">
        <f t="shared" si="15"/>
        <v>1.4609953498258359E-3</v>
      </c>
      <c r="L133" s="27">
        <f t="shared" si="16"/>
        <v>1.376087077320812E-2</v>
      </c>
      <c r="M133" s="27">
        <f t="shared" si="17"/>
        <v>7.6126901302180414</v>
      </c>
      <c r="N133" s="27"/>
      <c r="O133" s="27"/>
      <c r="P133"/>
    </row>
    <row r="134" spans="1:16" ht="15">
      <c r="A134" s="17" t="s">
        <v>535</v>
      </c>
      <c r="B134" s="14" t="s">
        <v>363</v>
      </c>
      <c r="C134" s="25">
        <f>VLOOKUP(B134,'Consensus Phospho site'!B:G,6,FALSE)</f>
        <v>1.5460253017104872E-3</v>
      </c>
      <c r="D134" s="17" t="e">
        <v>#N/A</v>
      </c>
      <c r="E134" s="8" t="e">
        <v>#N/A</v>
      </c>
      <c r="F134" s="8">
        <v>0.5</v>
      </c>
      <c r="G134" s="8">
        <v>0.5</v>
      </c>
      <c r="H134" s="8">
        <f t="shared" si="12"/>
        <v>0.25</v>
      </c>
      <c r="I134" s="26">
        <f t="shared" si="13"/>
        <v>3.8650632542762181E-4</v>
      </c>
      <c r="J134" s="26">
        <f t="shared" si="14"/>
        <v>0.26455000385435651</v>
      </c>
      <c r="K134" s="26">
        <f t="shared" si="15"/>
        <v>1.4609953498258359E-3</v>
      </c>
      <c r="L134" s="27">
        <f t="shared" si="16"/>
        <v>1.376087077320812E-2</v>
      </c>
      <c r="M134" s="27">
        <f t="shared" si="17"/>
        <v>7.6126901302180414</v>
      </c>
      <c r="N134" s="27"/>
      <c r="O134" s="27"/>
      <c r="P134"/>
    </row>
    <row r="135" spans="1:16" ht="15">
      <c r="A135" s="17" t="s">
        <v>535</v>
      </c>
      <c r="B135" s="14" t="s">
        <v>367</v>
      </c>
      <c r="C135" s="25">
        <f>VLOOKUP(B135,'Consensus Phospho site'!B:G,6,FALSE)</f>
        <v>1.5460253017104872E-3</v>
      </c>
      <c r="D135" s="17" t="e">
        <v>#N/A</v>
      </c>
      <c r="E135" s="8" t="e">
        <v>#N/A</v>
      </c>
      <c r="F135" s="8">
        <v>0.5</v>
      </c>
      <c r="G135" s="8">
        <v>0.5</v>
      </c>
      <c r="H135" s="8">
        <f t="shared" si="12"/>
        <v>0.25</v>
      </c>
      <c r="I135" s="26">
        <f t="shared" si="13"/>
        <v>3.8650632542762181E-4</v>
      </c>
      <c r="J135" s="26">
        <f t="shared" si="14"/>
        <v>0.26455000385435651</v>
      </c>
      <c r="K135" s="26">
        <f t="shared" si="15"/>
        <v>1.4609953498258359E-3</v>
      </c>
      <c r="L135" s="27">
        <f t="shared" si="16"/>
        <v>1.376087077320812E-2</v>
      </c>
      <c r="M135" s="27">
        <f t="shared" si="17"/>
        <v>7.6126901302180414</v>
      </c>
      <c r="N135" s="27"/>
      <c r="O135" s="27"/>
      <c r="P135"/>
    </row>
    <row r="136" spans="1:16" ht="15">
      <c r="A136" s="17" t="s">
        <v>534</v>
      </c>
      <c r="B136" s="14" t="s">
        <v>86</v>
      </c>
      <c r="C136" s="25">
        <f>VLOOKUP(B136,'Consensus Phospho site'!B:G,6,FALSE)</f>
        <v>1.5460253017104872E-3</v>
      </c>
      <c r="D136" s="17" t="e">
        <v>#N/A</v>
      </c>
      <c r="E136" s="8" t="e">
        <v>#N/A</v>
      </c>
      <c r="F136" s="8">
        <v>0.5</v>
      </c>
      <c r="G136" s="8">
        <v>0.5</v>
      </c>
      <c r="H136" s="8">
        <f t="shared" si="12"/>
        <v>0.25</v>
      </c>
      <c r="I136" s="26">
        <f t="shared" si="13"/>
        <v>3.8650632542762181E-4</v>
      </c>
      <c r="J136" s="26">
        <f t="shared" si="14"/>
        <v>0.26455000385435651</v>
      </c>
      <c r="K136" s="26">
        <f t="shared" si="15"/>
        <v>1.4609953498258359E-3</v>
      </c>
      <c r="L136" s="27">
        <f t="shared" si="16"/>
        <v>1.376087077320812E-2</v>
      </c>
      <c r="M136" s="27">
        <f t="shared" si="17"/>
        <v>7.6126901302180414</v>
      </c>
      <c r="N136" s="27"/>
      <c r="O136" s="27"/>
      <c r="P136"/>
    </row>
    <row r="137" spans="1:16" ht="15">
      <c r="A137" s="17" t="s">
        <v>534</v>
      </c>
      <c r="B137" s="14" t="s">
        <v>87</v>
      </c>
      <c r="C137" s="25">
        <f>VLOOKUP(B137,'Consensus Phospho site'!B:G,6,FALSE)</f>
        <v>1.5460253017104872E-3</v>
      </c>
      <c r="D137" s="17" t="e">
        <v>#N/A</v>
      </c>
      <c r="E137" s="8" t="e">
        <v>#N/A</v>
      </c>
      <c r="F137" s="8">
        <v>0.5</v>
      </c>
      <c r="G137" s="8">
        <v>0.5</v>
      </c>
      <c r="H137" s="8">
        <f t="shared" si="12"/>
        <v>0.25</v>
      </c>
      <c r="I137" s="26">
        <f t="shared" si="13"/>
        <v>3.8650632542762181E-4</v>
      </c>
      <c r="J137" s="26">
        <f t="shared" si="14"/>
        <v>0.26455000385435651</v>
      </c>
      <c r="K137" s="26">
        <f t="shared" si="15"/>
        <v>1.4609953498258359E-3</v>
      </c>
      <c r="L137" s="27">
        <f t="shared" si="16"/>
        <v>1.376087077320812E-2</v>
      </c>
      <c r="M137" s="27">
        <f t="shared" si="17"/>
        <v>7.6126901302180414</v>
      </c>
      <c r="N137" s="27"/>
      <c r="O137" s="27"/>
      <c r="P137"/>
    </row>
    <row r="138" spans="1:16" ht="15">
      <c r="A138" s="17" t="s">
        <v>534</v>
      </c>
      <c r="B138" s="14" t="s">
        <v>89</v>
      </c>
      <c r="C138" s="25">
        <f>VLOOKUP(B138,'Consensus Phospho site'!B:G,6,FALSE)</f>
        <v>1.5460253017104872E-3</v>
      </c>
      <c r="D138" s="17" t="e">
        <v>#N/A</v>
      </c>
      <c r="E138" s="8" t="e">
        <v>#N/A</v>
      </c>
      <c r="F138" s="8">
        <v>0.5</v>
      </c>
      <c r="G138" s="8">
        <v>0.5</v>
      </c>
      <c r="H138" s="8">
        <f t="shared" si="12"/>
        <v>0.25</v>
      </c>
      <c r="I138" s="26">
        <f t="shared" si="13"/>
        <v>3.8650632542762181E-4</v>
      </c>
      <c r="J138" s="26">
        <f t="shared" si="14"/>
        <v>0.26455000385435651</v>
      </c>
      <c r="K138" s="26">
        <f t="shared" si="15"/>
        <v>1.4609953498258359E-3</v>
      </c>
      <c r="L138" s="27">
        <f t="shared" si="16"/>
        <v>1.376087077320812E-2</v>
      </c>
      <c r="M138" s="27">
        <f t="shared" si="17"/>
        <v>7.6126901302180414</v>
      </c>
      <c r="N138" s="27"/>
      <c r="O138" s="27"/>
      <c r="P138"/>
    </row>
    <row r="139" spans="1:16" ht="15">
      <c r="A139" s="17" t="s">
        <v>534</v>
      </c>
      <c r="B139" s="14" t="s">
        <v>91</v>
      </c>
      <c r="C139" s="25">
        <f>VLOOKUP(B139,'Consensus Phospho site'!B:G,6,FALSE)</f>
        <v>1.5460253017104872E-3</v>
      </c>
      <c r="D139" s="17" t="e">
        <v>#N/A</v>
      </c>
      <c r="E139" s="8" t="e">
        <v>#N/A</v>
      </c>
      <c r="F139" s="8">
        <v>0.5</v>
      </c>
      <c r="G139" s="8">
        <v>0.5</v>
      </c>
      <c r="H139" s="8">
        <f t="shared" si="12"/>
        <v>0.25</v>
      </c>
      <c r="I139" s="26">
        <f t="shared" si="13"/>
        <v>3.8650632542762181E-4</v>
      </c>
      <c r="J139" s="26">
        <f t="shared" si="14"/>
        <v>0.26455000385435651</v>
      </c>
      <c r="K139" s="26">
        <f t="shared" si="15"/>
        <v>1.4609953498258359E-3</v>
      </c>
      <c r="L139" s="27">
        <f t="shared" si="16"/>
        <v>1.376087077320812E-2</v>
      </c>
      <c r="M139" s="27">
        <f t="shared" si="17"/>
        <v>7.6126901302180414</v>
      </c>
      <c r="N139" s="27"/>
      <c r="O139" s="27"/>
      <c r="P139"/>
    </row>
    <row r="140" spans="1:16" ht="15">
      <c r="A140" s="17" t="s">
        <v>534</v>
      </c>
      <c r="B140" s="14" t="s">
        <v>98</v>
      </c>
      <c r="C140" s="25">
        <f>VLOOKUP(B140,'Consensus Phospho site'!B:G,6,FALSE)</f>
        <v>1.5460253017104872E-3</v>
      </c>
      <c r="D140" s="17" t="e">
        <v>#N/A</v>
      </c>
      <c r="E140" s="8" t="e">
        <v>#N/A</v>
      </c>
      <c r="F140" s="8">
        <v>0.5</v>
      </c>
      <c r="G140" s="8">
        <v>0.5</v>
      </c>
      <c r="H140" s="8">
        <f t="shared" si="12"/>
        <v>0.25</v>
      </c>
      <c r="I140" s="26">
        <f t="shared" si="13"/>
        <v>3.8650632542762181E-4</v>
      </c>
      <c r="J140" s="26">
        <f t="shared" si="14"/>
        <v>0.26455000385435651</v>
      </c>
      <c r="K140" s="26">
        <f t="shared" si="15"/>
        <v>1.4609953498258359E-3</v>
      </c>
      <c r="L140" s="27">
        <f t="shared" si="16"/>
        <v>1.376087077320812E-2</v>
      </c>
      <c r="M140" s="27">
        <f t="shared" si="17"/>
        <v>7.6126901302180414</v>
      </c>
      <c r="N140" s="27"/>
      <c r="O140" s="27"/>
      <c r="P140"/>
    </row>
    <row r="141" spans="1:16" ht="15">
      <c r="A141" s="17" t="s">
        <v>524</v>
      </c>
      <c r="B141" s="14" t="s">
        <v>22</v>
      </c>
      <c r="C141" s="25">
        <f>VLOOKUP(B141,'Consensus Phospho site'!B:G,6,FALSE)</f>
        <v>1.5460253017104872E-3</v>
      </c>
      <c r="D141" s="17" t="e">
        <v>#N/A</v>
      </c>
      <c r="E141" s="8" t="e">
        <v>#N/A</v>
      </c>
      <c r="F141" s="8">
        <v>0.5</v>
      </c>
      <c r="G141" s="8">
        <v>0.5</v>
      </c>
      <c r="H141" s="8">
        <f t="shared" si="12"/>
        <v>0.25</v>
      </c>
      <c r="I141" s="26">
        <f t="shared" si="13"/>
        <v>3.8650632542762181E-4</v>
      </c>
      <c r="J141" s="26">
        <f t="shared" si="14"/>
        <v>0.26455000385435651</v>
      </c>
      <c r="K141" s="26">
        <f t="shared" si="15"/>
        <v>1.4609953498258359E-3</v>
      </c>
      <c r="L141" s="27">
        <f t="shared" si="16"/>
        <v>1.376087077320812E-2</v>
      </c>
      <c r="M141" s="27">
        <f t="shared" si="17"/>
        <v>7.6126901302180414</v>
      </c>
      <c r="N141" s="27"/>
      <c r="O141" s="27"/>
      <c r="P141"/>
    </row>
    <row r="142" spans="1:16" ht="15">
      <c r="A142" s="17" t="s">
        <v>524</v>
      </c>
      <c r="B142" s="14" t="s">
        <v>25</v>
      </c>
      <c r="C142" s="25">
        <f>VLOOKUP(B142,'Consensus Phospho site'!B:G,6,FALSE)</f>
        <v>1.5460253017104872E-3</v>
      </c>
      <c r="D142" s="17" t="e">
        <v>#N/A</v>
      </c>
      <c r="E142" s="8" t="e">
        <v>#N/A</v>
      </c>
      <c r="F142" s="8">
        <v>0.5</v>
      </c>
      <c r="G142" s="8">
        <v>0.5</v>
      </c>
      <c r="H142" s="8">
        <f t="shared" si="12"/>
        <v>0.25</v>
      </c>
      <c r="I142" s="26">
        <f t="shared" si="13"/>
        <v>3.8650632542762181E-4</v>
      </c>
      <c r="J142" s="26">
        <f t="shared" si="14"/>
        <v>0.26455000385435651</v>
      </c>
      <c r="K142" s="26">
        <f t="shared" si="15"/>
        <v>1.4609953498258359E-3</v>
      </c>
      <c r="L142" s="27">
        <f t="shared" si="16"/>
        <v>1.376087077320812E-2</v>
      </c>
      <c r="M142" s="27">
        <f t="shared" si="17"/>
        <v>7.6126901302180414</v>
      </c>
      <c r="N142" s="27"/>
      <c r="O142" s="27"/>
      <c r="P142"/>
    </row>
    <row r="143" spans="1:16" ht="15">
      <c r="A143" s="17" t="s">
        <v>524</v>
      </c>
      <c r="B143" s="14" t="s">
        <v>36</v>
      </c>
      <c r="C143" s="25">
        <f>VLOOKUP(B143,'Consensus Phospho site'!B:G,6,FALSE)</f>
        <v>1.5460253017104872E-3</v>
      </c>
      <c r="D143" s="17" t="e">
        <v>#N/A</v>
      </c>
      <c r="E143" s="8" t="e">
        <v>#N/A</v>
      </c>
      <c r="F143" s="8">
        <v>0.5</v>
      </c>
      <c r="G143" s="8">
        <v>0.5</v>
      </c>
      <c r="H143" s="8">
        <f t="shared" si="12"/>
        <v>0.25</v>
      </c>
      <c r="I143" s="26">
        <f t="shared" si="13"/>
        <v>3.8650632542762181E-4</v>
      </c>
      <c r="J143" s="26">
        <f t="shared" si="14"/>
        <v>0.26455000385435651</v>
      </c>
      <c r="K143" s="26">
        <f t="shared" si="15"/>
        <v>1.4609953498258359E-3</v>
      </c>
      <c r="L143" s="27">
        <f t="shared" si="16"/>
        <v>1.376087077320812E-2</v>
      </c>
      <c r="M143" s="27">
        <f t="shared" si="17"/>
        <v>7.6126901302180414</v>
      </c>
      <c r="N143" s="27"/>
      <c r="O143" s="27"/>
      <c r="P143"/>
    </row>
    <row r="144" spans="1:16" ht="15">
      <c r="A144" s="17" t="s">
        <v>524</v>
      </c>
      <c r="B144" s="14" t="s">
        <v>43</v>
      </c>
      <c r="C144" s="25">
        <f>VLOOKUP(B144,'Consensus Phospho site'!B:G,6,FALSE)</f>
        <v>1.5460253017104872E-3</v>
      </c>
      <c r="D144" s="17" t="e">
        <v>#N/A</v>
      </c>
      <c r="E144" s="8" t="e">
        <v>#N/A</v>
      </c>
      <c r="F144" s="8">
        <v>0.5</v>
      </c>
      <c r="G144" s="8">
        <v>0.5</v>
      </c>
      <c r="H144" s="8">
        <f t="shared" si="12"/>
        <v>0.25</v>
      </c>
      <c r="I144" s="26">
        <f t="shared" si="13"/>
        <v>3.8650632542762181E-4</v>
      </c>
      <c r="J144" s="26">
        <f t="shared" si="14"/>
        <v>0.26455000385435651</v>
      </c>
      <c r="K144" s="26">
        <f t="shared" si="15"/>
        <v>1.4609953498258359E-3</v>
      </c>
      <c r="L144" s="27">
        <f t="shared" si="16"/>
        <v>1.376087077320812E-2</v>
      </c>
      <c r="M144" s="27">
        <f t="shared" si="17"/>
        <v>7.6126901302180414</v>
      </c>
      <c r="N144" s="27"/>
      <c r="O144" s="27"/>
      <c r="P144"/>
    </row>
    <row r="145" spans="1:16" ht="15">
      <c r="A145" s="17" t="s">
        <v>524</v>
      </c>
      <c r="B145" s="14" t="s">
        <v>44</v>
      </c>
      <c r="C145" s="25">
        <f>VLOOKUP(B145,'Consensus Phospho site'!B:G,6,FALSE)</f>
        <v>1.5460253017104872E-3</v>
      </c>
      <c r="D145" s="17" t="e">
        <v>#N/A</v>
      </c>
      <c r="E145" s="8" t="e">
        <v>#N/A</v>
      </c>
      <c r="F145" s="8">
        <v>0.5</v>
      </c>
      <c r="G145" s="8">
        <v>0.5</v>
      </c>
      <c r="H145" s="8">
        <f t="shared" si="12"/>
        <v>0.25</v>
      </c>
      <c r="I145" s="26">
        <f t="shared" si="13"/>
        <v>3.8650632542762181E-4</v>
      </c>
      <c r="J145" s="26">
        <f t="shared" si="14"/>
        <v>0.26455000385435651</v>
      </c>
      <c r="K145" s="26">
        <f t="shared" si="15"/>
        <v>1.4609953498258359E-3</v>
      </c>
      <c r="L145" s="27">
        <f t="shared" si="16"/>
        <v>1.376087077320812E-2</v>
      </c>
      <c r="M145" s="27">
        <f t="shared" si="17"/>
        <v>7.6126901302180414</v>
      </c>
      <c r="N145" s="27"/>
      <c r="O145" s="27"/>
      <c r="P145"/>
    </row>
    <row r="146" spans="1:16" ht="15">
      <c r="A146" s="17" t="s">
        <v>524</v>
      </c>
      <c r="B146" s="14" t="s">
        <v>45</v>
      </c>
      <c r="C146" s="25">
        <f>VLOOKUP(B146,'Consensus Phospho site'!B:G,6,FALSE)</f>
        <v>1.5460253017104872E-3</v>
      </c>
      <c r="D146" s="17" t="e">
        <v>#N/A</v>
      </c>
      <c r="E146" s="8" t="e">
        <v>#N/A</v>
      </c>
      <c r="F146" s="8">
        <v>0.5</v>
      </c>
      <c r="G146" s="8">
        <v>0.5</v>
      </c>
      <c r="H146" s="8">
        <f t="shared" si="12"/>
        <v>0.25</v>
      </c>
      <c r="I146" s="26">
        <f t="shared" si="13"/>
        <v>3.8650632542762181E-4</v>
      </c>
      <c r="J146" s="26">
        <f t="shared" si="14"/>
        <v>0.26455000385435651</v>
      </c>
      <c r="K146" s="26">
        <f t="shared" si="15"/>
        <v>1.4609953498258359E-3</v>
      </c>
      <c r="L146" s="27">
        <f t="shared" si="16"/>
        <v>1.376087077320812E-2</v>
      </c>
      <c r="M146" s="27">
        <f t="shared" si="17"/>
        <v>7.6126901302180414</v>
      </c>
      <c r="N146" s="27"/>
      <c r="O146" s="27"/>
      <c r="P146"/>
    </row>
    <row r="147" spans="1:16" ht="15">
      <c r="A147" s="17" t="s">
        <v>524</v>
      </c>
      <c r="B147" s="14" t="s">
        <v>48</v>
      </c>
      <c r="C147" s="25">
        <f>VLOOKUP(B147,'Consensus Phospho site'!B:G,6,FALSE)</f>
        <v>1.5460253017104872E-3</v>
      </c>
      <c r="D147" s="17" t="e">
        <v>#N/A</v>
      </c>
      <c r="E147" s="8" t="e">
        <v>#N/A</v>
      </c>
      <c r="F147" s="8">
        <v>0.5</v>
      </c>
      <c r="G147" s="8">
        <v>0.5</v>
      </c>
      <c r="H147" s="8">
        <f t="shared" si="12"/>
        <v>0.25</v>
      </c>
      <c r="I147" s="26">
        <f t="shared" si="13"/>
        <v>3.8650632542762181E-4</v>
      </c>
      <c r="J147" s="26">
        <f t="shared" si="14"/>
        <v>0.26455000385435651</v>
      </c>
      <c r="K147" s="26">
        <f t="shared" si="15"/>
        <v>1.4609953498258359E-3</v>
      </c>
      <c r="L147" s="27">
        <f t="shared" si="16"/>
        <v>1.376087077320812E-2</v>
      </c>
      <c r="M147" s="27">
        <f t="shared" si="17"/>
        <v>7.6126901302180414</v>
      </c>
      <c r="N147" s="27"/>
      <c r="O147" s="27"/>
      <c r="P147"/>
    </row>
    <row r="148" spans="1:16" ht="15">
      <c r="A148" s="17" t="s">
        <v>534</v>
      </c>
      <c r="B148" s="14" t="s">
        <v>119</v>
      </c>
      <c r="C148" s="25">
        <f>VLOOKUP(B148,'Consensus Phospho site'!B:G,6,FALSE)</f>
        <v>1.5460253017104872E-3</v>
      </c>
      <c r="D148" s="17" t="e">
        <v>#N/A</v>
      </c>
      <c r="E148" s="8" t="e">
        <v>#N/A</v>
      </c>
      <c r="F148" s="8">
        <v>0.5</v>
      </c>
      <c r="G148" s="8">
        <v>0.5</v>
      </c>
      <c r="H148" s="8">
        <f t="shared" si="12"/>
        <v>0.25</v>
      </c>
      <c r="I148" s="26">
        <f t="shared" si="13"/>
        <v>3.8650632542762181E-4</v>
      </c>
      <c r="J148" s="26">
        <f t="shared" si="14"/>
        <v>0.26455000385435651</v>
      </c>
      <c r="K148" s="26">
        <f t="shared" si="15"/>
        <v>1.4609953498258359E-3</v>
      </c>
      <c r="L148" s="27">
        <f t="shared" si="16"/>
        <v>1.376087077320812E-2</v>
      </c>
      <c r="M148" s="27">
        <f t="shared" si="17"/>
        <v>7.6126901302180414</v>
      </c>
      <c r="N148" s="27"/>
      <c r="O148" s="27"/>
      <c r="P148"/>
    </row>
    <row r="149" spans="1:16" ht="15">
      <c r="A149" s="17" t="s">
        <v>524</v>
      </c>
      <c r="B149" s="14" t="s">
        <v>55</v>
      </c>
      <c r="C149" s="25">
        <f>VLOOKUP(B149,'Consensus Phospho site'!B:G,6,FALSE)</f>
        <v>1.5460253017104872E-3</v>
      </c>
      <c r="D149" s="17" t="e">
        <v>#N/A</v>
      </c>
      <c r="E149" s="8" t="e">
        <v>#N/A</v>
      </c>
      <c r="F149" s="8">
        <v>0.5</v>
      </c>
      <c r="G149" s="8">
        <v>0.5</v>
      </c>
      <c r="H149" s="8">
        <f t="shared" si="12"/>
        <v>0.25</v>
      </c>
      <c r="I149" s="26">
        <f t="shared" si="13"/>
        <v>3.8650632542762181E-4</v>
      </c>
      <c r="J149" s="26">
        <f t="shared" si="14"/>
        <v>0.26455000385435651</v>
      </c>
      <c r="K149" s="26">
        <f t="shared" si="15"/>
        <v>1.4609953498258359E-3</v>
      </c>
      <c r="L149" s="27">
        <f t="shared" si="16"/>
        <v>1.376087077320812E-2</v>
      </c>
      <c r="M149" s="27">
        <f t="shared" si="17"/>
        <v>7.6126901302180414</v>
      </c>
      <c r="N149" s="27"/>
      <c r="O149" s="27"/>
      <c r="P149"/>
    </row>
    <row r="150" spans="1:16" ht="15">
      <c r="A150" s="17" t="s">
        <v>534</v>
      </c>
      <c r="B150" s="14" t="s">
        <v>130</v>
      </c>
      <c r="C150" s="25">
        <f>VLOOKUP(B150,'Consensus Phospho site'!B:G,6,FALSE)</f>
        <v>1.5460253017104872E-3</v>
      </c>
      <c r="D150" s="17" t="e">
        <v>#N/A</v>
      </c>
      <c r="E150" s="8" t="e">
        <v>#N/A</v>
      </c>
      <c r="F150" s="8">
        <v>0.5</v>
      </c>
      <c r="G150" s="8">
        <v>0.5</v>
      </c>
      <c r="H150" s="8">
        <f t="shared" si="12"/>
        <v>0.25</v>
      </c>
      <c r="I150" s="26">
        <f t="shared" si="13"/>
        <v>3.8650632542762181E-4</v>
      </c>
      <c r="J150" s="26">
        <f t="shared" si="14"/>
        <v>0.26455000385435651</v>
      </c>
      <c r="K150" s="26">
        <f t="shared" si="15"/>
        <v>1.4609953498258359E-3</v>
      </c>
      <c r="L150" s="27">
        <f t="shared" si="16"/>
        <v>1.376087077320812E-2</v>
      </c>
      <c r="M150" s="27">
        <f t="shared" si="17"/>
        <v>7.6126901302180414</v>
      </c>
      <c r="N150" s="27"/>
      <c r="O150" s="27"/>
      <c r="P150"/>
    </row>
    <row r="151" spans="1:16" ht="15">
      <c r="A151" s="17" t="s">
        <v>537</v>
      </c>
      <c r="B151" s="14" t="s">
        <v>150</v>
      </c>
      <c r="C151" s="25">
        <f>VLOOKUP(B151,'Consensus Phospho site'!B:G,6,FALSE)</f>
        <v>1.4646555489888833E-3</v>
      </c>
      <c r="D151" s="17" t="e">
        <v>#N/A</v>
      </c>
      <c r="E151" s="8" t="e">
        <v>#N/A</v>
      </c>
      <c r="F151" s="8">
        <v>0.5</v>
      </c>
      <c r="G151" s="8">
        <v>0.5</v>
      </c>
      <c r="H151" s="8">
        <f t="shared" si="12"/>
        <v>0.25</v>
      </c>
      <c r="I151" s="26">
        <f t="shared" si="13"/>
        <v>3.6616388724722081E-4</v>
      </c>
      <c r="J151" s="26">
        <f t="shared" si="14"/>
        <v>0.26455000385435651</v>
      </c>
      <c r="K151" s="26">
        <f t="shared" si="15"/>
        <v>1.3841008577297398E-3</v>
      </c>
      <c r="L151" s="27">
        <f t="shared" si="16"/>
        <v>1.3144577760489523E-2</v>
      </c>
      <c r="M151" s="27">
        <f t="shared" si="17"/>
        <v>7.6126901302180414</v>
      </c>
      <c r="N151" s="27"/>
      <c r="O151" s="27"/>
      <c r="P151"/>
    </row>
    <row r="152" spans="1:16" ht="15">
      <c r="A152" s="17" t="s">
        <v>537</v>
      </c>
      <c r="B152" s="14" t="s">
        <v>151</v>
      </c>
      <c r="C152" s="25">
        <f>VLOOKUP(B152,'Consensus Phospho site'!B:G,6,FALSE)</f>
        <v>1.4646555489888833E-3</v>
      </c>
      <c r="D152" s="17" t="e">
        <v>#N/A</v>
      </c>
      <c r="E152" s="8" t="e">
        <v>#N/A</v>
      </c>
      <c r="F152" s="8">
        <v>0.5</v>
      </c>
      <c r="G152" s="8">
        <v>0.5</v>
      </c>
      <c r="H152" s="8">
        <f t="shared" si="12"/>
        <v>0.25</v>
      </c>
      <c r="I152" s="26">
        <f t="shared" si="13"/>
        <v>3.6616388724722081E-4</v>
      </c>
      <c r="J152" s="26">
        <f t="shared" si="14"/>
        <v>0.26455000385435651</v>
      </c>
      <c r="K152" s="26">
        <f t="shared" si="15"/>
        <v>1.3841008577297398E-3</v>
      </c>
      <c r="L152" s="27">
        <f t="shared" si="16"/>
        <v>1.3144577760489523E-2</v>
      </c>
      <c r="M152" s="27">
        <f t="shared" si="17"/>
        <v>7.6126901302180414</v>
      </c>
      <c r="N152" s="27"/>
      <c r="O152" s="27"/>
      <c r="P152"/>
    </row>
    <row r="153" spans="1:16" ht="15">
      <c r="A153" s="17" t="s">
        <v>537</v>
      </c>
      <c r="B153" s="14" t="s">
        <v>154</v>
      </c>
      <c r="C153" s="25">
        <f>VLOOKUP(B153,'Consensus Phospho site'!B:G,6,FALSE)</f>
        <v>1.4646555489888833E-3</v>
      </c>
      <c r="D153" s="17" t="e">
        <v>#N/A</v>
      </c>
      <c r="E153" s="8" t="e">
        <v>#N/A</v>
      </c>
      <c r="F153" s="8">
        <v>0.5</v>
      </c>
      <c r="G153" s="8">
        <v>0.5</v>
      </c>
      <c r="H153" s="8">
        <f t="shared" si="12"/>
        <v>0.25</v>
      </c>
      <c r="I153" s="26">
        <f t="shared" si="13"/>
        <v>3.6616388724722081E-4</v>
      </c>
      <c r="J153" s="26">
        <f t="shared" si="14"/>
        <v>0.26455000385435651</v>
      </c>
      <c r="K153" s="26">
        <f t="shared" si="15"/>
        <v>1.3841008577297398E-3</v>
      </c>
      <c r="L153" s="27">
        <f t="shared" si="16"/>
        <v>1.3144577760489523E-2</v>
      </c>
      <c r="M153" s="27">
        <f t="shared" si="17"/>
        <v>7.6126901302180414</v>
      </c>
      <c r="N153" s="27"/>
      <c r="O153" s="27"/>
      <c r="P153"/>
    </row>
    <row r="154" spans="1:16" ht="15">
      <c r="A154" s="17" t="s">
        <v>537</v>
      </c>
      <c r="B154" s="14" t="s">
        <v>155</v>
      </c>
      <c r="C154" s="25">
        <f>VLOOKUP(B154,'Consensus Phospho site'!B:G,6,FALSE)</f>
        <v>1.4646555489888833E-3</v>
      </c>
      <c r="D154" s="17" t="e">
        <v>#N/A</v>
      </c>
      <c r="E154" s="8" t="e">
        <v>#N/A</v>
      </c>
      <c r="F154" s="8">
        <v>0.5</v>
      </c>
      <c r="G154" s="8">
        <v>0.5</v>
      </c>
      <c r="H154" s="8">
        <f t="shared" si="12"/>
        <v>0.25</v>
      </c>
      <c r="I154" s="26">
        <f t="shared" si="13"/>
        <v>3.6616388724722081E-4</v>
      </c>
      <c r="J154" s="26">
        <f t="shared" si="14"/>
        <v>0.26455000385435651</v>
      </c>
      <c r="K154" s="26">
        <f t="shared" si="15"/>
        <v>1.3841008577297398E-3</v>
      </c>
      <c r="L154" s="27">
        <f t="shared" si="16"/>
        <v>1.3144577760489523E-2</v>
      </c>
      <c r="M154" s="27">
        <f t="shared" si="17"/>
        <v>7.6126901302180414</v>
      </c>
      <c r="N154" s="27"/>
      <c r="O154" s="27"/>
      <c r="P154"/>
    </row>
    <row r="155" spans="1:16" ht="15">
      <c r="A155" s="17" t="s">
        <v>537</v>
      </c>
      <c r="B155" s="14" t="s">
        <v>156</v>
      </c>
      <c r="C155" s="25">
        <f>VLOOKUP(B155,'Consensus Phospho site'!B:G,6,FALSE)</f>
        <v>1.4646555489888833E-3</v>
      </c>
      <c r="D155" s="17" t="e">
        <v>#N/A</v>
      </c>
      <c r="E155" s="8" t="e">
        <v>#N/A</v>
      </c>
      <c r="F155" s="8">
        <v>0.5</v>
      </c>
      <c r="G155" s="8">
        <v>0.5</v>
      </c>
      <c r="H155" s="8">
        <f t="shared" si="12"/>
        <v>0.25</v>
      </c>
      <c r="I155" s="26">
        <f t="shared" si="13"/>
        <v>3.6616388724722081E-4</v>
      </c>
      <c r="J155" s="26">
        <f t="shared" si="14"/>
        <v>0.26455000385435651</v>
      </c>
      <c r="K155" s="26">
        <f t="shared" si="15"/>
        <v>1.3841008577297398E-3</v>
      </c>
      <c r="L155" s="27">
        <f t="shared" si="16"/>
        <v>1.3144577760489523E-2</v>
      </c>
      <c r="M155" s="27">
        <f t="shared" si="17"/>
        <v>7.6126901302180414</v>
      </c>
      <c r="N155" s="27"/>
      <c r="O155" s="27"/>
      <c r="P155"/>
    </row>
    <row r="156" spans="1:16" ht="15">
      <c r="A156" s="17" t="s">
        <v>537</v>
      </c>
      <c r="B156" s="14" t="s">
        <v>157</v>
      </c>
      <c r="C156" s="25">
        <f>VLOOKUP(B156,'Consensus Phospho site'!B:G,6,FALSE)</f>
        <v>1.4646555489888833E-3</v>
      </c>
      <c r="D156" s="17" t="e">
        <v>#N/A</v>
      </c>
      <c r="E156" s="8" t="e">
        <v>#N/A</v>
      </c>
      <c r="F156" s="8">
        <v>0.5</v>
      </c>
      <c r="G156" s="8">
        <v>0.5</v>
      </c>
      <c r="H156" s="8">
        <f t="shared" si="12"/>
        <v>0.25</v>
      </c>
      <c r="I156" s="26">
        <f t="shared" si="13"/>
        <v>3.6616388724722081E-4</v>
      </c>
      <c r="J156" s="26">
        <f t="shared" si="14"/>
        <v>0.26455000385435651</v>
      </c>
      <c r="K156" s="26">
        <f t="shared" si="15"/>
        <v>1.3841008577297398E-3</v>
      </c>
      <c r="L156" s="27">
        <f t="shared" si="16"/>
        <v>1.3144577760489523E-2</v>
      </c>
      <c r="M156" s="27">
        <f t="shared" si="17"/>
        <v>7.6126901302180414</v>
      </c>
      <c r="N156" s="27"/>
      <c r="O156" s="27"/>
      <c r="P156"/>
    </row>
    <row r="157" spans="1:16" ht="15">
      <c r="A157" s="17" t="s">
        <v>537</v>
      </c>
      <c r="B157" s="14" t="s">
        <v>158</v>
      </c>
      <c r="C157" s="25">
        <f>VLOOKUP(B157,'Consensus Phospho site'!B:G,6,FALSE)</f>
        <v>1.4646555489888833E-3</v>
      </c>
      <c r="D157" s="17" t="e">
        <v>#N/A</v>
      </c>
      <c r="E157" s="8" t="e">
        <v>#N/A</v>
      </c>
      <c r="F157" s="8">
        <v>0.5</v>
      </c>
      <c r="G157" s="8">
        <v>0.5</v>
      </c>
      <c r="H157" s="8">
        <f t="shared" si="12"/>
        <v>0.25</v>
      </c>
      <c r="I157" s="26">
        <f t="shared" si="13"/>
        <v>3.6616388724722081E-4</v>
      </c>
      <c r="J157" s="26">
        <f t="shared" si="14"/>
        <v>0.26455000385435651</v>
      </c>
      <c r="K157" s="26">
        <f t="shared" si="15"/>
        <v>1.3841008577297398E-3</v>
      </c>
      <c r="L157" s="27">
        <f t="shared" si="16"/>
        <v>1.3144577760489523E-2</v>
      </c>
      <c r="M157" s="27">
        <f t="shared" si="17"/>
        <v>7.6126901302180414</v>
      </c>
      <c r="N157" s="27"/>
      <c r="O157" s="27"/>
      <c r="P157"/>
    </row>
    <row r="158" spans="1:16" ht="15">
      <c r="A158" s="17" t="s">
        <v>537</v>
      </c>
      <c r="B158" s="14" t="s">
        <v>159</v>
      </c>
      <c r="C158" s="25">
        <f>VLOOKUP(B158,'Consensus Phospho site'!B:G,6,FALSE)</f>
        <v>1.4646555489888833E-3</v>
      </c>
      <c r="D158" s="17" t="e">
        <v>#N/A</v>
      </c>
      <c r="E158" s="8" t="e">
        <v>#N/A</v>
      </c>
      <c r="F158" s="8">
        <v>0.5</v>
      </c>
      <c r="G158" s="8">
        <v>0.5</v>
      </c>
      <c r="H158" s="8">
        <f t="shared" si="12"/>
        <v>0.25</v>
      </c>
      <c r="I158" s="26">
        <f t="shared" si="13"/>
        <v>3.6616388724722081E-4</v>
      </c>
      <c r="J158" s="26">
        <f t="shared" si="14"/>
        <v>0.26455000385435651</v>
      </c>
      <c r="K158" s="26">
        <f t="shared" si="15"/>
        <v>1.3841008577297398E-3</v>
      </c>
      <c r="L158" s="27">
        <f t="shared" si="16"/>
        <v>1.3144577760489523E-2</v>
      </c>
      <c r="M158" s="27">
        <f t="shared" si="17"/>
        <v>7.6126901302180414</v>
      </c>
      <c r="N158" s="27"/>
      <c r="O158" s="27"/>
      <c r="P158"/>
    </row>
    <row r="159" spans="1:16" ht="15">
      <c r="A159" s="17" t="s">
        <v>537</v>
      </c>
      <c r="B159" s="14" t="s">
        <v>163</v>
      </c>
      <c r="C159" s="25">
        <f>VLOOKUP(B159,'Consensus Phospho site'!B:G,6,FALSE)</f>
        <v>1.4646555489888833E-3</v>
      </c>
      <c r="D159" s="17" t="e">
        <v>#N/A</v>
      </c>
      <c r="E159" s="8" t="e">
        <v>#N/A</v>
      </c>
      <c r="F159" s="8">
        <v>0.5</v>
      </c>
      <c r="G159" s="8">
        <v>0.5</v>
      </c>
      <c r="H159" s="8">
        <f t="shared" si="12"/>
        <v>0.25</v>
      </c>
      <c r="I159" s="26">
        <f t="shared" si="13"/>
        <v>3.6616388724722081E-4</v>
      </c>
      <c r="J159" s="26">
        <f t="shared" si="14"/>
        <v>0.26455000385435651</v>
      </c>
      <c r="K159" s="26">
        <f t="shared" si="15"/>
        <v>1.3841008577297398E-3</v>
      </c>
      <c r="L159" s="27">
        <f t="shared" si="16"/>
        <v>1.3144577760489523E-2</v>
      </c>
      <c r="M159" s="27">
        <f t="shared" si="17"/>
        <v>7.6126901302180414</v>
      </c>
      <c r="N159" s="27"/>
      <c r="O159" s="27"/>
      <c r="P159"/>
    </row>
    <row r="160" spans="1:16" ht="15">
      <c r="A160" s="17" t="s">
        <v>537</v>
      </c>
      <c r="B160" s="14" t="s">
        <v>168</v>
      </c>
      <c r="C160" s="25">
        <f>VLOOKUP(B160,'Consensus Phospho site'!B:G,6,FALSE)</f>
        <v>1.4646555489888833E-3</v>
      </c>
      <c r="D160" s="17" t="e">
        <v>#N/A</v>
      </c>
      <c r="E160" s="8" t="e">
        <v>#N/A</v>
      </c>
      <c r="F160" s="8">
        <v>0.5</v>
      </c>
      <c r="G160" s="8">
        <v>0.5</v>
      </c>
      <c r="H160" s="8">
        <f t="shared" si="12"/>
        <v>0.25</v>
      </c>
      <c r="I160" s="26">
        <f t="shared" si="13"/>
        <v>3.6616388724722081E-4</v>
      </c>
      <c r="J160" s="26">
        <f t="shared" si="14"/>
        <v>0.26455000385435651</v>
      </c>
      <c r="K160" s="26">
        <f t="shared" si="15"/>
        <v>1.3841008577297398E-3</v>
      </c>
      <c r="L160" s="27">
        <f t="shared" si="16"/>
        <v>1.3144577760489523E-2</v>
      </c>
      <c r="M160" s="27">
        <f t="shared" si="17"/>
        <v>7.6126901302180414</v>
      </c>
      <c r="N160" s="27"/>
      <c r="O160" s="27"/>
      <c r="P160"/>
    </row>
    <row r="161" spans="1:16" ht="15">
      <c r="A161" s="17" t="s">
        <v>537</v>
      </c>
      <c r="B161" s="14" t="s">
        <v>173</v>
      </c>
      <c r="C161" s="25">
        <f>VLOOKUP(B161,'Consensus Phospho site'!B:G,6,FALSE)</f>
        <v>1.4646555489888833E-3</v>
      </c>
      <c r="D161" s="17" t="e">
        <v>#N/A</v>
      </c>
      <c r="E161" s="8" t="e">
        <v>#N/A</v>
      </c>
      <c r="F161" s="8">
        <v>0.5</v>
      </c>
      <c r="G161" s="8">
        <v>0.5</v>
      </c>
      <c r="H161" s="8">
        <f t="shared" si="12"/>
        <v>0.25</v>
      </c>
      <c r="I161" s="26">
        <f t="shared" si="13"/>
        <v>3.6616388724722081E-4</v>
      </c>
      <c r="J161" s="26">
        <f t="shared" si="14"/>
        <v>0.26455000385435651</v>
      </c>
      <c r="K161" s="26">
        <f t="shared" si="15"/>
        <v>1.3841008577297398E-3</v>
      </c>
      <c r="L161" s="27">
        <f t="shared" si="16"/>
        <v>1.3144577760489523E-2</v>
      </c>
      <c r="M161" s="27">
        <f t="shared" si="17"/>
        <v>7.6126901302180414</v>
      </c>
      <c r="N161" s="27"/>
      <c r="O161" s="27"/>
      <c r="P161"/>
    </row>
    <row r="162" spans="1:16" ht="15">
      <c r="A162" s="17" t="s">
        <v>537</v>
      </c>
      <c r="B162" s="14" t="s">
        <v>175</v>
      </c>
      <c r="C162" s="25">
        <f>VLOOKUP(B162,'Consensus Phospho site'!B:G,6,FALSE)</f>
        <v>1.4646555489888833E-3</v>
      </c>
      <c r="D162" s="17" t="e">
        <v>#N/A</v>
      </c>
      <c r="E162" s="8" t="e">
        <v>#N/A</v>
      </c>
      <c r="F162" s="8">
        <v>0.5</v>
      </c>
      <c r="G162" s="8">
        <v>0.5</v>
      </c>
      <c r="H162" s="8">
        <f t="shared" si="12"/>
        <v>0.25</v>
      </c>
      <c r="I162" s="26">
        <f t="shared" si="13"/>
        <v>3.6616388724722081E-4</v>
      </c>
      <c r="J162" s="26">
        <f t="shared" si="14"/>
        <v>0.26455000385435651</v>
      </c>
      <c r="K162" s="26">
        <f t="shared" si="15"/>
        <v>1.3841008577297398E-3</v>
      </c>
      <c r="L162" s="27">
        <f t="shared" si="16"/>
        <v>1.3144577760489523E-2</v>
      </c>
      <c r="M162" s="27">
        <f t="shared" si="17"/>
        <v>7.6126901302180414</v>
      </c>
      <c r="N162" s="27"/>
      <c r="O162" s="27"/>
      <c r="P162"/>
    </row>
    <row r="163" spans="1:16" ht="15">
      <c r="A163" s="17" t="s">
        <v>537</v>
      </c>
      <c r="B163" s="14" t="s">
        <v>178</v>
      </c>
      <c r="C163" s="25">
        <f>VLOOKUP(B163,'Consensus Phospho site'!B:G,6,FALSE)</f>
        <v>1.4646555489888833E-3</v>
      </c>
      <c r="D163" s="17" t="e">
        <v>#N/A</v>
      </c>
      <c r="E163" s="8" t="e">
        <v>#N/A</v>
      </c>
      <c r="F163" s="8">
        <v>0.5</v>
      </c>
      <c r="G163" s="8">
        <v>0.5</v>
      </c>
      <c r="H163" s="8">
        <f t="shared" si="12"/>
        <v>0.25</v>
      </c>
      <c r="I163" s="26">
        <f t="shared" si="13"/>
        <v>3.6616388724722081E-4</v>
      </c>
      <c r="J163" s="26">
        <f t="shared" si="14"/>
        <v>0.26455000385435651</v>
      </c>
      <c r="K163" s="26">
        <f t="shared" si="15"/>
        <v>1.3841008577297398E-3</v>
      </c>
      <c r="L163" s="27">
        <f t="shared" si="16"/>
        <v>1.3144577760489523E-2</v>
      </c>
      <c r="M163" s="27">
        <f t="shared" si="17"/>
        <v>7.6126901302180414</v>
      </c>
      <c r="N163" s="27"/>
      <c r="O163" s="27"/>
      <c r="P163"/>
    </row>
    <row r="164" spans="1:16" ht="15">
      <c r="A164" s="17" t="s">
        <v>537</v>
      </c>
      <c r="B164" s="14" t="s">
        <v>181</v>
      </c>
      <c r="C164" s="25">
        <f>VLOOKUP(B164,'Consensus Phospho site'!B:G,6,FALSE)</f>
        <v>1.4646555489888833E-3</v>
      </c>
      <c r="D164" s="17" t="e">
        <v>#N/A</v>
      </c>
      <c r="E164" s="8" t="e">
        <v>#N/A</v>
      </c>
      <c r="F164" s="8">
        <v>0.5</v>
      </c>
      <c r="G164" s="8">
        <v>0.5</v>
      </c>
      <c r="H164" s="8">
        <f t="shared" si="12"/>
        <v>0.25</v>
      </c>
      <c r="I164" s="26">
        <f t="shared" si="13"/>
        <v>3.6616388724722081E-4</v>
      </c>
      <c r="J164" s="26">
        <f t="shared" si="14"/>
        <v>0.26455000385435651</v>
      </c>
      <c r="K164" s="26">
        <f t="shared" si="15"/>
        <v>1.3841008577297398E-3</v>
      </c>
      <c r="L164" s="27">
        <f t="shared" si="16"/>
        <v>1.3144577760489523E-2</v>
      </c>
      <c r="M164" s="27">
        <f t="shared" si="17"/>
        <v>7.6126901302180414</v>
      </c>
      <c r="N164" s="27"/>
      <c r="O164" s="27"/>
      <c r="P164"/>
    </row>
    <row r="165" spans="1:16" ht="15">
      <c r="A165" s="17" t="s">
        <v>537</v>
      </c>
      <c r="B165" s="14" t="s">
        <v>182</v>
      </c>
      <c r="C165" s="25">
        <f>VLOOKUP(B165,'Consensus Phospho site'!B:G,6,FALSE)</f>
        <v>1.4646555489888833E-3</v>
      </c>
      <c r="D165" s="17" t="e">
        <v>#N/A</v>
      </c>
      <c r="E165" s="8" t="e">
        <v>#N/A</v>
      </c>
      <c r="F165" s="8">
        <v>0.5</v>
      </c>
      <c r="G165" s="8">
        <v>0.5</v>
      </c>
      <c r="H165" s="8">
        <f t="shared" si="12"/>
        <v>0.25</v>
      </c>
      <c r="I165" s="26">
        <f t="shared" si="13"/>
        <v>3.6616388724722081E-4</v>
      </c>
      <c r="J165" s="26">
        <f t="shared" si="14"/>
        <v>0.26455000385435651</v>
      </c>
      <c r="K165" s="26">
        <f t="shared" si="15"/>
        <v>1.3841008577297398E-3</v>
      </c>
      <c r="L165" s="27">
        <f t="shared" si="16"/>
        <v>1.3144577760489523E-2</v>
      </c>
      <c r="M165" s="27">
        <f t="shared" si="17"/>
        <v>7.6126901302180414</v>
      </c>
      <c r="N165" s="27"/>
      <c r="O165" s="27"/>
      <c r="P165"/>
    </row>
    <row r="166" spans="1:16" ht="15">
      <c r="A166" s="17" t="s">
        <v>537</v>
      </c>
      <c r="B166" s="14" t="s">
        <v>183</v>
      </c>
      <c r="C166" s="25">
        <f>VLOOKUP(B166,'Consensus Phospho site'!B:G,6,FALSE)</f>
        <v>1.4646555489888833E-3</v>
      </c>
      <c r="D166" s="17" t="e">
        <v>#N/A</v>
      </c>
      <c r="E166" s="8" t="e">
        <v>#N/A</v>
      </c>
      <c r="F166" s="8">
        <v>0.5</v>
      </c>
      <c r="G166" s="8">
        <v>0.5</v>
      </c>
      <c r="H166" s="8">
        <f t="shared" si="12"/>
        <v>0.25</v>
      </c>
      <c r="I166" s="26">
        <f t="shared" si="13"/>
        <v>3.6616388724722081E-4</v>
      </c>
      <c r="J166" s="26">
        <f t="shared" si="14"/>
        <v>0.26455000385435651</v>
      </c>
      <c r="K166" s="26">
        <f t="shared" si="15"/>
        <v>1.3841008577297398E-3</v>
      </c>
      <c r="L166" s="27">
        <f t="shared" si="16"/>
        <v>1.3144577760489523E-2</v>
      </c>
      <c r="M166" s="27">
        <f t="shared" si="17"/>
        <v>7.6126901302180414</v>
      </c>
      <c r="N166" s="27"/>
      <c r="O166" s="27"/>
      <c r="P166"/>
    </row>
    <row r="167" spans="1:16" ht="15">
      <c r="A167" s="17" t="s">
        <v>537</v>
      </c>
      <c r="B167" s="14" t="s">
        <v>190</v>
      </c>
      <c r="C167" s="25">
        <f>VLOOKUP(B167,'Consensus Phospho site'!B:G,6,FALSE)</f>
        <v>1.4646555489888833E-3</v>
      </c>
      <c r="D167" s="17" t="e">
        <v>#N/A</v>
      </c>
      <c r="E167" s="8" t="e">
        <v>#N/A</v>
      </c>
      <c r="F167" s="8">
        <v>0.5</v>
      </c>
      <c r="G167" s="8">
        <v>0.5</v>
      </c>
      <c r="H167" s="8">
        <f t="shared" si="12"/>
        <v>0.25</v>
      </c>
      <c r="I167" s="26">
        <f t="shared" si="13"/>
        <v>3.6616388724722081E-4</v>
      </c>
      <c r="J167" s="26">
        <f t="shared" si="14"/>
        <v>0.26455000385435651</v>
      </c>
      <c r="K167" s="26">
        <f t="shared" si="15"/>
        <v>1.3841008577297398E-3</v>
      </c>
      <c r="L167" s="27">
        <f t="shared" si="16"/>
        <v>1.3144577760489523E-2</v>
      </c>
      <c r="M167" s="27">
        <f t="shared" si="17"/>
        <v>7.6126901302180414</v>
      </c>
      <c r="N167" s="27"/>
      <c r="O167" s="27"/>
      <c r="P167"/>
    </row>
    <row r="168" spans="1:16" ht="15">
      <c r="A168" s="17" t="s">
        <v>537</v>
      </c>
      <c r="B168" s="14" t="s">
        <v>191</v>
      </c>
      <c r="C168" s="25">
        <f>VLOOKUP(B168,'Consensus Phospho site'!B:G,6,FALSE)</f>
        <v>1.4646555489888833E-3</v>
      </c>
      <c r="D168" s="17" t="e">
        <v>#N/A</v>
      </c>
      <c r="E168" s="8" t="e">
        <v>#N/A</v>
      </c>
      <c r="F168" s="8">
        <v>0.5</v>
      </c>
      <c r="G168" s="8">
        <v>0.5</v>
      </c>
      <c r="H168" s="8">
        <f t="shared" si="12"/>
        <v>0.25</v>
      </c>
      <c r="I168" s="26">
        <f t="shared" si="13"/>
        <v>3.6616388724722081E-4</v>
      </c>
      <c r="J168" s="26">
        <f t="shared" si="14"/>
        <v>0.26455000385435651</v>
      </c>
      <c r="K168" s="26">
        <f t="shared" si="15"/>
        <v>1.3841008577297398E-3</v>
      </c>
      <c r="L168" s="27">
        <f t="shared" si="16"/>
        <v>1.3144577760489523E-2</v>
      </c>
      <c r="M168" s="27">
        <f t="shared" si="17"/>
        <v>7.6126901302180414</v>
      </c>
      <c r="N168" s="27"/>
      <c r="O168" s="27"/>
      <c r="P168"/>
    </row>
    <row r="169" spans="1:16" ht="15">
      <c r="A169" s="17" t="s">
        <v>537</v>
      </c>
      <c r="B169" s="14" t="s">
        <v>192</v>
      </c>
      <c r="C169" s="25">
        <f>VLOOKUP(B169,'Consensus Phospho site'!B:G,6,FALSE)</f>
        <v>1.4646555489888833E-3</v>
      </c>
      <c r="D169" s="17" t="e">
        <v>#N/A</v>
      </c>
      <c r="E169" s="8" t="e">
        <v>#N/A</v>
      </c>
      <c r="F169" s="8">
        <v>0.5</v>
      </c>
      <c r="G169" s="8">
        <v>0.5</v>
      </c>
      <c r="H169" s="8">
        <f t="shared" si="12"/>
        <v>0.25</v>
      </c>
      <c r="I169" s="26">
        <f t="shared" si="13"/>
        <v>3.6616388724722081E-4</v>
      </c>
      <c r="J169" s="26">
        <f t="shared" si="14"/>
        <v>0.26455000385435651</v>
      </c>
      <c r="K169" s="26">
        <f t="shared" si="15"/>
        <v>1.3841008577297398E-3</v>
      </c>
      <c r="L169" s="27">
        <f t="shared" si="16"/>
        <v>1.3144577760489523E-2</v>
      </c>
      <c r="M169" s="27">
        <f t="shared" si="17"/>
        <v>7.6126901302180414</v>
      </c>
      <c r="N169" s="27"/>
      <c r="O169" s="27"/>
      <c r="P169"/>
    </row>
    <row r="170" spans="1:16" ht="15">
      <c r="A170" s="17" t="s">
        <v>537</v>
      </c>
      <c r="B170" s="14" t="s">
        <v>194</v>
      </c>
      <c r="C170" s="25">
        <f>VLOOKUP(B170,'Consensus Phospho site'!B:G,6,FALSE)</f>
        <v>1.4646555489888833E-3</v>
      </c>
      <c r="D170" s="17" t="e">
        <v>#N/A</v>
      </c>
      <c r="E170" s="8" t="e">
        <v>#N/A</v>
      </c>
      <c r="F170" s="8">
        <v>0.5</v>
      </c>
      <c r="G170" s="8">
        <v>0.5</v>
      </c>
      <c r="H170" s="8">
        <f t="shared" si="12"/>
        <v>0.25</v>
      </c>
      <c r="I170" s="26">
        <f t="shared" si="13"/>
        <v>3.6616388724722081E-4</v>
      </c>
      <c r="J170" s="26">
        <f t="shared" si="14"/>
        <v>0.26455000385435651</v>
      </c>
      <c r="K170" s="26">
        <f t="shared" si="15"/>
        <v>1.3841008577297398E-3</v>
      </c>
      <c r="L170" s="27">
        <f t="shared" si="16"/>
        <v>1.3144577760489523E-2</v>
      </c>
      <c r="M170" s="27">
        <f t="shared" si="17"/>
        <v>7.6126901302180414</v>
      </c>
      <c r="N170" s="27"/>
      <c r="O170" s="27"/>
      <c r="P170"/>
    </row>
    <row r="171" spans="1:16" ht="15">
      <c r="A171" s="17" t="s">
        <v>537</v>
      </c>
      <c r="B171" s="14" t="s">
        <v>195</v>
      </c>
      <c r="C171" s="25">
        <f>VLOOKUP(B171,'Consensus Phospho site'!B:G,6,FALSE)</f>
        <v>1.4646555489888833E-3</v>
      </c>
      <c r="D171" s="17" t="e">
        <v>#N/A</v>
      </c>
      <c r="E171" s="8" t="e">
        <v>#N/A</v>
      </c>
      <c r="F171" s="8">
        <v>0.5</v>
      </c>
      <c r="G171" s="8">
        <v>0.5</v>
      </c>
      <c r="H171" s="8">
        <f t="shared" si="12"/>
        <v>0.25</v>
      </c>
      <c r="I171" s="26">
        <f t="shared" si="13"/>
        <v>3.6616388724722081E-4</v>
      </c>
      <c r="J171" s="26">
        <f t="shared" si="14"/>
        <v>0.26455000385435651</v>
      </c>
      <c r="K171" s="26">
        <f t="shared" si="15"/>
        <v>1.3841008577297398E-3</v>
      </c>
      <c r="L171" s="27">
        <f t="shared" si="16"/>
        <v>1.3144577760489523E-2</v>
      </c>
      <c r="M171" s="27">
        <f t="shared" si="17"/>
        <v>7.6126901302180414</v>
      </c>
      <c r="N171" s="27"/>
      <c r="O171" s="27"/>
      <c r="P171"/>
    </row>
    <row r="172" spans="1:16" ht="15">
      <c r="A172" s="17" t="s">
        <v>537</v>
      </c>
      <c r="B172" s="14" t="s">
        <v>199</v>
      </c>
      <c r="C172" s="25">
        <f>VLOOKUP(B172,'Consensus Phospho site'!B:G,6,FALSE)</f>
        <v>1.4646555489888833E-3</v>
      </c>
      <c r="D172" s="17" t="e">
        <v>#N/A</v>
      </c>
      <c r="E172" s="8" t="e">
        <v>#N/A</v>
      </c>
      <c r="F172" s="8">
        <v>0.5</v>
      </c>
      <c r="G172" s="8">
        <v>0.5</v>
      </c>
      <c r="H172" s="8">
        <f t="shared" si="12"/>
        <v>0.25</v>
      </c>
      <c r="I172" s="26">
        <f t="shared" si="13"/>
        <v>3.6616388724722081E-4</v>
      </c>
      <c r="J172" s="26">
        <f t="shared" si="14"/>
        <v>0.26455000385435651</v>
      </c>
      <c r="K172" s="26">
        <f t="shared" si="15"/>
        <v>1.3841008577297398E-3</v>
      </c>
      <c r="L172" s="27">
        <f t="shared" si="16"/>
        <v>1.3144577760489523E-2</v>
      </c>
      <c r="M172" s="27">
        <f t="shared" si="17"/>
        <v>7.6126901302180414</v>
      </c>
      <c r="N172" s="27"/>
      <c r="O172" s="27"/>
      <c r="P172"/>
    </row>
    <row r="173" spans="1:16" ht="15">
      <c r="A173" s="17" t="s">
        <v>537</v>
      </c>
      <c r="B173" s="14" t="s">
        <v>201</v>
      </c>
      <c r="C173" s="25">
        <f>VLOOKUP(B173,'Consensus Phospho site'!B:G,6,FALSE)</f>
        <v>1.4646555489888833E-3</v>
      </c>
      <c r="D173" s="17" t="e">
        <v>#N/A</v>
      </c>
      <c r="E173" s="8" t="e">
        <v>#N/A</v>
      </c>
      <c r="F173" s="8">
        <v>0.5</v>
      </c>
      <c r="G173" s="8">
        <v>0.5</v>
      </c>
      <c r="H173" s="8">
        <f t="shared" si="12"/>
        <v>0.25</v>
      </c>
      <c r="I173" s="26">
        <f t="shared" si="13"/>
        <v>3.6616388724722081E-4</v>
      </c>
      <c r="J173" s="26">
        <f t="shared" si="14"/>
        <v>0.26455000385435651</v>
      </c>
      <c r="K173" s="26">
        <f t="shared" si="15"/>
        <v>1.3841008577297398E-3</v>
      </c>
      <c r="L173" s="27">
        <f t="shared" si="16"/>
        <v>1.3144577760489523E-2</v>
      </c>
      <c r="M173" s="27">
        <f t="shared" si="17"/>
        <v>7.6126901302180414</v>
      </c>
      <c r="N173" s="27"/>
      <c r="O173" s="27"/>
      <c r="P173"/>
    </row>
    <row r="174" spans="1:16" ht="15">
      <c r="A174" s="17" t="s">
        <v>537</v>
      </c>
      <c r="B174" s="14" t="s">
        <v>203</v>
      </c>
      <c r="C174" s="25">
        <f>VLOOKUP(B174,'Consensus Phospho site'!B:G,6,FALSE)</f>
        <v>1.4646555489888833E-3</v>
      </c>
      <c r="D174" s="17" t="e">
        <v>#N/A</v>
      </c>
      <c r="E174" s="8" t="e">
        <v>#N/A</v>
      </c>
      <c r="F174" s="8">
        <v>0.5</v>
      </c>
      <c r="G174" s="8">
        <v>0.5</v>
      </c>
      <c r="H174" s="8">
        <f t="shared" si="12"/>
        <v>0.25</v>
      </c>
      <c r="I174" s="26">
        <f t="shared" si="13"/>
        <v>3.6616388724722081E-4</v>
      </c>
      <c r="J174" s="26">
        <f t="shared" si="14"/>
        <v>0.26455000385435651</v>
      </c>
      <c r="K174" s="26">
        <f t="shared" si="15"/>
        <v>1.3841008577297398E-3</v>
      </c>
      <c r="L174" s="27">
        <f t="shared" si="16"/>
        <v>1.3144577760489523E-2</v>
      </c>
      <c r="M174" s="27">
        <f t="shared" si="17"/>
        <v>7.6126901302180414</v>
      </c>
      <c r="N174" s="27"/>
      <c r="O174" s="27"/>
      <c r="P174"/>
    </row>
    <row r="175" spans="1:16" ht="15">
      <c r="A175" s="17" t="s">
        <v>537</v>
      </c>
      <c r="B175" s="14" t="s">
        <v>210</v>
      </c>
      <c r="C175" s="25">
        <f>VLOOKUP(B175,'Consensus Phospho site'!B:G,6,FALSE)</f>
        <v>1.4646555489888833E-3</v>
      </c>
      <c r="D175" s="17" t="e">
        <v>#N/A</v>
      </c>
      <c r="E175" s="8" t="e">
        <v>#N/A</v>
      </c>
      <c r="F175" s="8">
        <v>0.5</v>
      </c>
      <c r="G175" s="8">
        <v>0.5</v>
      </c>
      <c r="H175" s="8">
        <f t="shared" si="12"/>
        <v>0.25</v>
      </c>
      <c r="I175" s="26">
        <f t="shared" si="13"/>
        <v>3.6616388724722081E-4</v>
      </c>
      <c r="J175" s="26">
        <f t="shared" si="14"/>
        <v>0.26455000385435651</v>
      </c>
      <c r="K175" s="26">
        <f t="shared" si="15"/>
        <v>1.3841008577297398E-3</v>
      </c>
      <c r="L175" s="27">
        <f t="shared" si="16"/>
        <v>1.3144577760489523E-2</v>
      </c>
      <c r="M175" s="27">
        <f t="shared" si="17"/>
        <v>7.6126901302180414</v>
      </c>
      <c r="N175" s="27"/>
      <c r="O175" s="27"/>
      <c r="P175"/>
    </row>
    <row r="176" spans="1:16" ht="15">
      <c r="A176" s="17" t="s">
        <v>537</v>
      </c>
      <c r="B176" s="14" t="s">
        <v>211</v>
      </c>
      <c r="C176" s="25">
        <f>VLOOKUP(B176,'Consensus Phospho site'!B:G,6,FALSE)</f>
        <v>1.4646555489888833E-3</v>
      </c>
      <c r="D176" s="17" t="e">
        <v>#N/A</v>
      </c>
      <c r="E176" s="8" t="e">
        <v>#N/A</v>
      </c>
      <c r="F176" s="8">
        <v>0.5</v>
      </c>
      <c r="G176" s="8">
        <v>0.5</v>
      </c>
      <c r="H176" s="8">
        <f t="shared" si="12"/>
        <v>0.25</v>
      </c>
      <c r="I176" s="26">
        <f t="shared" si="13"/>
        <v>3.6616388724722081E-4</v>
      </c>
      <c r="J176" s="26">
        <f t="shared" si="14"/>
        <v>0.26455000385435651</v>
      </c>
      <c r="K176" s="26">
        <f t="shared" si="15"/>
        <v>1.3841008577297398E-3</v>
      </c>
      <c r="L176" s="27">
        <f t="shared" si="16"/>
        <v>1.3144577760489523E-2</v>
      </c>
      <c r="M176" s="27">
        <f t="shared" si="17"/>
        <v>7.6126901302180414</v>
      </c>
      <c r="N176" s="27"/>
      <c r="O176" s="27"/>
      <c r="P176"/>
    </row>
    <row r="177" spans="1:16" ht="15">
      <c r="A177" s="17" t="s">
        <v>535</v>
      </c>
      <c r="B177" s="14" t="s">
        <v>321</v>
      </c>
      <c r="C177" s="25">
        <f>VLOOKUP(B177,'Consensus Phospho site'!B:G,6,FALSE)</f>
        <v>1.1391765381024643E-3</v>
      </c>
      <c r="D177" s="17" t="e">
        <v>#N/A</v>
      </c>
      <c r="E177" s="8" t="e">
        <v>#N/A</v>
      </c>
      <c r="F177" s="8">
        <v>0.5</v>
      </c>
      <c r="G177" s="8">
        <v>0.5</v>
      </c>
      <c r="H177" s="8">
        <f t="shared" si="12"/>
        <v>0.25</v>
      </c>
      <c r="I177" s="26">
        <f t="shared" si="13"/>
        <v>2.8479413452561607E-4</v>
      </c>
      <c r="J177" s="26">
        <f t="shared" si="14"/>
        <v>0.26455000385435651</v>
      </c>
      <c r="K177" s="26">
        <f t="shared" si="15"/>
        <v>1.0765228893453527E-3</v>
      </c>
      <c r="L177" s="27">
        <f t="shared" si="16"/>
        <v>1.0613875469830135E-2</v>
      </c>
      <c r="M177" s="27">
        <f t="shared" si="17"/>
        <v>7.6126901302180414</v>
      </c>
      <c r="N177" s="27"/>
      <c r="O177" s="27"/>
      <c r="P177"/>
    </row>
    <row r="178" spans="1:16" ht="15">
      <c r="A178" s="17" t="s">
        <v>535</v>
      </c>
      <c r="B178" s="14" t="s">
        <v>322</v>
      </c>
      <c r="C178" s="25">
        <f>VLOOKUP(B178,'Consensus Phospho site'!B:G,6,FALSE)</f>
        <v>1.1391765381024643E-3</v>
      </c>
      <c r="D178" s="17" t="e">
        <v>#N/A</v>
      </c>
      <c r="E178" s="8" t="e">
        <v>#N/A</v>
      </c>
      <c r="F178" s="8">
        <v>0.5</v>
      </c>
      <c r="G178" s="8">
        <v>0.5</v>
      </c>
      <c r="H178" s="8">
        <f t="shared" si="12"/>
        <v>0.25</v>
      </c>
      <c r="I178" s="26">
        <f t="shared" si="13"/>
        <v>2.8479413452561607E-4</v>
      </c>
      <c r="J178" s="26">
        <f t="shared" si="14"/>
        <v>0.26455000385435651</v>
      </c>
      <c r="K178" s="26">
        <f t="shared" si="15"/>
        <v>1.0765228893453527E-3</v>
      </c>
      <c r="L178" s="27">
        <f t="shared" si="16"/>
        <v>1.0613875469830135E-2</v>
      </c>
      <c r="M178" s="27">
        <f t="shared" si="17"/>
        <v>7.6126901302180414</v>
      </c>
      <c r="N178" s="27"/>
      <c r="O178" s="27"/>
      <c r="P178"/>
    </row>
    <row r="179" spans="1:16" ht="15">
      <c r="A179" s="17" t="s">
        <v>524</v>
      </c>
      <c r="B179" s="14" t="s">
        <v>0</v>
      </c>
      <c r="C179" s="25">
        <f>VLOOKUP(B179,'Consensus Phospho site'!B:G,6,FALSE)</f>
        <v>1.1391765381024643E-3</v>
      </c>
      <c r="D179" s="17" t="e">
        <v>#N/A</v>
      </c>
      <c r="E179" s="8" t="e">
        <v>#N/A</v>
      </c>
      <c r="F179" s="8">
        <v>0.5</v>
      </c>
      <c r="G179" s="8">
        <v>0.5</v>
      </c>
      <c r="H179" s="8">
        <f t="shared" si="12"/>
        <v>0.25</v>
      </c>
      <c r="I179" s="26">
        <f t="shared" si="13"/>
        <v>2.8479413452561607E-4</v>
      </c>
      <c r="J179" s="26">
        <f t="shared" si="14"/>
        <v>0.26455000385435651</v>
      </c>
      <c r="K179" s="26">
        <f t="shared" si="15"/>
        <v>1.0765228893453527E-3</v>
      </c>
      <c r="L179" s="27">
        <f t="shared" si="16"/>
        <v>1.0613875469830135E-2</v>
      </c>
      <c r="M179" s="27">
        <f t="shared" si="17"/>
        <v>7.6126901302180414</v>
      </c>
      <c r="N179" s="27"/>
      <c r="O179" s="27"/>
      <c r="P179"/>
    </row>
    <row r="180" spans="1:16" ht="15">
      <c r="A180" s="17" t="s">
        <v>524</v>
      </c>
      <c r="B180" s="14" t="s">
        <v>3</v>
      </c>
      <c r="C180" s="25">
        <f>VLOOKUP(B180,'Consensus Phospho site'!B:G,6,FALSE)</f>
        <v>1.1391765381024643E-3</v>
      </c>
      <c r="D180" s="17" t="e">
        <v>#N/A</v>
      </c>
      <c r="E180" s="8" t="e">
        <v>#N/A</v>
      </c>
      <c r="F180" s="8">
        <v>0.5</v>
      </c>
      <c r="G180" s="8">
        <v>0.5</v>
      </c>
      <c r="H180" s="8">
        <f t="shared" si="12"/>
        <v>0.25</v>
      </c>
      <c r="I180" s="26">
        <f t="shared" si="13"/>
        <v>2.8479413452561607E-4</v>
      </c>
      <c r="J180" s="26">
        <f t="shared" si="14"/>
        <v>0.26455000385435651</v>
      </c>
      <c r="K180" s="26">
        <f t="shared" si="15"/>
        <v>1.0765228893453527E-3</v>
      </c>
      <c r="L180" s="27">
        <f t="shared" si="16"/>
        <v>1.0613875469830135E-2</v>
      </c>
      <c r="M180" s="27">
        <f t="shared" si="17"/>
        <v>7.6126901302180414</v>
      </c>
      <c r="N180" s="27"/>
      <c r="O180" s="27"/>
      <c r="P180"/>
    </row>
    <row r="181" spans="1:16" ht="15">
      <c r="A181" s="17" t="s">
        <v>524</v>
      </c>
      <c r="B181" s="14" t="s">
        <v>4</v>
      </c>
      <c r="C181" s="25">
        <f>VLOOKUP(B181,'Consensus Phospho site'!B:G,6,FALSE)</f>
        <v>1.1391765381024643E-3</v>
      </c>
      <c r="D181" s="17" t="e">
        <v>#N/A</v>
      </c>
      <c r="E181" s="8" t="e">
        <v>#N/A</v>
      </c>
      <c r="F181" s="8">
        <v>0.5</v>
      </c>
      <c r="G181" s="8">
        <v>0.5</v>
      </c>
      <c r="H181" s="8">
        <f t="shared" si="12"/>
        <v>0.25</v>
      </c>
      <c r="I181" s="26">
        <f t="shared" si="13"/>
        <v>2.8479413452561607E-4</v>
      </c>
      <c r="J181" s="26">
        <f t="shared" si="14"/>
        <v>0.26455000385435651</v>
      </c>
      <c r="K181" s="26">
        <f t="shared" si="15"/>
        <v>1.0765228893453527E-3</v>
      </c>
      <c r="L181" s="27">
        <f t="shared" si="16"/>
        <v>1.0613875469830135E-2</v>
      </c>
      <c r="M181" s="27">
        <f t="shared" si="17"/>
        <v>7.6126901302180414</v>
      </c>
      <c r="N181" s="27"/>
      <c r="O181" s="27"/>
      <c r="P181"/>
    </row>
    <row r="182" spans="1:16" ht="15">
      <c r="A182" s="17" t="s">
        <v>534</v>
      </c>
      <c r="B182" s="14" t="s">
        <v>68</v>
      </c>
      <c r="C182" s="25">
        <f>VLOOKUP(B182,'Consensus Phospho site'!B:G,6,FALSE)</f>
        <v>1.1391765381024643E-3</v>
      </c>
      <c r="D182" s="17" t="e">
        <v>#N/A</v>
      </c>
      <c r="E182" s="8" t="e">
        <v>#N/A</v>
      </c>
      <c r="F182" s="8">
        <v>0.5</v>
      </c>
      <c r="G182" s="8">
        <v>0.5</v>
      </c>
      <c r="H182" s="8">
        <f t="shared" si="12"/>
        <v>0.25</v>
      </c>
      <c r="I182" s="26">
        <f t="shared" si="13"/>
        <v>2.8479413452561607E-4</v>
      </c>
      <c r="J182" s="26">
        <f t="shared" si="14"/>
        <v>0.26455000385435651</v>
      </c>
      <c r="K182" s="26">
        <f t="shared" si="15"/>
        <v>1.0765228893453527E-3</v>
      </c>
      <c r="L182" s="27">
        <f t="shared" si="16"/>
        <v>1.0613875469830135E-2</v>
      </c>
      <c r="M182" s="27">
        <f t="shared" si="17"/>
        <v>7.6126901302180414</v>
      </c>
      <c r="N182" s="27"/>
      <c r="O182" s="27"/>
      <c r="P182"/>
    </row>
    <row r="183" spans="1:16" ht="15">
      <c r="A183" s="17" t="s">
        <v>524</v>
      </c>
      <c r="B183" s="14" t="s">
        <v>5</v>
      </c>
      <c r="C183" s="25">
        <f>VLOOKUP(B183,'Consensus Phospho site'!B:G,6,FALSE)</f>
        <v>1.1391765381024643E-3</v>
      </c>
      <c r="D183" s="17" t="e">
        <v>#N/A</v>
      </c>
      <c r="E183" s="8" t="e">
        <v>#N/A</v>
      </c>
      <c r="F183" s="8">
        <v>0.5</v>
      </c>
      <c r="G183" s="8">
        <v>0.5</v>
      </c>
      <c r="H183" s="8">
        <f t="shared" si="12"/>
        <v>0.25</v>
      </c>
      <c r="I183" s="26">
        <f t="shared" si="13"/>
        <v>2.8479413452561607E-4</v>
      </c>
      <c r="J183" s="26">
        <f t="shared" si="14"/>
        <v>0.26455000385435651</v>
      </c>
      <c r="K183" s="26">
        <f t="shared" si="15"/>
        <v>1.0765228893453527E-3</v>
      </c>
      <c r="L183" s="27">
        <f t="shared" si="16"/>
        <v>1.0613875469830135E-2</v>
      </c>
      <c r="M183" s="27">
        <f t="shared" si="17"/>
        <v>7.6126901302180414</v>
      </c>
      <c r="N183" s="27"/>
      <c r="O183" s="27"/>
      <c r="P183"/>
    </row>
    <row r="184" spans="1:16" ht="15">
      <c r="A184" s="17" t="s">
        <v>535</v>
      </c>
      <c r="B184" s="14" t="s">
        <v>329</v>
      </c>
      <c r="C184" s="25">
        <f>VLOOKUP(B184,'Consensus Phospho site'!B:G,6,FALSE)</f>
        <v>1.1391765381024643E-3</v>
      </c>
      <c r="D184" s="17" t="e">
        <v>#N/A</v>
      </c>
      <c r="E184" s="8" t="e">
        <v>#N/A</v>
      </c>
      <c r="F184" s="8">
        <v>0.5</v>
      </c>
      <c r="G184" s="8">
        <v>0.5</v>
      </c>
      <c r="H184" s="8">
        <f t="shared" si="12"/>
        <v>0.25</v>
      </c>
      <c r="I184" s="26">
        <f t="shared" si="13"/>
        <v>2.8479413452561607E-4</v>
      </c>
      <c r="J184" s="26">
        <f t="shared" si="14"/>
        <v>0.26455000385435651</v>
      </c>
      <c r="K184" s="26">
        <f t="shared" si="15"/>
        <v>1.0765228893453527E-3</v>
      </c>
      <c r="L184" s="27">
        <f t="shared" si="16"/>
        <v>1.0613875469830135E-2</v>
      </c>
      <c r="M184" s="27">
        <f t="shared" si="17"/>
        <v>7.6126901302180414</v>
      </c>
      <c r="N184" s="27"/>
      <c r="O184" s="27"/>
      <c r="P184"/>
    </row>
    <row r="185" spans="1:16" ht="15">
      <c r="A185" s="17" t="s">
        <v>534</v>
      </c>
      <c r="B185" s="14" t="s">
        <v>73</v>
      </c>
      <c r="C185" s="25">
        <f>VLOOKUP(B185,'Consensus Phospho site'!B:G,6,FALSE)</f>
        <v>1.1391765381024643E-3</v>
      </c>
      <c r="D185" s="17" t="e">
        <v>#N/A</v>
      </c>
      <c r="E185" s="8" t="e">
        <v>#N/A</v>
      </c>
      <c r="F185" s="8">
        <v>0.5</v>
      </c>
      <c r="G185" s="8">
        <v>0.5</v>
      </c>
      <c r="H185" s="8">
        <f t="shared" si="12"/>
        <v>0.25</v>
      </c>
      <c r="I185" s="26">
        <f t="shared" si="13"/>
        <v>2.8479413452561607E-4</v>
      </c>
      <c r="J185" s="26">
        <f t="shared" si="14"/>
        <v>0.26455000385435651</v>
      </c>
      <c r="K185" s="26">
        <f t="shared" si="15"/>
        <v>1.0765228893453527E-3</v>
      </c>
      <c r="L185" s="27">
        <f t="shared" si="16"/>
        <v>1.0613875469830135E-2</v>
      </c>
      <c r="M185" s="27">
        <f t="shared" si="17"/>
        <v>7.6126901302180414</v>
      </c>
      <c r="N185" s="27"/>
      <c r="O185" s="27"/>
      <c r="P185"/>
    </row>
    <row r="186" spans="1:16" ht="15">
      <c r="A186" s="17" t="s">
        <v>535</v>
      </c>
      <c r="B186" s="14" t="s">
        <v>332</v>
      </c>
      <c r="C186" s="25">
        <f>VLOOKUP(B186,'Consensus Phospho site'!B:G,6,FALSE)</f>
        <v>1.1391765381024643E-3</v>
      </c>
      <c r="D186" s="17" t="e">
        <v>#N/A</v>
      </c>
      <c r="E186" s="8" t="e">
        <v>#N/A</v>
      </c>
      <c r="F186" s="8">
        <v>0.5</v>
      </c>
      <c r="G186" s="8">
        <v>0.5</v>
      </c>
      <c r="H186" s="8">
        <f t="shared" si="12"/>
        <v>0.25</v>
      </c>
      <c r="I186" s="26">
        <f t="shared" si="13"/>
        <v>2.8479413452561607E-4</v>
      </c>
      <c r="J186" s="26">
        <f t="shared" si="14"/>
        <v>0.26455000385435651</v>
      </c>
      <c r="K186" s="26">
        <f t="shared" si="15"/>
        <v>1.0765228893453527E-3</v>
      </c>
      <c r="L186" s="27">
        <f t="shared" si="16"/>
        <v>1.0613875469830135E-2</v>
      </c>
      <c r="M186" s="27">
        <f t="shared" si="17"/>
        <v>7.6126901302180414</v>
      </c>
      <c r="N186" s="27"/>
      <c r="O186" s="27"/>
      <c r="P186"/>
    </row>
    <row r="187" spans="1:16" ht="15">
      <c r="A187" s="17" t="s">
        <v>535</v>
      </c>
      <c r="B187" s="14" t="s">
        <v>368</v>
      </c>
      <c r="C187" s="25">
        <f>VLOOKUP(B187,'Consensus Phospho site'!B:G,6,FALSE)</f>
        <v>1.1391765381024643E-3</v>
      </c>
      <c r="D187" s="17" t="e">
        <v>#N/A</v>
      </c>
      <c r="E187" s="8" t="e">
        <v>#N/A</v>
      </c>
      <c r="F187" s="8">
        <v>0.5</v>
      </c>
      <c r="G187" s="8">
        <v>0.5</v>
      </c>
      <c r="H187" s="8">
        <f t="shared" si="12"/>
        <v>0.25</v>
      </c>
      <c r="I187" s="26">
        <f t="shared" si="13"/>
        <v>2.8479413452561607E-4</v>
      </c>
      <c r="J187" s="26">
        <f t="shared" si="14"/>
        <v>0.26455000385435651</v>
      </c>
      <c r="K187" s="26">
        <f t="shared" si="15"/>
        <v>1.0765228893453527E-3</v>
      </c>
      <c r="L187" s="27">
        <f t="shared" si="16"/>
        <v>1.0613875469830135E-2</v>
      </c>
      <c r="M187" s="27">
        <f t="shared" si="17"/>
        <v>7.6126901302180414</v>
      </c>
      <c r="N187" s="27"/>
      <c r="O187" s="27"/>
      <c r="P187"/>
    </row>
    <row r="188" spans="1:16" ht="15">
      <c r="A188" s="17" t="s">
        <v>534</v>
      </c>
      <c r="B188" s="14" t="s">
        <v>82</v>
      </c>
      <c r="C188" s="25">
        <f>VLOOKUP(B188,'Consensus Phospho site'!B:G,6,FALSE)</f>
        <v>1.1391765381024643E-3</v>
      </c>
      <c r="D188" s="17" t="e">
        <v>#N/A</v>
      </c>
      <c r="E188" s="8" t="e">
        <v>#N/A</v>
      </c>
      <c r="F188" s="8">
        <v>0.5</v>
      </c>
      <c r="G188" s="8">
        <v>0.5</v>
      </c>
      <c r="H188" s="8">
        <f t="shared" si="12"/>
        <v>0.25</v>
      </c>
      <c r="I188" s="26">
        <f t="shared" si="13"/>
        <v>2.8479413452561607E-4</v>
      </c>
      <c r="J188" s="26">
        <f t="shared" si="14"/>
        <v>0.26455000385435651</v>
      </c>
      <c r="K188" s="26">
        <f t="shared" si="15"/>
        <v>1.0765228893453527E-3</v>
      </c>
      <c r="L188" s="27">
        <f t="shared" si="16"/>
        <v>1.0613875469830135E-2</v>
      </c>
      <c r="M188" s="27">
        <f t="shared" si="17"/>
        <v>7.6126901302180414</v>
      </c>
      <c r="N188" s="27"/>
      <c r="O188" s="27"/>
      <c r="P188"/>
    </row>
    <row r="189" spans="1:16" ht="15">
      <c r="A189" s="17" t="s">
        <v>534</v>
      </c>
      <c r="B189" s="14" t="s">
        <v>84</v>
      </c>
      <c r="C189" s="25">
        <f>VLOOKUP(B189,'Consensus Phospho site'!B:G,6,FALSE)</f>
        <v>1.1391765381024643E-3</v>
      </c>
      <c r="D189" s="17" t="e">
        <v>#N/A</v>
      </c>
      <c r="E189" s="8" t="e">
        <v>#N/A</v>
      </c>
      <c r="F189" s="8">
        <v>0.5</v>
      </c>
      <c r="G189" s="8">
        <v>0.5</v>
      </c>
      <c r="H189" s="8">
        <f t="shared" si="12"/>
        <v>0.25</v>
      </c>
      <c r="I189" s="26">
        <f t="shared" si="13"/>
        <v>2.8479413452561607E-4</v>
      </c>
      <c r="J189" s="26">
        <f t="shared" si="14"/>
        <v>0.26455000385435651</v>
      </c>
      <c r="K189" s="26">
        <f t="shared" si="15"/>
        <v>1.0765228893453527E-3</v>
      </c>
      <c r="L189" s="27">
        <f t="shared" si="16"/>
        <v>1.0613875469830135E-2</v>
      </c>
      <c r="M189" s="27">
        <f t="shared" si="17"/>
        <v>7.6126901302180414</v>
      </c>
      <c r="N189" s="27"/>
      <c r="O189" s="27"/>
      <c r="P189"/>
    </row>
    <row r="190" spans="1:16" ht="15">
      <c r="A190" s="17" t="s">
        <v>524</v>
      </c>
      <c r="B190" s="14" t="s">
        <v>51</v>
      </c>
      <c r="C190" s="25">
        <f>VLOOKUP(B190,'Consensus Phospho site'!B:G,6,FALSE)</f>
        <v>1.1391765381024643E-3</v>
      </c>
      <c r="D190" s="17" t="e">
        <v>#N/A</v>
      </c>
      <c r="E190" s="8" t="e">
        <v>#N/A</v>
      </c>
      <c r="F190" s="8">
        <v>0.5</v>
      </c>
      <c r="G190" s="8">
        <v>0.5</v>
      </c>
      <c r="H190" s="8">
        <f t="shared" si="12"/>
        <v>0.25</v>
      </c>
      <c r="I190" s="26">
        <f t="shared" si="13"/>
        <v>2.8479413452561607E-4</v>
      </c>
      <c r="J190" s="26">
        <f t="shared" si="14"/>
        <v>0.26455000385435651</v>
      </c>
      <c r="K190" s="26">
        <f t="shared" si="15"/>
        <v>1.0765228893453527E-3</v>
      </c>
      <c r="L190" s="27">
        <f t="shared" si="16"/>
        <v>1.0613875469830135E-2</v>
      </c>
      <c r="M190" s="27">
        <f t="shared" si="17"/>
        <v>7.6126901302180414</v>
      </c>
      <c r="N190" s="27"/>
      <c r="O190" s="27"/>
      <c r="P190"/>
    </row>
    <row r="191" spans="1:16" ht="15">
      <c r="A191" s="17" t="s">
        <v>534</v>
      </c>
      <c r="B191" s="14" t="s">
        <v>117</v>
      </c>
      <c r="C191" s="25">
        <f>VLOOKUP(B191,'Consensus Phospho site'!B:G,6,FALSE)</f>
        <v>1.1391765381024643E-3</v>
      </c>
      <c r="D191" s="17" t="e">
        <v>#N/A</v>
      </c>
      <c r="E191" s="8" t="e">
        <v>#N/A</v>
      </c>
      <c r="F191" s="8">
        <v>0.5</v>
      </c>
      <c r="G191" s="8">
        <v>0.5</v>
      </c>
      <c r="H191" s="8">
        <f t="shared" si="12"/>
        <v>0.25</v>
      </c>
      <c r="I191" s="26">
        <f t="shared" si="13"/>
        <v>2.8479413452561607E-4</v>
      </c>
      <c r="J191" s="26">
        <f t="shared" si="14"/>
        <v>0.26455000385435651</v>
      </c>
      <c r="K191" s="26">
        <f t="shared" si="15"/>
        <v>1.0765228893453527E-3</v>
      </c>
      <c r="L191" s="27">
        <f t="shared" si="16"/>
        <v>1.0613875469830135E-2</v>
      </c>
      <c r="M191" s="27">
        <f t="shared" si="17"/>
        <v>7.6126901302180414</v>
      </c>
      <c r="N191" s="27"/>
      <c r="O191" s="27"/>
      <c r="P191"/>
    </row>
    <row r="192" spans="1:16" ht="15">
      <c r="A192" s="17" t="s">
        <v>542</v>
      </c>
      <c r="B192" s="14" t="s">
        <v>493</v>
      </c>
      <c r="C192" s="25">
        <f>VLOOKUP(B192,'Consensus Phospho site'!B:G,6,FALSE)</f>
        <v>8.1369752721604616E-4</v>
      </c>
      <c r="D192" s="17" t="e">
        <v>#N/A</v>
      </c>
      <c r="E192" s="8" t="e">
        <v>#N/A</v>
      </c>
      <c r="F192" s="8">
        <v>0.5</v>
      </c>
      <c r="G192" s="8">
        <v>0.5</v>
      </c>
      <c r="H192" s="8">
        <f t="shared" si="12"/>
        <v>0.25</v>
      </c>
      <c r="I192" s="26">
        <f t="shared" si="13"/>
        <v>2.0342438180401154E-4</v>
      </c>
      <c r="J192" s="26">
        <f t="shared" si="14"/>
        <v>0.26455000385435651</v>
      </c>
      <c r="K192" s="26">
        <f t="shared" si="15"/>
        <v>7.6894492096096648E-4</v>
      </c>
      <c r="L192" s="27">
        <f t="shared" si="16"/>
        <v>7.9546061145579963E-3</v>
      </c>
      <c r="M192" s="27">
        <f t="shared" si="17"/>
        <v>7.6126901302180414</v>
      </c>
      <c r="N192" s="27"/>
      <c r="O192" s="27"/>
      <c r="P192"/>
    </row>
    <row r="193" spans="1:16" ht="15">
      <c r="A193" s="17" t="s">
        <v>542</v>
      </c>
      <c r="B193" s="14" t="s">
        <v>499</v>
      </c>
      <c r="C193" s="25">
        <f>VLOOKUP(B193,'Consensus Phospho site'!B:G,6,FALSE)</f>
        <v>8.1369752721604616E-4</v>
      </c>
      <c r="D193" s="17" t="e">
        <v>#N/A</v>
      </c>
      <c r="E193" s="8" t="e">
        <v>#N/A</v>
      </c>
      <c r="F193" s="8">
        <v>0.5</v>
      </c>
      <c r="G193" s="8">
        <v>0.5</v>
      </c>
      <c r="H193" s="8">
        <f t="shared" si="12"/>
        <v>0.25</v>
      </c>
      <c r="I193" s="26">
        <f t="shared" si="13"/>
        <v>2.0342438180401154E-4</v>
      </c>
      <c r="J193" s="26">
        <f t="shared" si="14"/>
        <v>0.26455000385435651</v>
      </c>
      <c r="K193" s="26">
        <f t="shared" si="15"/>
        <v>7.6894492096096648E-4</v>
      </c>
      <c r="L193" s="27">
        <f t="shared" si="16"/>
        <v>7.9546061145579963E-3</v>
      </c>
      <c r="M193" s="27">
        <f t="shared" si="17"/>
        <v>7.6126901302180414</v>
      </c>
      <c r="N193" s="27"/>
      <c r="O193" s="27"/>
      <c r="P193"/>
    </row>
    <row r="194" spans="1:16" ht="15">
      <c r="A194" s="17" t="s">
        <v>542</v>
      </c>
      <c r="B194" s="14" t="s">
        <v>500</v>
      </c>
      <c r="C194" s="25">
        <f>VLOOKUP(B194,'Consensus Phospho site'!B:G,6,FALSE)</f>
        <v>8.1369752721604616E-4</v>
      </c>
      <c r="D194" s="17" t="e">
        <v>#N/A</v>
      </c>
      <c r="E194" s="8" t="e">
        <v>#N/A</v>
      </c>
      <c r="F194" s="8">
        <v>0.5</v>
      </c>
      <c r="G194" s="8">
        <v>0.5</v>
      </c>
      <c r="H194" s="8">
        <f t="shared" ref="H194:H257" si="18">F194*G194</f>
        <v>0.25</v>
      </c>
      <c r="I194" s="26">
        <f t="shared" ref="I194:I257" si="19">H194*C194</f>
        <v>2.0342438180401154E-4</v>
      </c>
      <c r="J194" s="26">
        <f t="shared" ref="J194:J257" si="20">SUM($I$2:$I$522)</f>
        <v>0.26455000385435651</v>
      </c>
      <c r="K194" s="26">
        <f t="shared" ref="K194:K257" si="21">I194/J194</f>
        <v>7.6894492096096648E-4</v>
      </c>
      <c r="L194" s="27">
        <f t="shared" ref="L194:L257" si="22">K194*-LOG(K194,2)</f>
        <v>7.9546061145579963E-3</v>
      </c>
      <c r="M194" s="27">
        <f t="shared" ref="M194:M257" si="23">SUM($L$2:$L$522)</f>
        <v>7.6126901302180414</v>
      </c>
      <c r="N194" s="27"/>
      <c r="O194" s="27"/>
      <c r="P194"/>
    </row>
    <row r="195" spans="1:16" ht="15">
      <c r="A195" s="17" t="s">
        <v>536</v>
      </c>
      <c r="B195" s="14" t="s">
        <v>429</v>
      </c>
      <c r="C195" s="25">
        <f>VLOOKUP(B195,'Consensus Phospho site'!B:G,6,FALSE)</f>
        <v>8.1369752721604616E-4</v>
      </c>
      <c r="D195" s="17" t="e">
        <v>#N/A</v>
      </c>
      <c r="E195" s="8" t="e">
        <v>#N/A</v>
      </c>
      <c r="F195" s="8">
        <v>0.5</v>
      </c>
      <c r="G195" s="8">
        <v>0.5</v>
      </c>
      <c r="H195" s="8">
        <f t="shared" si="18"/>
        <v>0.25</v>
      </c>
      <c r="I195" s="26">
        <f t="shared" si="19"/>
        <v>2.0342438180401154E-4</v>
      </c>
      <c r="J195" s="26">
        <f t="shared" si="20"/>
        <v>0.26455000385435651</v>
      </c>
      <c r="K195" s="26">
        <f t="shared" si="21"/>
        <v>7.6894492096096648E-4</v>
      </c>
      <c r="L195" s="27">
        <f t="shared" si="22"/>
        <v>7.9546061145579963E-3</v>
      </c>
      <c r="M195" s="27">
        <f t="shared" si="23"/>
        <v>7.6126901302180414</v>
      </c>
      <c r="N195" s="27"/>
      <c r="O195" s="27"/>
      <c r="P195"/>
    </row>
    <row r="196" spans="1:16" ht="15">
      <c r="A196" s="17" t="s">
        <v>536</v>
      </c>
      <c r="B196" s="14" t="s">
        <v>431</v>
      </c>
      <c r="C196" s="25">
        <f>VLOOKUP(B196,'Consensus Phospho site'!B:G,6,FALSE)</f>
        <v>8.1369752721604616E-4</v>
      </c>
      <c r="D196" s="17" t="e">
        <v>#N/A</v>
      </c>
      <c r="E196" s="8" t="e">
        <v>#N/A</v>
      </c>
      <c r="F196" s="8">
        <v>0.5</v>
      </c>
      <c r="G196" s="8">
        <v>0.5</v>
      </c>
      <c r="H196" s="8">
        <f t="shared" si="18"/>
        <v>0.25</v>
      </c>
      <c r="I196" s="26">
        <f t="shared" si="19"/>
        <v>2.0342438180401154E-4</v>
      </c>
      <c r="J196" s="26">
        <f t="shared" si="20"/>
        <v>0.26455000385435651</v>
      </c>
      <c r="K196" s="26">
        <f t="shared" si="21"/>
        <v>7.6894492096096648E-4</v>
      </c>
      <c r="L196" s="27">
        <f t="shared" si="22"/>
        <v>7.9546061145579963E-3</v>
      </c>
      <c r="M196" s="27">
        <f t="shared" si="23"/>
        <v>7.6126901302180414</v>
      </c>
      <c r="N196" s="27"/>
      <c r="O196" s="27"/>
      <c r="P196"/>
    </row>
    <row r="197" spans="1:16" ht="15">
      <c r="A197" s="17" t="s">
        <v>536</v>
      </c>
      <c r="B197" s="14" t="s">
        <v>432</v>
      </c>
      <c r="C197" s="25">
        <f>VLOOKUP(B197,'Consensus Phospho site'!B:G,6,FALSE)</f>
        <v>8.1369752721604616E-4</v>
      </c>
      <c r="D197" s="17" t="e">
        <v>#N/A</v>
      </c>
      <c r="E197" s="8" t="e">
        <v>#N/A</v>
      </c>
      <c r="F197" s="8">
        <v>0.5</v>
      </c>
      <c r="G197" s="8">
        <v>0.5</v>
      </c>
      <c r="H197" s="8">
        <f t="shared" si="18"/>
        <v>0.25</v>
      </c>
      <c r="I197" s="26">
        <f t="shared" si="19"/>
        <v>2.0342438180401154E-4</v>
      </c>
      <c r="J197" s="26">
        <f t="shared" si="20"/>
        <v>0.26455000385435651</v>
      </c>
      <c r="K197" s="26">
        <f t="shared" si="21"/>
        <v>7.6894492096096648E-4</v>
      </c>
      <c r="L197" s="27">
        <f t="shared" si="22"/>
        <v>7.9546061145579963E-3</v>
      </c>
      <c r="M197" s="27">
        <f t="shared" si="23"/>
        <v>7.6126901302180414</v>
      </c>
      <c r="N197" s="27"/>
      <c r="O197" s="27"/>
      <c r="P197"/>
    </row>
    <row r="198" spans="1:16" ht="15">
      <c r="A198" s="17" t="s">
        <v>542</v>
      </c>
      <c r="B198" s="14" t="s">
        <v>504</v>
      </c>
      <c r="C198" s="25">
        <f>VLOOKUP(B198,'Consensus Phospho site'!B:G,6,FALSE)</f>
        <v>8.1369752721604616E-4</v>
      </c>
      <c r="D198" s="17" t="e">
        <v>#N/A</v>
      </c>
      <c r="E198" s="8" t="e">
        <v>#N/A</v>
      </c>
      <c r="F198" s="8">
        <v>0.5</v>
      </c>
      <c r="G198" s="8">
        <v>0.5</v>
      </c>
      <c r="H198" s="8">
        <f t="shared" si="18"/>
        <v>0.25</v>
      </c>
      <c r="I198" s="26">
        <f t="shared" si="19"/>
        <v>2.0342438180401154E-4</v>
      </c>
      <c r="J198" s="26">
        <f t="shared" si="20"/>
        <v>0.26455000385435651</v>
      </c>
      <c r="K198" s="26">
        <f t="shared" si="21"/>
        <v>7.6894492096096648E-4</v>
      </c>
      <c r="L198" s="27">
        <f t="shared" si="22"/>
        <v>7.9546061145579963E-3</v>
      </c>
      <c r="M198" s="27">
        <f t="shared" si="23"/>
        <v>7.6126901302180414</v>
      </c>
      <c r="N198" s="27"/>
      <c r="O198" s="27"/>
      <c r="P198"/>
    </row>
    <row r="199" spans="1:16" ht="15">
      <c r="A199" s="17" t="s">
        <v>536</v>
      </c>
      <c r="B199" s="14" t="s">
        <v>435</v>
      </c>
      <c r="C199" s="25">
        <f>VLOOKUP(B199,'Consensus Phospho site'!B:G,6,FALSE)</f>
        <v>8.1369752721604616E-4</v>
      </c>
      <c r="D199" s="17" t="e">
        <v>#N/A</v>
      </c>
      <c r="E199" s="8" t="e">
        <v>#N/A</v>
      </c>
      <c r="F199" s="8">
        <v>0.5</v>
      </c>
      <c r="G199" s="8">
        <v>0.5</v>
      </c>
      <c r="H199" s="8">
        <f t="shared" si="18"/>
        <v>0.25</v>
      </c>
      <c r="I199" s="26">
        <f t="shared" si="19"/>
        <v>2.0342438180401154E-4</v>
      </c>
      <c r="J199" s="26">
        <f t="shared" si="20"/>
        <v>0.26455000385435651</v>
      </c>
      <c r="K199" s="26">
        <f t="shared" si="21"/>
        <v>7.6894492096096648E-4</v>
      </c>
      <c r="L199" s="27">
        <f t="shared" si="22"/>
        <v>7.9546061145579963E-3</v>
      </c>
      <c r="M199" s="27">
        <f t="shared" si="23"/>
        <v>7.6126901302180414</v>
      </c>
      <c r="N199" s="27"/>
      <c r="O199" s="27"/>
      <c r="P199"/>
    </row>
    <row r="200" spans="1:16" ht="15">
      <c r="A200" s="17" t="s">
        <v>536</v>
      </c>
      <c r="B200" s="14" t="s">
        <v>438</v>
      </c>
      <c r="C200" s="25">
        <f>VLOOKUP(B200,'Consensus Phospho site'!B:G,6,FALSE)</f>
        <v>8.1369752721604616E-4</v>
      </c>
      <c r="D200" s="17" t="e">
        <v>#N/A</v>
      </c>
      <c r="E200" s="8" t="e">
        <v>#N/A</v>
      </c>
      <c r="F200" s="8">
        <v>0.5</v>
      </c>
      <c r="G200" s="8">
        <v>0.5</v>
      </c>
      <c r="H200" s="8">
        <f t="shared" si="18"/>
        <v>0.25</v>
      </c>
      <c r="I200" s="26">
        <f t="shared" si="19"/>
        <v>2.0342438180401154E-4</v>
      </c>
      <c r="J200" s="26">
        <f t="shared" si="20"/>
        <v>0.26455000385435651</v>
      </c>
      <c r="K200" s="26">
        <f t="shared" si="21"/>
        <v>7.6894492096096648E-4</v>
      </c>
      <c r="L200" s="27">
        <f t="shared" si="22"/>
        <v>7.9546061145579963E-3</v>
      </c>
      <c r="M200" s="27">
        <f t="shared" si="23"/>
        <v>7.6126901302180414</v>
      </c>
      <c r="N200" s="27"/>
      <c r="O200" s="27"/>
      <c r="P200"/>
    </row>
    <row r="201" spans="1:16" ht="15">
      <c r="A201" s="17" t="s">
        <v>542</v>
      </c>
      <c r="B201" s="14" t="s">
        <v>512</v>
      </c>
      <c r="C201" s="25">
        <f>VLOOKUP(B201,'Consensus Phospho site'!B:G,6,FALSE)</f>
        <v>8.1369752721604616E-4</v>
      </c>
      <c r="D201" s="17" t="e">
        <v>#N/A</v>
      </c>
      <c r="E201" s="8" t="e">
        <v>#N/A</v>
      </c>
      <c r="F201" s="8">
        <v>0.5</v>
      </c>
      <c r="G201" s="8">
        <v>0.5</v>
      </c>
      <c r="H201" s="8">
        <f t="shared" si="18"/>
        <v>0.25</v>
      </c>
      <c r="I201" s="26">
        <f t="shared" si="19"/>
        <v>2.0342438180401154E-4</v>
      </c>
      <c r="J201" s="26">
        <f t="shared" si="20"/>
        <v>0.26455000385435651</v>
      </c>
      <c r="K201" s="26">
        <f t="shared" si="21"/>
        <v>7.6894492096096648E-4</v>
      </c>
      <c r="L201" s="27">
        <f t="shared" si="22"/>
        <v>7.9546061145579963E-3</v>
      </c>
      <c r="M201" s="27">
        <f t="shared" si="23"/>
        <v>7.6126901302180414</v>
      </c>
      <c r="N201" s="27"/>
      <c r="O201" s="27"/>
      <c r="P201"/>
    </row>
    <row r="202" spans="1:16" ht="15">
      <c r="A202" s="17" t="s">
        <v>542</v>
      </c>
      <c r="B202" s="14" t="s">
        <v>507</v>
      </c>
      <c r="C202" s="25">
        <f>VLOOKUP(B202,'Consensus Phospho site'!B:G,6,FALSE)</f>
        <v>8.1369752721604616E-4</v>
      </c>
      <c r="D202" s="17" t="e">
        <v>#N/A</v>
      </c>
      <c r="E202" s="8" t="e">
        <v>#N/A</v>
      </c>
      <c r="F202" s="8">
        <v>0.5</v>
      </c>
      <c r="G202" s="8">
        <v>0.5</v>
      </c>
      <c r="H202" s="8">
        <f t="shared" si="18"/>
        <v>0.25</v>
      </c>
      <c r="I202" s="26">
        <f t="shared" si="19"/>
        <v>2.0342438180401154E-4</v>
      </c>
      <c r="J202" s="26">
        <f t="shared" si="20"/>
        <v>0.26455000385435651</v>
      </c>
      <c r="K202" s="26">
        <f t="shared" si="21"/>
        <v>7.6894492096096648E-4</v>
      </c>
      <c r="L202" s="27">
        <f t="shared" si="22"/>
        <v>7.9546061145579963E-3</v>
      </c>
      <c r="M202" s="27">
        <f t="shared" si="23"/>
        <v>7.6126901302180414</v>
      </c>
      <c r="N202" s="27"/>
      <c r="O202" s="27"/>
      <c r="P202"/>
    </row>
    <row r="203" spans="1:16" ht="15">
      <c r="A203" s="17" t="s">
        <v>542</v>
      </c>
      <c r="B203" s="14" t="s">
        <v>509</v>
      </c>
      <c r="C203" s="25">
        <f>VLOOKUP(B203,'Consensus Phospho site'!B:G,6,FALSE)</f>
        <v>8.1369752721604616E-4</v>
      </c>
      <c r="D203" s="17" t="e">
        <v>#N/A</v>
      </c>
      <c r="E203" s="8" t="e">
        <v>#N/A</v>
      </c>
      <c r="F203" s="8">
        <v>0.5</v>
      </c>
      <c r="G203" s="8">
        <v>0.5</v>
      </c>
      <c r="H203" s="8">
        <f t="shared" si="18"/>
        <v>0.25</v>
      </c>
      <c r="I203" s="26">
        <f t="shared" si="19"/>
        <v>2.0342438180401154E-4</v>
      </c>
      <c r="J203" s="26">
        <f t="shared" si="20"/>
        <v>0.26455000385435651</v>
      </c>
      <c r="K203" s="26">
        <f t="shared" si="21"/>
        <v>7.6894492096096648E-4</v>
      </c>
      <c r="L203" s="27">
        <f t="shared" si="22"/>
        <v>7.9546061145579963E-3</v>
      </c>
      <c r="M203" s="27">
        <f t="shared" si="23"/>
        <v>7.6126901302180414</v>
      </c>
      <c r="N203" s="27"/>
      <c r="O203" s="27"/>
      <c r="P203"/>
    </row>
    <row r="204" spans="1:16" ht="15">
      <c r="A204" s="17" t="s">
        <v>536</v>
      </c>
      <c r="B204" s="14" t="s">
        <v>445</v>
      </c>
      <c r="C204" s="25">
        <f>VLOOKUP(B204,'Consensus Phospho site'!B:G,6,FALSE)</f>
        <v>8.1369752721604616E-4</v>
      </c>
      <c r="D204" s="17" t="e">
        <v>#N/A</v>
      </c>
      <c r="E204" s="8" t="e">
        <v>#N/A</v>
      </c>
      <c r="F204" s="8">
        <v>0.5</v>
      </c>
      <c r="G204" s="8">
        <v>0.5</v>
      </c>
      <c r="H204" s="8">
        <f t="shared" si="18"/>
        <v>0.25</v>
      </c>
      <c r="I204" s="26">
        <f t="shared" si="19"/>
        <v>2.0342438180401154E-4</v>
      </c>
      <c r="J204" s="26">
        <f t="shared" si="20"/>
        <v>0.26455000385435651</v>
      </c>
      <c r="K204" s="26">
        <f t="shared" si="21"/>
        <v>7.6894492096096648E-4</v>
      </c>
      <c r="L204" s="27">
        <f t="shared" si="22"/>
        <v>7.9546061145579963E-3</v>
      </c>
      <c r="M204" s="27">
        <f t="shared" si="23"/>
        <v>7.6126901302180414</v>
      </c>
      <c r="N204" s="27"/>
      <c r="O204" s="27"/>
      <c r="P204"/>
    </row>
    <row r="205" spans="1:16" ht="15">
      <c r="A205" s="17" t="s">
        <v>536</v>
      </c>
      <c r="B205" s="14" t="s">
        <v>446</v>
      </c>
      <c r="C205" s="25">
        <f>VLOOKUP(B205,'Consensus Phospho site'!B:G,6,FALSE)</f>
        <v>8.1369752721604616E-4</v>
      </c>
      <c r="D205" s="17" t="e">
        <v>#N/A</v>
      </c>
      <c r="E205" s="8" t="e">
        <v>#N/A</v>
      </c>
      <c r="F205" s="8">
        <v>0.5</v>
      </c>
      <c r="G205" s="8">
        <v>0.5</v>
      </c>
      <c r="H205" s="8">
        <f t="shared" si="18"/>
        <v>0.25</v>
      </c>
      <c r="I205" s="26">
        <f t="shared" si="19"/>
        <v>2.0342438180401154E-4</v>
      </c>
      <c r="J205" s="26">
        <f t="shared" si="20"/>
        <v>0.26455000385435651</v>
      </c>
      <c r="K205" s="26">
        <f t="shared" si="21"/>
        <v>7.6894492096096648E-4</v>
      </c>
      <c r="L205" s="27">
        <f t="shared" si="22"/>
        <v>7.9546061145579963E-3</v>
      </c>
      <c r="M205" s="27">
        <f t="shared" si="23"/>
        <v>7.6126901302180414</v>
      </c>
      <c r="N205" s="27"/>
      <c r="O205" s="27"/>
      <c r="P205"/>
    </row>
    <row r="206" spans="1:16" ht="15">
      <c r="A206" s="17" t="s">
        <v>536</v>
      </c>
      <c r="B206" s="14" t="s">
        <v>451</v>
      </c>
      <c r="C206" s="25">
        <f>VLOOKUP(B206,'Consensus Phospho site'!B:G,6,FALSE)</f>
        <v>8.1369752721604616E-4</v>
      </c>
      <c r="D206" s="17" t="e">
        <v>#N/A</v>
      </c>
      <c r="E206" s="8" t="e">
        <v>#N/A</v>
      </c>
      <c r="F206" s="8">
        <v>0.5</v>
      </c>
      <c r="G206" s="8">
        <v>0.5</v>
      </c>
      <c r="H206" s="8">
        <f t="shared" si="18"/>
        <v>0.25</v>
      </c>
      <c r="I206" s="26">
        <f t="shared" si="19"/>
        <v>2.0342438180401154E-4</v>
      </c>
      <c r="J206" s="26">
        <f t="shared" si="20"/>
        <v>0.26455000385435651</v>
      </c>
      <c r="K206" s="26">
        <f t="shared" si="21"/>
        <v>7.6894492096096648E-4</v>
      </c>
      <c r="L206" s="27">
        <f t="shared" si="22"/>
        <v>7.9546061145579963E-3</v>
      </c>
      <c r="M206" s="27">
        <f t="shared" si="23"/>
        <v>7.6126901302180414</v>
      </c>
      <c r="N206" s="27"/>
      <c r="O206" s="27"/>
      <c r="P206"/>
    </row>
    <row r="207" spans="1:16" ht="15">
      <c r="A207" s="17" t="s">
        <v>536</v>
      </c>
      <c r="B207" s="14" t="s">
        <v>453</v>
      </c>
      <c r="C207" s="25">
        <f>VLOOKUP(B207,'Consensus Phospho site'!B:G,6,FALSE)</f>
        <v>8.1369752721604616E-4</v>
      </c>
      <c r="D207" s="17" t="e">
        <v>#N/A</v>
      </c>
      <c r="E207" s="8" t="e">
        <v>#N/A</v>
      </c>
      <c r="F207" s="8">
        <v>0.5</v>
      </c>
      <c r="G207" s="8">
        <v>0.5</v>
      </c>
      <c r="H207" s="8">
        <f t="shared" si="18"/>
        <v>0.25</v>
      </c>
      <c r="I207" s="26">
        <f t="shared" si="19"/>
        <v>2.0342438180401154E-4</v>
      </c>
      <c r="J207" s="26">
        <f t="shared" si="20"/>
        <v>0.26455000385435651</v>
      </c>
      <c r="K207" s="26">
        <f t="shared" si="21"/>
        <v>7.6894492096096648E-4</v>
      </c>
      <c r="L207" s="27">
        <f t="shared" si="22"/>
        <v>7.9546061145579963E-3</v>
      </c>
      <c r="M207" s="27">
        <f t="shared" si="23"/>
        <v>7.6126901302180414</v>
      </c>
      <c r="N207" s="27"/>
      <c r="O207" s="27"/>
      <c r="P207"/>
    </row>
    <row r="208" spans="1:16" ht="15">
      <c r="A208" s="17" t="s">
        <v>542</v>
      </c>
      <c r="B208" s="14" t="s">
        <v>517</v>
      </c>
      <c r="C208" s="25">
        <f>VLOOKUP(B208,'Consensus Phospho site'!B:G,6,FALSE)</f>
        <v>8.1369752721604616E-4</v>
      </c>
      <c r="D208" s="17" t="e">
        <v>#N/A</v>
      </c>
      <c r="E208" s="8" t="e">
        <v>#N/A</v>
      </c>
      <c r="F208" s="8">
        <v>0.5</v>
      </c>
      <c r="G208" s="8">
        <v>0.5</v>
      </c>
      <c r="H208" s="8">
        <f t="shared" si="18"/>
        <v>0.25</v>
      </c>
      <c r="I208" s="26">
        <f t="shared" si="19"/>
        <v>2.0342438180401154E-4</v>
      </c>
      <c r="J208" s="26">
        <f t="shared" si="20"/>
        <v>0.26455000385435651</v>
      </c>
      <c r="K208" s="26">
        <f t="shared" si="21"/>
        <v>7.6894492096096648E-4</v>
      </c>
      <c r="L208" s="27">
        <f t="shared" si="22"/>
        <v>7.9546061145579963E-3</v>
      </c>
      <c r="M208" s="27">
        <f t="shared" si="23"/>
        <v>7.6126901302180414</v>
      </c>
      <c r="N208" s="27"/>
      <c r="O208" s="27"/>
      <c r="P208"/>
    </row>
    <row r="209" spans="1:16" ht="15">
      <c r="A209" s="17" t="s">
        <v>536</v>
      </c>
      <c r="B209" s="14" t="s">
        <v>456</v>
      </c>
      <c r="C209" s="25">
        <f>VLOOKUP(B209,'Consensus Phospho site'!B:G,6,FALSE)</f>
        <v>8.1369752721604616E-4</v>
      </c>
      <c r="D209" s="17" t="e">
        <v>#N/A</v>
      </c>
      <c r="E209" s="8" t="e">
        <v>#N/A</v>
      </c>
      <c r="F209" s="8">
        <v>0.5</v>
      </c>
      <c r="G209" s="8">
        <v>0.5</v>
      </c>
      <c r="H209" s="8">
        <f t="shared" si="18"/>
        <v>0.25</v>
      </c>
      <c r="I209" s="26">
        <f t="shared" si="19"/>
        <v>2.0342438180401154E-4</v>
      </c>
      <c r="J209" s="26">
        <f t="shared" si="20"/>
        <v>0.26455000385435651</v>
      </c>
      <c r="K209" s="26">
        <f t="shared" si="21"/>
        <v>7.6894492096096648E-4</v>
      </c>
      <c r="L209" s="27">
        <f t="shared" si="22"/>
        <v>7.9546061145579963E-3</v>
      </c>
      <c r="M209" s="27">
        <f t="shared" si="23"/>
        <v>7.6126901302180414</v>
      </c>
      <c r="N209" s="27"/>
      <c r="O209" s="27"/>
      <c r="P209"/>
    </row>
    <row r="210" spans="1:16" ht="15">
      <c r="A210" s="17" t="s">
        <v>536</v>
      </c>
      <c r="B210" s="14" t="s">
        <v>457</v>
      </c>
      <c r="C210" s="25">
        <f>VLOOKUP(B210,'Consensus Phospho site'!B:G,6,FALSE)</f>
        <v>8.1369752721604616E-4</v>
      </c>
      <c r="D210" s="17" t="e">
        <v>#N/A</v>
      </c>
      <c r="E210" s="8" t="e">
        <v>#N/A</v>
      </c>
      <c r="F210" s="8">
        <v>0.5</v>
      </c>
      <c r="G210" s="8">
        <v>0.5</v>
      </c>
      <c r="H210" s="8">
        <f t="shared" si="18"/>
        <v>0.25</v>
      </c>
      <c r="I210" s="26">
        <f t="shared" si="19"/>
        <v>2.0342438180401154E-4</v>
      </c>
      <c r="J210" s="26">
        <f t="shared" si="20"/>
        <v>0.26455000385435651</v>
      </c>
      <c r="K210" s="26">
        <f t="shared" si="21"/>
        <v>7.6894492096096648E-4</v>
      </c>
      <c r="L210" s="27">
        <f t="shared" si="22"/>
        <v>7.9546061145579963E-3</v>
      </c>
      <c r="M210" s="27">
        <f t="shared" si="23"/>
        <v>7.6126901302180414</v>
      </c>
      <c r="N210" s="27"/>
      <c r="O210" s="27"/>
      <c r="P210"/>
    </row>
    <row r="211" spans="1:16" ht="15">
      <c r="A211" s="17" t="s">
        <v>536</v>
      </c>
      <c r="B211" s="14" t="s">
        <v>462</v>
      </c>
      <c r="C211" s="25">
        <f>VLOOKUP(B211,'Consensus Phospho site'!B:G,6,FALSE)</f>
        <v>8.1369752721604616E-4</v>
      </c>
      <c r="D211" s="17" t="e">
        <v>#N/A</v>
      </c>
      <c r="E211" s="8" t="e">
        <v>#N/A</v>
      </c>
      <c r="F211" s="8">
        <v>0.5</v>
      </c>
      <c r="G211" s="8">
        <v>0.5</v>
      </c>
      <c r="H211" s="8">
        <f t="shared" si="18"/>
        <v>0.25</v>
      </c>
      <c r="I211" s="26">
        <f t="shared" si="19"/>
        <v>2.0342438180401154E-4</v>
      </c>
      <c r="J211" s="26">
        <f t="shared" si="20"/>
        <v>0.26455000385435651</v>
      </c>
      <c r="K211" s="26">
        <f t="shared" si="21"/>
        <v>7.6894492096096648E-4</v>
      </c>
      <c r="L211" s="27">
        <f t="shared" si="22"/>
        <v>7.9546061145579963E-3</v>
      </c>
      <c r="M211" s="27">
        <f t="shared" si="23"/>
        <v>7.6126901302180414</v>
      </c>
      <c r="N211" s="27"/>
      <c r="O211" s="27"/>
      <c r="P211"/>
    </row>
    <row r="212" spans="1:16" ht="15">
      <c r="A212" s="17" t="s">
        <v>536</v>
      </c>
      <c r="B212" s="14" t="s">
        <v>463</v>
      </c>
      <c r="C212" s="25">
        <f>VLOOKUP(B212,'Consensus Phospho site'!B:G,6,FALSE)</f>
        <v>8.1369752721604616E-4</v>
      </c>
      <c r="D212" s="17" t="e">
        <v>#N/A</v>
      </c>
      <c r="E212" s="8" t="e">
        <v>#N/A</v>
      </c>
      <c r="F212" s="8">
        <v>0.5</v>
      </c>
      <c r="G212" s="8">
        <v>0.5</v>
      </c>
      <c r="H212" s="8">
        <f t="shared" si="18"/>
        <v>0.25</v>
      </c>
      <c r="I212" s="26">
        <f t="shared" si="19"/>
        <v>2.0342438180401154E-4</v>
      </c>
      <c r="J212" s="26">
        <f t="shared" si="20"/>
        <v>0.26455000385435651</v>
      </c>
      <c r="K212" s="26">
        <f t="shared" si="21"/>
        <v>7.6894492096096648E-4</v>
      </c>
      <c r="L212" s="27">
        <f t="shared" si="22"/>
        <v>7.9546061145579963E-3</v>
      </c>
      <c r="M212" s="27">
        <f t="shared" si="23"/>
        <v>7.6126901302180414</v>
      </c>
      <c r="N212" s="27"/>
      <c r="O212" s="27"/>
      <c r="P212"/>
    </row>
    <row r="213" spans="1:16" ht="15">
      <c r="A213" s="17" t="s">
        <v>542</v>
      </c>
      <c r="B213" s="14" t="s">
        <v>516</v>
      </c>
      <c r="C213" s="25">
        <f>VLOOKUP(B213,'Consensus Phospho site'!B:G,6,FALSE)</f>
        <v>8.1369752721604616E-4</v>
      </c>
      <c r="D213" s="17" t="e">
        <v>#N/A</v>
      </c>
      <c r="E213" s="8" t="e">
        <v>#N/A</v>
      </c>
      <c r="F213" s="8">
        <v>0.5</v>
      </c>
      <c r="G213" s="8">
        <v>0.5</v>
      </c>
      <c r="H213" s="8">
        <f t="shared" si="18"/>
        <v>0.25</v>
      </c>
      <c r="I213" s="26">
        <f t="shared" si="19"/>
        <v>2.0342438180401154E-4</v>
      </c>
      <c r="J213" s="26">
        <f t="shared" si="20"/>
        <v>0.26455000385435651</v>
      </c>
      <c r="K213" s="26">
        <f t="shared" si="21"/>
        <v>7.6894492096096648E-4</v>
      </c>
      <c r="L213" s="27">
        <f t="shared" si="22"/>
        <v>7.9546061145579963E-3</v>
      </c>
      <c r="M213" s="27">
        <f t="shared" si="23"/>
        <v>7.6126901302180414</v>
      </c>
      <c r="N213" s="27"/>
      <c r="O213" s="27"/>
      <c r="P213"/>
    </row>
    <row r="214" spans="1:16" ht="15">
      <c r="A214" s="17" t="s">
        <v>536</v>
      </c>
      <c r="B214" s="14" t="s">
        <v>468</v>
      </c>
      <c r="C214" s="25">
        <f>VLOOKUP(B214,'Consensus Phospho site'!B:G,6,FALSE)</f>
        <v>8.1369752721604616E-4</v>
      </c>
      <c r="D214" s="17" t="e">
        <v>#N/A</v>
      </c>
      <c r="E214" s="8" t="e">
        <v>#N/A</v>
      </c>
      <c r="F214" s="8">
        <v>0.5</v>
      </c>
      <c r="G214" s="8">
        <v>0.5</v>
      </c>
      <c r="H214" s="8">
        <f t="shared" si="18"/>
        <v>0.25</v>
      </c>
      <c r="I214" s="26">
        <f t="shared" si="19"/>
        <v>2.0342438180401154E-4</v>
      </c>
      <c r="J214" s="26">
        <f t="shared" si="20"/>
        <v>0.26455000385435651</v>
      </c>
      <c r="K214" s="26">
        <f t="shared" si="21"/>
        <v>7.6894492096096648E-4</v>
      </c>
      <c r="L214" s="27">
        <f t="shared" si="22"/>
        <v>7.9546061145579963E-3</v>
      </c>
      <c r="M214" s="27">
        <f t="shared" si="23"/>
        <v>7.6126901302180414</v>
      </c>
      <c r="N214" s="27"/>
      <c r="O214" s="27"/>
      <c r="P214"/>
    </row>
    <row r="215" spans="1:16" ht="15">
      <c r="A215" s="17" t="s">
        <v>542</v>
      </c>
      <c r="B215" s="14" t="s">
        <v>502</v>
      </c>
      <c r="C215" s="25">
        <f>VLOOKUP(B215,'Consensus Phospho site'!B:G,6,FALSE)</f>
        <v>8.1369752721604616E-4</v>
      </c>
      <c r="D215" s="17" t="e">
        <v>#N/A</v>
      </c>
      <c r="E215" s="8" t="e">
        <v>#N/A</v>
      </c>
      <c r="F215" s="8">
        <v>0.5</v>
      </c>
      <c r="G215" s="8">
        <v>0.5</v>
      </c>
      <c r="H215" s="8">
        <f t="shared" si="18"/>
        <v>0.25</v>
      </c>
      <c r="I215" s="26">
        <f t="shared" si="19"/>
        <v>2.0342438180401154E-4</v>
      </c>
      <c r="J215" s="26">
        <f t="shared" si="20"/>
        <v>0.26455000385435651</v>
      </c>
      <c r="K215" s="26">
        <f t="shared" si="21"/>
        <v>7.6894492096096648E-4</v>
      </c>
      <c r="L215" s="27">
        <f t="shared" si="22"/>
        <v>7.9546061145579963E-3</v>
      </c>
      <c r="M215" s="27">
        <f t="shared" si="23"/>
        <v>7.6126901302180414</v>
      </c>
      <c r="N215" s="27"/>
      <c r="O215" s="27"/>
      <c r="P215"/>
    </row>
    <row r="216" spans="1:16" ht="15">
      <c r="A216" s="17" t="s">
        <v>536</v>
      </c>
      <c r="B216" s="14" t="s">
        <v>482</v>
      </c>
      <c r="C216" s="25">
        <f>VLOOKUP(B216,'Consensus Phospho site'!B:G,6,FALSE)</f>
        <v>8.1369752721604616E-4</v>
      </c>
      <c r="D216" s="17" t="e">
        <v>#N/A</v>
      </c>
      <c r="E216" s="8" t="e">
        <v>#N/A</v>
      </c>
      <c r="F216" s="8">
        <v>0.5</v>
      </c>
      <c r="G216" s="8">
        <v>0.5</v>
      </c>
      <c r="H216" s="8">
        <f t="shared" si="18"/>
        <v>0.25</v>
      </c>
      <c r="I216" s="26">
        <f t="shared" si="19"/>
        <v>2.0342438180401154E-4</v>
      </c>
      <c r="J216" s="26">
        <f t="shared" si="20"/>
        <v>0.26455000385435651</v>
      </c>
      <c r="K216" s="26">
        <f t="shared" si="21"/>
        <v>7.6894492096096648E-4</v>
      </c>
      <c r="L216" s="27">
        <f t="shared" si="22"/>
        <v>7.9546061145579963E-3</v>
      </c>
      <c r="M216" s="27">
        <f t="shared" si="23"/>
        <v>7.6126901302180414</v>
      </c>
      <c r="N216" s="27"/>
      <c r="O216" s="27"/>
      <c r="P216"/>
    </row>
    <row r="217" spans="1:16" ht="15">
      <c r="A217" s="17" t="s">
        <v>536</v>
      </c>
      <c r="B217" s="14" t="s">
        <v>484</v>
      </c>
      <c r="C217" s="25">
        <f>VLOOKUP(B217,'Consensus Phospho site'!B:G,6,FALSE)</f>
        <v>8.1369752721604616E-4</v>
      </c>
      <c r="D217" s="17" t="e">
        <v>#N/A</v>
      </c>
      <c r="E217" s="8" t="e">
        <v>#N/A</v>
      </c>
      <c r="F217" s="8">
        <v>0.5</v>
      </c>
      <c r="G217" s="8">
        <v>0.5</v>
      </c>
      <c r="H217" s="8">
        <f t="shared" si="18"/>
        <v>0.25</v>
      </c>
      <c r="I217" s="26">
        <f t="shared" si="19"/>
        <v>2.0342438180401154E-4</v>
      </c>
      <c r="J217" s="26">
        <f t="shared" si="20"/>
        <v>0.26455000385435651</v>
      </c>
      <c r="K217" s="26">
        <f t="shared" si="21"/>
        <v>7.6894492096096648E-4</v>
      </c>
      <c r="L217" s="27">
        <f t="shared" si="22"/>
        <v>7.9546061145579963E-3</v>
      </c>
      <c r="M217" s="27">
        <f t="shared" si="23"/>
        <v>7.6126901302180414</v>
      </c>
      <c r="N217" s="27"/>
      <c r="O217" s="27"/>
      <c r="P217"/>
    </row>
    <row r="218" spans="1:16" ht="15">
      <c r="A218" s="17" t="s">
        <v>536</v>
      </c>
      <c r="B218" s="14" t="s">
        <v>488</v>
      </c>
      <c r="C218" s="25">
        <f>VLOOKUP(B218,'Consensus Phospho site'!B:G,6,FALSE)</f>
        <v>8.1369752721604616E-4</v>
      </c>
      <c r="D218" s="17" t="e">
        <v>#N/A</v>
      </c>
      <c r="E218" s="8" t="e">
        <v>#N/A</v>
      </c>
      <c r="F218" s="8">
        <v>0.5</v>
      </c>
      <c r="G218" s="8">
        <v>0.5</v>
      </c>
      <c r="H218" s="8">
        <f t="shared" si="18"/>
        <v>0.25</v>
      </c>
      <c r="I218" s="26">
        <f t="shared" si="19"/>
        <v>2.0342438180401154E-4</v>
      </c>
      <c r="J218" s="26">
        <f t="shared" si="20"/>
        <v>0.26455000385435651</v>
      </c>
      <c r="K218" s="26">
        <f t="shared" si="21"/>
        <v>7.6894492096096648E-4</v>
      </c>
      <c r="L218" s="27">
        <f t="shared" si="22"/>
        <v>7.9546061145579963E-3</v>
      </c>
      <c r="M218" s="27">
        <f t="shared" si="23"/>
        <v>7.6126901302180414</v>
      </c>
      <c r="N218" s="27"/>
      <c r="O218" s="27"/>
      <c r="P218"/>
    </row>
    <row r="219" spans="1:16" ht="15">
      <c r="A219" s="17" t="s">
        <v>536</v>
      </c>
      <c r="B219" s="14" t="s">
        <v>490</v>
      </c>
      <c r="C219" s="25">
        <f>VLOOKUP(B219,'Consensus Phospho site'!B:G,6,FALSE)</f>
        <v>8.1369752721604616E-4</v>
      </c>
      <c r="D219" s="17" t="e">
        <v>#N/A</v>
      </c>
      <c r="E219" s="8" t="e">
        <v>#N/A</v>
      </c>
      <c r="F219" s="8">
        <v>0.5</v>
      </c>
      <c r="G219" s="8">
        <v>0.5</v>
      </c>
      <c r="H219" s="8">
        <f t="shared" si="18"/>
        <v>0.25</v>
      </c>
      <c r="I219" s="26">
        <f t="shared" si="19"/>
        <v>2.0342438180401154E-4</v>
      </c>
      <c r="J219" s="26">
        <f t="shared" si="20"/>
        <v>0.26455000385435651</v>
      </c>
      <c r="K219" s="26">
        <f t="shared" si="21"/>
        <v>7.6894492096096648E-4</v>
      </c>
      <c r="L219" s="27">
        <f t="shared" si="22"/>
        <v>7.9546061145579963E-3</v>
      </c>
      <c r="M219" s="27">
        <f t="shared" si="23"/>
        <v>7.6126901302180414</v>
      </c>
      <c r="N219" s="27"/>
      <c r="O219" s="27"/>
      <c r="P219"/>
    </row>
    <row r="220" spans="1:16" ht="15">
      <c r="A220" s="17" t="s">
        <v>536</v>
      </c>
      <c r="B220" s="14" t="s">
        <v>491</v>
      </c>
      <c r="C220" s="25">
        <f>VLOOKUP(B220,'Consensus Phospho site'!B:G,6,FALSE)</f>
        <v>8.1369752721604616E-4</v>
      </c>
      <c r="D220" s="17" t="e">
        <v>#N/A</v>
      </c>
      <c r="E220" s="8" t="e">
        <v>#N/A</v>
      </c>
      <c r="F220" s="8">
        <v>0.5</v>
      </c>
      <c r="G220" s="8">
        <v>0.5</v>
      </c>
      <c r="H220" s="8">
        <f t="shared" si="18"/>
        <v>0.25</v>
      </c>
      <c r="I220" s="26">
        <f t="shared" si="19"/>
        <v>2.0342438180401154E-4</v>
      </c>
      <c r="J220" s="26">
        <f t="shared" si="20"/>
        <v>0.26455000385435651</v>
      </c>
      <c r="K220" s="26">
        <f t="shared" si="21"/>
        <v>7.6894492096096648E-4</v>
      </c>
      <c r="L220" s="27">
        <f t="shared" si="22"/>
        <v>7.9546061145579963E-3</v>
      </c>
      <c r="M220" s="27">
        <f t="shared" si="23"/>
        <v>7.6126901302180414</v>
      </c>
      <c r="N220" s="27"/>
      <c r="O220" s="27"/>
      <c r="P220"/>
    </row>
    <row r="221" spans="1:16" ht="15">
      <c r="A221" s="17" t="s">
        <v>535</v>
      </c>
      <c r="B221" s="14" t="s">
        <v>330</v>
      </c>
      <c r="C221" s="25">
        <f>VLOOKUP(B221,'Consensus Phospho site'!B:G,6,FALSE)</f>
        <v>8.1369752721604605E-4</v>
      </c>
      <c r="D221" s="17" t="e">
        <v>#N/A</v>
      </c>
      <c r="E221" s="8" t="e">
        <v>#N/A</v>
      </c>
      <c r="F221" s="8">
        <v>0.5</v>
      </c>
      <c r="G221" s="8">
        <v>0.5</v>
      </c>
      <c r="H221" s="8">
        <f t="shared" si="18"/>
        <v>0.25</v>
      </c>
      <c r="I221" s="26">
        <f t="shared" si="19"/>
        <v>2.0342438180401151E-4</v>
      </c>
      <c r="J221" s="26">
        <f t="shared" si="20"/>
        <v>0.26455000385435651</v>
      </c>
      <c r="K221" s="26">
        <f t="shared" si="21"/>
        <v>7.6894492096096637E-4</v>
      </c>
      <c r="L221" s="27">
        <f t="shared" si="22"/>
        <v>7.9546061145579963E-3</v>
      </c>
      <c r="M221" s="27">
        <f t="shared" si="23"/>
        <v>7.6126901302180414</v>
      </c>
      <c r="N221" s="27"/>
      <c r="O221" s="27"/>
      <c r="P221"/>
    </row>
    <row r="222" spans="1:16" ht="15">
      <c r="A222" s="17" t="s">
        <v>535</v>
      </c>
      <c r="B222" s="14" t="s">
        <v>348</v>
      </c>
      <c r="C222" s="25">
        <f>VLOOKUP(B222,'Consensus Phospho site'!B:G,6,FALSE)</f>
        <v>8.1369752721604605E-4</v>
      </c>
      <c r="D222" s="17" t="e">
        <v>#N/A</v>
      </c>
      <c r="E222" s="8" t="e">
        <v>#N/A</v>
      </c>
      <c r="F222" s="8">
        <v>0.5</v>
      </c>
      <c r="G222" s="8">
        <v>0.5</v>
      </c>
      <c r="H222" s="8">
        <f t="shared" si="18"/>
        <v>0.25</v>
      </c>
      <c r="I222" s="26">
        <f t="shared" si="19"/>
        <v>2.0342438180401151E-4</v>
      </c>
      <c r="J222" s="26">
        <f t="shared" si="20"/>
        <v>0.26455000385435651</v>
      </c>
      <c r="K222" s="26">
        <f t="shared" si="21"/>
        <v>7.6894492096096637E-4</v>
      </c>
      <c r="L222" s="27">
        <f t="shared" si="22"/>
        <v>7.9546061145579963E-3</v>
      </c>
      <c r="M222" s="27">
        <f t="shared" si="23"/>
        <v>7.6126901302180414</v>
      </c>
      <c r="N222" s="27"/>
      <c r="O222" s="27"/>
      <c r="P222"/>
    </row>
    <row r="223" spans="1:16" ht="15">
      <c r="A223" s="17" t="s">
        <v>524</v>
      </c>
      <c r="B223" s="14" t="s">
        <v>18</v>
      </c>
      <c r="C223" s="25">
        <f>VLOOKUP(B223,'Consensus Phospho site'!B:G,6,FALSE)</f>
        <v>8.1369752721604605E-4</v>
      </c>
      <c r="D223" s="17" t="e">
        <v>#N/A</v>
      </c>
      <c r="E223" s="8" t="e">
        <v>#N/A</v>
      </c>
      <c r="F223" s="8">
        <v>0.5</v>
      </c>
      <c r="G223" s="8">
        <v>0.5</v>
      </c>
      <c r="H223" s="8">
        <f t="shared" si="18"/>
        <v>0.25</v>
      </c>
      <c r="I223" s="26">
        <f t="shared" si="19"/>
        <v>2.0342438180401151E-4</v>
      </c>
      <c r="J223" s="26">
        <f t="shared" si="20"/>
        <v>0.26455000385435651</v>
      </c>
      <c r="K223" s="26">
        <f t="shared" si="21"/>
        <v>7.6894492096096637E-4</v>
      </c>
      <c r="L223" s="27">
        <f t="shared" si="22"/>
        <v>7.9546061145579963E-3</v>
      </c>
      <c r="M223" s="27">
        <f t="shared" si="23"/>
        <v>7.6126901302180414</v>
      </c>
      <c r="N223" s="27"/>
      <c r="O223" s="27"/>
      <c r="P223"/>
    </row>
    <row r="224" spans="1:16" ht="15">
      <c r="A224" s="17" t="s">
        <v>534</v>
      </c>
      <c r="B224" s="14" t="s">
        <v>105</v>
      </c>
      <c r="C224" s="25">
        <f>VLOOKUP(B224,'Consensus Phospho site'!B:G,6,FALSE)</f>
        <v>8.1369752721604605E-4</v>
      </c>
      <c r="D224" s="17" t="e">
        <v>#N/A</v>
      </c>
      <c r="E224" s="8" t="e">
        <v>#N/A</v>
      </c>
      <c r="F224" s="8">
        <v>0.5</v>
      </c>
      <c r="G224" s="8">
        <v>0.5</v>
      </c>
      <c r="H224" s="8">
        <f t="shared" si="18"/>
        <v>0.25</v>
      </c>
      <c r="I224" s="26">
        <f t="shared" si="19"/>
        <v>2.0342438180401151E-4</v>
      </c>
      <c r="J224" s="26">
        <f t="shared" si="20"/>
        <v>0.26455000385435651</v>
      </c>
      <c r="K224" s="26">
        <f t="shared" si="21"/>
        <v>7.6894492096096637E-4</v>
      </c>
      <c r="L224" s="27">
        <f t="shared" si="22"/>
        <v>7.9546061145579963E-3</v>
      </c>
      <c r="M224" s="27">
        <f t="shared" si="23"/>
        <v>7.6126901302180414</v>
      </c>
      <c r="N224" s="27"/>
      <c r="O224" s="27"/>
      <c r="P224"/>
    </row>
    <row r="225" spans="1:16" ht="15">
      <c r="A225" s="17" t="s">
        <v>535</v>
      </c>
      <c r="B225" s="14" t="s">
        <v>395</v>
      </c>
      <c r="C225" s="25">
        <f>VLOOKUP(B225,'Consensus Phospho site'!B:G,6,FALSE)</f>
        <v>8.1369752721604605E-4</v>
      </c>
      <c r="D225" s="17" t="e">
        <v>#N/A</v>
      </c>
      <c r="E225" s="8" t="e">
        <v>#N/A</v>
      </c>
      <c r="F225" s="8">
        <v>0.5</v>
      </c>
      <c r="G225" s="8">
        <v>0.5</v>
      </c>
      <c r="H225" s="8">
        <f t="shared" si="18"/>
        <v>0.25</v>
      </c>
      <c r="I225" s="26">
        <f t="shared" si="19"/>
        <v>2.0342438180401151E-4</v>
      </c>
      <c r="J225" s="26">
        <f t="shared" si="20"/>
        <v>0.26455000385435651</v>
      </c>
      <c r="K225" s="26">
        <f t="shared" si="21"/>
        <v>7.6894492096096637E-4</v>
      </c>
      <c r="L225" s="27">
        <f t="shared" si="22"/>
        <v>7.9546061145579963E-3</v>
      </c>
      <c r="M225" s="27">
        <f t="shared" si="23"/>
        <v>7.6126901302180414</v>
      </c>
      <c r="N225" s="27"/>
      <c r="O225" s="27"/>
      <c r="P225"/>
    </row>
    <row r="226" spans="1:16" ht="15">
      <c r="A226" s="17" t="s">
        <v>524</v>
      </c>
      <c r="B226" s="14" t="s">
        <v>54</v>
      </c>
      <c r="C226" s="25">
        <f>VLOOKUP(B226,'Consensus Phospho site'!B:G,6,FALSE)</f>
        <v>8.1369752721604605E-4</v>
      </c>
      <c r="D226" s="17" t="e">
        <v>#N/A</v>
      </c>
      <c r="E226" s="8" t="e">
        <v>#N/A</v>
      </c>
      <c r="F226" s="8">
        <v>0.5</v>
      </c>
      <c r="G226" s="8">
        <v>0.5</v>
      </c>
      <c r="H226" s="8">
        <f t="shared" si="18"/>
        <v>0.25</v>
      </c>
      <c r="I226" s="26">
        <f t="shared" si="19"/>
        <v>2.0342438180401151E-4</v>
      </c>
      <c r="J226" s="26">
        <f t="shared" si="20"/>
        <v>0.26455000385435651</v>
      </c>
      <c r="K226" s="26">
        <f t="shared" si="21"/>
        <v>7.6894492096096637E-4</v>
      </c>
      <c r="L226" s="27">
        <f t="shared" si="22"/>
        <v>7.9546061145579963E-3</v>
      </c>
      <c r="M226" s="27">
        <f t="shared" si="23"/>
        <v>7.6126901302180414</v>
      </c>
      <c r="N226" s="27"/>
      <c r="O226" s="27"/>
      <c r="P226"/>
    </row>
    <row r="227" spans="1:16" ht="15">
      <c r="A227" s="17" t="s">
        <v>535</v>
      </c>
      <c r="B227" s="14" t="s">
        <v>407</v>
      </c>
      <c r="C227" s="25">
        <f>VLOOKUP(B227,'Consensus Phospho site'!B:G,6,FALSE)</f>
        <v>8.1369752721604605E-4</v>
      </c>
      <c r="D227" s="17" t="e">
        <v>#N/A</v>
      </c>
      <c r="E227" s="8" t="e">
        <v>#N/A</v>
      </c>
      <c r="F227" s="8">
        <v>0.5</v>
      </c>
      <c r="G227" s="8">
        <v>0.5</v>
      </c>
      <c r="H227" s="8">
        <f t="shared" si="18"/>
        <v>0.25</v>
      </c>
      <c r="I227" s="26">
        <f t="shared" si="19"/>
        <v>2.0342438180401151E-4</v>
      </c>
      <c r="J227" s="26">
        <f t="shared" si="20"/>
        <v>0.26455000385435651</v>
      </c>
      <c r="K227" s="26">
        <f t="shared" si="21"/>
        <v>7.6894492096096637E-4</v>
      </c>
      <c r="L227" s="27">
        <f t="shared" si="22"/>
        <v>7.9546061145579963E-3</v>
      </c>
      <c r="M227" s="27">
        <f t="shared" si="23"/>
        <v>7.6126901302180414</v>
      </c>
      <c r="N227" s="27"/>
      <c r="O227" s="27"/>
      <c r="P227"/>
    </row>
    <row r="228" spans="1:16">
      <c r="A228" s="17" t="s">
        <v>537</v>
      </c>
      <c r="B228" s="15" t="s">
        <v>152</v>
      </c>
      <c r="C228" s="25">
        <f>VLOOKUP(B228,'Consensus Phospho site'!B:G,6,FALSE)</f>
        <v>7.7087134157309632E-4</v>
      </c>
      <c r="D228" s="17" t="e">
        <v>#N/A</v>
      </c>
      <c r="E228" s="8" t="e">
        <v>#N/A</v>
      </c>
      <c r="F228" s="8">
        <v>0.5</v>
      </c>
      <c r="G228" s="8">
        <v>0.5</v>
      </c>
      <c r="H228" s="8">
        <f t="shared" si="18"/>
        <v>0.25</v>
      </c>
      <c r="I228" s="26">
        <f t="shared" si="19"/>
        <v>1.9271783539327408E-4</v>
      </c>
      <c r="J228" s="26">
        <f t="shared" si="20"/>
        <v>0.26455000385435651</v>
      </c>
      <c r="K228" s="26">
        <f t="shared" si="21"/>
        <v>7.284741356472313E-4</v>
      </c>
      <c r="L228" s="27">
        <f t="shared" si="22"/>
        <v>7.5927654473528575E-3</v>
      </c>
      <c r="M228" s="27">
        <f t="shared" si="23"/>
        <v>7.6126901302180414</v>
      </c>
      <c r="N228" s="27"/>
      <c r="O228" s="27"/>
      <c r="P228"/>
    </row>
    <row r="229" spans="1:16" ht="15">
      <c r="A229" s="17" t="s">
        <v>537</v>
      </c>
      <c r="B229" s="14" t="s">
        <v>161</v>
      </c>
      <c r="C229" s="25">
        <f>VLOOKUP(B229,'Consensus Phospho site'!B:G,6,FALSE)</f>
        <v>7.7087134157309632E-4</v>
      </c>
      <c r="D229" s="17" t="e">
        <v>#N/A</v>
      </c>
      <c r="E229" s="8" t="e">
        <v>#N/A</v>
      </c>
      <c r="F229" s="8">
        <v>0.5</v>
      </c>
      <c r="G229" s="8">
        <v>0.5</v>
      </c>
      <c r="H229" s="8">
        <f t="shared" si="18"/>
        <v>0.25</v>
      </c>
      <c r="I229" s="26">
        <f t="shared" si="19"/>
        <v>1.9271783539327408E-4</v>
      </c>
      <c r="J229" s="26">
        <f t="shared" si="20"/>
        <v>0.26455000385435651</v>
      </c>
      <c r="K229" s="26">
        <f t="shared" si="21"/>
        <v>7.284741356472313E-4</v>
      </c>
      <c r="L229" s="27">
        <f t="shared" si="22"/>
        <v>7.5927654473528575E-3</v>
      </c>
      <c r="M229" s="27">
        <f t="shared" si="23"/>
        <v>7.6126901302180414</v>
      </c>
      <c r="N229" s="27"/>
      <c r="O229" s="27"/>
      <c r="P229"/>
    </row>
    <row r="230" spans="1:16" ht="15">
      <c r="A230" s="17" t="s">
        <v>537</v>
      </c>
      <c r="B230" s="14" t="s">
        <v>164</v>
      </c>
      <c r="C230" s="25">
        <f>VLOOKUP(B230,'Consensus Phospho site'!B:G,6,FALSE)</f>
        <v>7.7087134157309632E-4</v>
      </c>
      <c r="D230" s="17" t="e">
        <v>#N/A</v>
      </c>
      <c r="E230" s="8" t="e">
        <v>#N/A</v>
      </c>
      <c r="F230" s="8">
        <v>0.5</v>
      </c>
      <c r="G230" s="8">
        <v>0.5</v>
      </c>
      <c r="H230" s="8">
        <f t="shared" si="18"/>
        <v>0.25</v>
      </c>
      <c r="I230" s="26">
        <f t="shared" si="19"/>
        <v>1.9271783539327408E-4</v>
      </c>
      <c r="J230" s="26">
        <f t="shared" si="20"/>
        <v>0.26455000385435651</v>
      </c>
      <c r="K230" s="26">
        <f t="shared" si="21"/>
        <v>7.284741356472313E-4</v>
      </c>
      <c r="L230" s="27">
        <f t="shared" si="22"/>
        <v>7.5927654473528575E-3</v>
      </c>
      <c r="M230" s="27">
        <f t="shared" si="23"/>
        <v>7.6126901302180414</v>
      </c>
      <c r="N230" s="27"/>
      <c r="O230" s="27"/>
      <c r="P230"/>
    </row>
    <row r="231" spans="1:16" ht="15">
      <c r="A231" s="17" t="s">
        <v>537</v>
      </c>
      <c r="B231" s="14" t="s">
        <v>172</v>
      </c>
      <c r="C231" s="25">
        <f>VLOOKUP(B231,'Consensus Phospho site'!B:G,6,FALSE)</f>
        <v>7.7087134157309632E-4</v>
      </c>
      <c r="D231" s="17" t="e">
        <v>#N/A</v>
      </c>
      <c r="E231" s="8" t="e">
        <v>#N/A</v>
      </c>
      <c r="F231" s="8">
        <v>0.5</v>
      </c>
      <c r="G231" s="8">
        <v>0.5</v>
      </c>
      <c r="H231" s="8">
        <f t="shared" si="18"/>
        <v>0.25</v>
      </c>
      <c r="I231" s="26">
        <f t="shared" si="19"/>
        <v>1.9271783539327408E-4</v>
      </c>
      <c r="J231" s="26">
        <f t="shared" si="20"/>
        <v>0.26455000385435651</v>
      </c>
      <c r="K231" s="26">
        <f t="shared" si="21"/>
        <v>7.284741356472313E-4</v>
      </c>
      <c r="L231" s="27">
        <f t="shared" si="22"/>
        <v>7.5927654473528575E-3</v>
      </c>
      <c r="M231" s="27">
        <f t="shared" si="23"/>
        <v>7.6126901302180414</v>
      </c>
      <c r="N231" s="27"/>
      <c r="O231" s="27"/>
      <c r="P231"/>
    </row>
    <row r="232" spans="1:16" ht="15">
      <c r="A232" s="17" t="s">
        <v>537</v>
      </c>
      <c r="B232" s="14" t="s">
        <v>174</v>
      </c>
      <c r="C232" s="25">
        <f>VLOOKUP(B232,'Consensus Phospho site'!B:G,6,FALSE)</f>
        <v>7.7087134157309632E-4</v>
      </c>
      <c r="D232" s="17" t="e">
        <v>#N/A</v>
      </c>
      <c r="E232" s="8" t="e">
        <v>#N/A</v>
      </c>
      <c r="F232" s="8">
        <v>0.5</v>
      </c>
      <c r="G232" s="8">
        <v>0.5</v>
      </c>
      <c r="H232" s="8">
        <f t="shared" si="18"/>
        <v>0.25</v>
      </c>
      <c r="I232" s="26">
        <f t="shared" si="19"/>
        <v>1.9271783539327408E-4</v>
      </c>
      <c r="J232" s="26">
        <f t="shared" si="20"/>
        <v>0.26455000385435651</v>
      </c>
      <c r="K232" s="26">
        <f t="shared" si="21"/>
        <v>7.284741356472313E-4</v>
      </c>
      <c r="L232" s="27">
        <f t="shared" si="22"/>
        <v>7.5927654473528575E-3</v>
      </c>
      <c r="M232" s="27">
        <f t="shared" si="23"/>
        <v>7.6126901302180414</v>
      </c>
      <c r="N232" s="27"/>
      <c r="O232" s="27"/>
      <c r="P232"/>
    </row>
    <row r="233" spans="1:16" ht="15">
      <c r="A233" s="17" t="s">
        <v>537</v>
      </c>
      <c r="B233" s="14" t="s">
        <v>184</v>
      </c>
      <c r="C233" s="25">
        <f>VLOOKUP(B233,'Consensus Phospho site'!B:G,6,FALSE)</f>
        <v>7.7087134157309632E-4</v>
      </c>
      <c r="D233" s="17" t="e">
        <v>#N/A</v>
      </c>
      <c r="E233" s="8" t="e">
        <v>#N/A</v>
      </c>
      <c r="F233" s="8">
        <v>0.5</v>
      </c>
      <c r="G233" s="8">
        <v>0.5</v>
      </c>
      <c r="H233" s="8">
        <f t="shared" si="18"/>
        <v>0.25</v>
      </c>
      <c r="I233" s="26">
        <f t="shared" si="19"/>
        <v>1.9271783539327408E-4</v>
      </c>
      <c r="J233" s="26">
        <f t="shared" si="20"/>
        <v>0.26455000385435651</v>
      </c>
      <c r="K233" s="26">
        <f t="shared" si="21"/>
        <v>7.284741356472313E-4</v>
      </c>
      <c r="L233" s="27">
        <f t="shared" si="22"/>
        <v>7.5927654473528575E-3</v>
      </c>
      <c r="M233" s="27">
        <f t="shared" si="23"/>
        <v>7.6126901302180414</v>
      </c>
      <c r="N233" s="27"/>
      <c r="O233" s="27"/>
      <c r="P233"/>
    </row>
    <row r="234" spans="1:16" ht="15">
      <c r="A234" s="17" t="s">
        <v>537</v>
      </c>
      <c r="B234" s="14" t="s">
        <v>206</v>
      </c>
      <c r="C234" s="25">
        <f>VLOOKUP(B234,'Consensus Phospho site'!B:G,6,FALSE)</f>
        <v>7.7087134157309632E-4</v>
      </c>
      <c r="D234" s="17" t="e">
        <v>#N/A</v>
      </c>
      <c r="E234" s="8" t="e">
        <v>#N/A</v>
      </c>
      <c r="F234" s="8">
        <v>0.5</v>
      </c>
      <c r="G234" s="8">
        <v>0.5</v>
      </c>
      <c r="H234" s="8">
        <f t="shared" si="18"/>
        <v>0.25</v>
      </c>
      <c r="I234" s="26">
        <f t="shared" si="19"/>
        <v>1.9271783539327408E-4</v>
      </c>
      <c r="J234" s="26">
        <f t="shared" si="20"/>
        <v>0.26455000385435651</v>
      </c>
      <c r="K234" s="26">
        <f t="shared" si="21"/>
        <v>7.284741356472313E-4</v>
      </c>
      <c r="L234" s="27">
        <f t="shared" si="22"/>
        <v>7.5927654473528575E-3</v>
      </c>
      <c r="M234" s="27">
        <f t="shared" si="23"/>
        <v>7.6126901302180414</v>
      </c>
      <c r="N234" s="27"/>
      <c r="O234" s="27"/>
      <c r="P234"/>
    </row>
    <row r="235" spans="1:16" ht="15">
      <c r="A235" s="17" t="s">
        <v>540</v>
      </c>
      <c r="B235" s="14" t="s">
        <v>250</v>
      </c>
      <c r="C235" s="25">
        <f>VLOOKUP(B235,'Consensus Phospho site'!B:G,6,FALSE)</f>
        <v>4.8821851632962771E-4</v>
      </c>
      <c r="D235" s="17" t="s">
        <v>902</v>
      </c>
      <c r="E235" s="8" t="s">
        <v>921</v>
      </c>
      <c r="F235" s="8">
        <v>0.65</v>
      </c>
      <c r="G235" s="8">
        <v>0.5</v>
      </c>
      <c r="H235" s="8">
        <f t="shared" si="18"/>
        <v>0.32500000000000001</v>
      </c>
      <c r="I235" s="26">
        <f t="shared" si="19"/>
        <v>1.5867101780712902E-4</v>
      </c>
      <c r="J235" s="26">
        <f t="shared" si="20"/>
        <v>0.26455000385435651</v>
      </c>
      <c r="K235" s="26">
        <f t="shared" si="21"/>
        <v>5.9977703834955391E-4</v>
      </c>
      <c r="L235" s="27">
        <f t="shared" si="22"/>
        <v>6.4195852304137603E-3</v>
      </c>
      <c r="M235" s="27">
        <f t="shared" si="23"/>
        <v>7.6126901302180414</v>
      </c>
      <c r="N235" s="27"/>
      <c r="O235" s="27"/>
      <c r="P235"/>
    </row>
    <row r="236" spans="1:16" ht="15">
      <c r="A236" s="17" t="s">
        <v>540</v>
      </c>
      <c r="B236" s="14" t="s">
        <v>258</v>
      </c>
      <c r="C236" s="25">
        <f>VLOOKUP(B236,'Consensus Phospho site'!B:G,6,FALSE)</f>
        <v>4.8821851632962771E-4</v>
      </c>
      <c r="D236" s="17" t="s">
        <v>819</v>
      </c>
      <c r="E236" s="8" t="s">
        <v>921</v>
      </c>
      <c r="F236" s="8">
        <v>0.65</v>
      </c>
      <c r="G236" s="8">
        <v>0.5</v>
      </c>
      <c r="H236" s="8">
        <f t="shared" si="18"/>
        <v>0.32500000000000001</v>
      </c>
      <c r="I236" s="26">
        <f t="shared" si="19"/>
        <v>1.5867101780712902E-4</v>
      </c>
      <c r="J236" s="26">
        <f t="shared" si="20"/>
        <v>0.26455000385435651</v>
      </c>
      <c r="K236" s="26">
        <f t="shared" si="21"/>
        <v>5.9977703834955391E-4</v>
      </c>
      <c r="L236" s="27">
        <f t="shared" si="22"/>
        <v>6.4195852304137603E-3</v>
      </c>
      <c r="M236" s="27">
        <f t="shared" si="23"/>
        <v>7.6126901302180414</v>
      </c>
      <c r="N236" s="27"/>
      <c r="O236" s="27"/>
      <c r="P236"/>
    </row>
    <row r="237" spans="1:16" ht="15">
      <c r="A237" s="17" t="s">
        <v>540</v>
      </c>
      <c r="B237" s="14" t="s">
        <v>285</v>
      </c>
      <c r="C237" s="25">
        <f>VLOOKUP(B237,'Consensus Phospho site'!B:G,6,FALSE)</f>
        <v>4.8821851632962771E-4</v>
      </c>
      <c r="D237" s="17" t="s">
        <v>886</v>
      </c>
      <c r="E237" s="8" t="s">
        <v>921</v>
      </c>
      <c r="F237" s="8">
        <v>0.65</v>
      </c>
      <c r="G237" s="8">
        <v>0.5</v>
      </c>
      <c r="H237" s="8">
        <f t="shared" si="18"/>
        <v>0.32500000000000001</v>
      </c>
      <c r="I237" s="26">
        <f t="shared" si="19"/>
        <v>1.5867101780712902E-4</v>
      </c>
      <c r="J237" s="26">
        <f t="shared" si="20"/>
        <v>0.26455000385435651</v>
      </c>
      <c r="K237" s="26">
        <f t="shared" si="21"/>
        <v>5.9977703834955391E-4</v>
      </c>
      <c r="L237" s="27">
        <f t="shared" si="22"/>
        <v>6.4195852304137603E-3</v>
      </c>
      <c r="M237" s="27">
        <f t="shared" si="23"/>
        <v>7.6126901302180414</v>
      </c>
      <c r="N237" s="27"/>
      <c r="O237" s="27"/>
      <c r="P237"/>
    </row>
    <row r="238" spans="1:16" ht="28">
      <c r="A238" s="17" t="s">
        <v>524</v>
      </c>
      <c r="B238" s="14" t="s">
        <v>2</v>
      </c>
      <c r="C238" s="25">
        <f>VLOOKUP(B238,'Consensus Phospho site'!B:G,6,FALSE)</f>
        <v>1.5460253017104872E-3</v>
      </c>
      <c r="D238" s="17" t="s">
        <v>629</v>
      </c>
      <c r="E238" s="8" t="s">
        <v>922</v>
      </c>
      <c r="F238" s="8">
        <v>0.2</v>
      </c>
      <c r="G238" s="8">
        <v>0.5</v>
      </c>
      <c r="H238" s="8">
        <f t="shared" si="18"/>
        <v>0.1</v>
      </c>
      <c r="I238" s="26">
        <f t="shared" si="19"/>
        <v>1.5460253017104874E-4</v>
      </c>
      <c r="J238" s="26">
        <f t="shared" si="20"/>
        <v>0.26455000385435651</v>
      </c>
      <c r="K238" s="26">
        <f t="shared" si="21"/>
        <v>5.8439813993033443E-4</v>
      </c>
      <c r="L238" s="27">
        <f t="shared" si="22"/>
        <v>6.2768806290570732E-3</v>
      </c>
      <c r="M238" s="27">
        <f t="shared" si="23"/>
        <v>7.6126901302180414</v>
      </c>
      <c r="N238" s="27"/>
      <c r="O238" s="27"/>
      <c r="P238"/>
    </row>
    <row r="239" spans="1:16" ht="15">
      <c r="A239" s="17" t="s">
        <v>534</v>
      </c>
      <c r="B239" s="14" t="s">
        <v>103</v>
      </c>
      <c r="C239" s="25">
        <f>VLOOKUP(B239,'Consensus Phospho site'!B:G,6,FALSE)</f>
        <v>5.9956659900129697E-4</v>
      </c>
      <c r="D239" s="17" t="e">
        <v>#N/A</v>
      </c>
      <c r="E239" s="8" t="e">
        <v>#N/A</v>
      </c>
      <c r="F239" s="8">
        <v>0.5</v>
      </c>
      <c r="G239" s="8">
        <v>0.5</v>
      </c>
      <c r="H239" s="8">
        <f t="shared" si="18"/>
        <v>0.25</v>
      </c>
      <c r="I239" s="26">
        <f t="shared" si="19"/>
        <v>1.4989164975032424E-4</v>
      </c>
      <c r="J239" s="26">
        <f t="shared" si="20"/>
        <v>0.26455000385435651</v>
      </c>
      <c r="K239" s="26">
        <f t="shared" si="21"/>
        <v>5.665909943922909E-4</v>
      </c>
      <c r="L239" s="27">
        <f t="shared" si="22"/>
        <v>6.1109131786454725E-3</v>
      </c>
      <c r="M239" s="27">
        <f t="shared" si="23"/>
        <v>7.6126901302180414</v>
      </c>
      <c r="N239" s="27"/>
      <c r="O239" s="27"/>
      <c r="P239"/>
    </row>
    <row r="240" spans="1:16" ht="15">
      <c r="A240" s="17" t="s">
        <v>524</v>
      </c>
      <c r="B240" s="14" t="s">
        <v>41</v>
      </c>
      <c r="C240" s="25">
        <f>VLOOKUP(B240,'Consensus Phospho site'!B:G,6,FALSE)</f>
        <v>5.9956659900129697E-4</v>
      </c>
      <c r="D240" s="17" t="e">
        <v>#N/A</v>
      </c>
      <c r="E240" s="8" t="e">
        <v>#N/A</v>
      </c>
      <c r="F240" s="8">
        <v>0.5</v>
      </c>
      <c r="G240" s="8">
        <v>0.5</v>
      </c>
      <c r="H240" s="8">
        <f t="shared" si="18"/>
        <v>0.25</v>
      </c>
      <c r="I240" s="26">
        <f t="shared" si="19"/>
        <v>1.4989164975032424E-4</v>
      </c>
      <c r="J240" s="26">
        <f t="shared" si="20"/>
        <v>0.26455000385435651</v>
      </c>
      <c r="K240" s="26">
        <f t="shared" si="21"/>
        <v>5.665909943922909E-4</v>
      </c>
      <c r="L240" s="27">
        <f t="shared" si="22"/>
        <v>6.1109131786454725E-3</v>
      </c>
      <c r="M240" s="27">
        <f t="shared" si="23"/>
        <v>7.6126901302180414</v>
      </c>
      <c r="N240" s="27"/>
      <c r="O240" s="27"/>
      <c r="P240"/>
    </row>
    <row r="241" spans="1:16" ht="15">
      <c r="A241" s="17" t="s">
        <v>534</v>
      </c>
      <c r="B241" s="14" t="s">
        <v>121</v>
      </c>
      <c r="C241" s="25">
        <f>VLOOKUP(B241,'Consensus Phospho site'!B:G,6,FALSE)</f>
        <v>5.9956659900129697E-4</v>
      </c>
      <c r="D241" s="17" t="e">
        <v>#N/A</v>
      </c>
      <c r="E241" s="8" t="e">
        <v>#N/A</v>
      </c>
      <c r="F241" s="8">
        <v>0.5</v>
      </c>
      <c r="G241" s="8">
        <v>0.5</v>
      </c>
      <c r="H241" s="8">
        <f t="shared" si="18"/>
        <v>0.25</v>
      </c>
      <c r="I241" s="26">
        <f t="shared" si="19"/>
        <v>1.4989164975032424E-4</v>
      </c>
      <c r="J241" s="26">
        <f t="shared" si="20"/>
        <v>0.26455000385435651</v>
      </c>
      <c r="K241" s="26">
        <f t="shared" si="21"/>
        <v>5.665909943922909E-4</v>
      </c>
      <c r="L241" s="27">
        <f t="shared" si="22"/>
        <v>6.1109131786454725E-3</v>
      </c>
      <c r="M241" s="27">
        <f t="shared" si="23"/>
        <v>7.6126901302180414</v>
      </c>
      <c r="N241" s="27"/>
      <c r="O241" s="27"/>
      <c r="P241"/>
    </row>
    <row r="242" spans="1:16" ht="15">
      <c r="A242" s="17" t="s">
        <v>535</v>
      </c>
      <c r="B242" s="14" t="s">
        <v>406</v>
      </c>
      <c r="C242" s="25">
        <f>VLOOKUP(B242,'Consensus Phospho site'!B:G,6,FALSE)</f>
        <v>5.9956659900129697E-4</v>
      </c>
      <c r="D242" s="17" t="e">
        <v>#N/A</v>
      </c>
      <c r="E242" s="8" t="e">
        <v>#N/A</v>
      </c>
      <c r="F242" s="8">
        <v>0.5</v>
      </c>
      <c r="G242" s="8">
        <v>0.5</v>
      </c>
      <c r="H242" s="8">
        <f t="shared" si="18"/>
        <v>0.25</v>
      </c>
      <c r="I242" s="26">
        <f t="shared" si="19"/>
        <v>1.4989164975032424E-4</v>
      </c>
      <c r="J242" s="26">
        <f t="shared" si="20"/>
        <v>0.26455000385435651</v>
      </c>
      <c r="K242" s="26">
        <f t="shared" si="21"/>
        <v>5.665909943922909E-4</v>
      </c>
      <c r="L242" s="27">
        <f t="shared" si="22"/>
        <v>6.1109131786454725E-3</v>
      </c>
      <c r="M242" s="27">
        <f t="shared" si="23"/>
        <v>7.6126901302180414</v>
      </c>
      <c r="N242" s="27"/>
      <c r="O242" s="27"/>
      <c r="P242"/>
    </row>
    <row r="243" spans="1:16" ht="15">
      <c r="A243" s="17" t="s">
        <v>536</v>
      </c>
      <c r="B243" s="14" t="s">
        <v>485</v>
      </c>
      <c r="C243" s="25">
        <f>VLOOKUP(B243,'Consensus Phospho site'!B:G,6,FALSE)</f>
        <v>4.2826185642949794E-4</v>
      </c>
      <c r="D243" s="17" t="s">
        <v>990</v>
      </c>
      <c r="E243" s="8" t="s">
        <v>921</v>
      </c>
      <c r="F243" s="8">
        <v>0.65</v>
      </c>
      <c r="G243" s="8">
        <v>0.5</v>
      </c>
      <c r="H243" s="8">
        <f t="shared" si="18"/>
        <v>0.32500000000000001</v>
      </c>
      <c r="I243" s="26">
        <f t="shared" si="19"/>
        <v>1.3918510333958684E-4</v>
      </c>
      <c r="J243" s="26">
        <f t="shared" si="20"/>
        <v>0.26455000385435651</v>
      </c>
      <c r="K243" s="26">
        <f t="shared" si="21"/>
        <v>5.2612020907855594E-4</v>
      </c>
      <c r="L243" s="27">
        <f t="shared" si="22"/>
        <v>5.7306696296090288E-3</v>
      </c>
      <c r="M243" s="27">
        <f t="shared" si="23"/>
        <v>7.6126901302180414</v>
      </c>
      <c r="N243" s="27"/>
      <c r="O243" s="27"/>
      <c r="P243"/>
    </row>
    <row r="244" spans="1:16" ht="15">
      <c r="A244" s="17" t="s">
        <v>538</v>
      </c>
      <c r="B244" s="14" t="s">
        <v>146</v>
      </c>
      <c r="C244" s="25">
        <f>VLOOKUP(B244,'Consensus Phospho site'!B:G,6,FALSE)</f>
        <v>4.8821851632962771E-4</v>
      </c>
      <c r="D244" s="17" t="e">
        <v>#N/A</v>
      </c>
      <c r="E244" s="8" t="e">
        <v>#N/A</v>
      </c>
      <c r="F244" s="8">
        <v>0.5</v>
      </c>
      <c r="G244" s="8">
        <v>0.5</v>
      </c>
      <c r="H244" s="8">
        <f t="shared" si="18"/>
        <v>0.25</v>
      </c>
      <c r="I244" s="26">
        <f t="shared" si="19"/>
        <v>1.2205462908240693E-4</v>
      </c>
      <c r="J244" s="26">
        <f t="shared" si="20"/>
        <v>0.26455000385435651</v>
      </c>
      <c r="K244" s="26">
        <f t="shared" si="21"/>
        <v>4.613669525765799E-4</v>
      </c>
      <c r="L244" s="27">
        <f t="shared" si="22"/>
        <v>5.1127752390690492E-3</v>
      </c>
      <c r="M244" s="27">
        <f t="shared" si="23"/>
        <v>7.6126901302180414</v>
      </c>
      <c r="N244" s="27"/>
      <c r="O244" s="27"/>
      <c r="P244"/>
    </row>
    <row r="245" spans="1:16" ht="15">
      <c r="A245" s="17" t="s">
        <v>538</v>
      </c>
      <c r="B245" s="14" t="s">
        <v>148</v>
      </c>
      <c r="C245" s="25">
        <f>VLOOKUP(B245,'Consensus Phospho site'!B:G,6,FALSE)</f>
        <v>4.8821851632962771E-4</v>
      </c>
      <c r="D245" s="17" t="e">
        <v>#N/A</v>
      </c>
      <c r="E245" s="8" t="e">
        <v>#N/A</v>
      </c>
      <c r="F245" s="8">
        <v>0.5</v>
      </c>
      <c r="G245" s="8">
        <v>0.5</v>
      </c>
      <c r="H245" s="8">
        <f t="shared" si="18"/>
        <v>0.25</v>
      </c>
      <c r="I245" s="26">
        <f t="shared" si="19"/>
        <v>1.2205462908240693E-4</v>
      </c>
      <c r="J245" s="26">
        <f t="shared" si="20"/>
        <v>0.26455000385435651</v>
      </c>
      <c r="K245" s="26">
        <f t="shared" si="21"/>
        <v>4.613669525765799E-4</v>
      </c>
      <c r="L245" s="27">
        <f t="shared" si="22"/>
        <v>5.1127752390690492E-3</v>
      </c>
      <c r="M245" s="27">
        <f t="shared" si="23"/>
        <v>7.6126901302180414</v>
      </c>
      <c r="N245" s="27"/>
      <c r="O245" s="27"/>
      <c r="P245"/>
    </row>
    <row r="246" spans="1:16" ht="15">
      <c r="A246" s="17" t="s">
        <v>539</v>
      </c>
      <c r="B246" s="14" t="s">
        <v>296</v>
      </c>
      <c r="C246" s="25">
        <f>VLOOKUP(B246,'Consensus Phospho site'!B:G,6,FALSE)</f>
        <v>4.8821851632962771E-4</v>
      </c>
      <c r="D246" s="17" t="e">
        <v>#N/A</v>
      </c>
      <c r="E246" s="8" t="e">
        <v>#N/A</v>
      </c>
      <c r="F246" s="8">
        <v>0.5</v>
      </c>
      <c r="G246" s="8">
        <v>0.5</v>
      </c>
      <c r="H246" s="8">
        <f t="shared" si="18"/>
        <v>0.25</v>
      </c>
      <c r="I246" s="26">
        <f t="shared" si="19"/>
        <v>1.2205462908240693E-4</v>
      </c>
      <c r="J246" s="26">
        <f t="shared" si="20"/>
        <v>0.26455000385435651</v>
      </c>
      <c r="K246" s="26">
        <f t="shared" si="21"/>
        <v>4.613669525765799E-4</v>
      </c>
      <c r="L246" s="27">
        <f t="shared" si="22"/>
        <v>5.1127752390690492E-3</v>
      </c>
      <c r="M246" s="27">
        <f t="shared" si="23"/>
        <v>7.6126901302180414</v>
      </c>
      <c r="N246" s="27"/>
      <c r="O246" s="27"/>
      <c r="P246"/>
    </row>
    <row r="247" spans="1:16" ht="15">
      <c r="A247" s="17" t="s">
        <v>539</v>
      </c>
      <c r="B247" s="14" t="s">
        <v>303</v>
      </c>
      <c r="C247" s="25">
        <f>VLOOKUP(B247,'Consensus Phospho site'!B:G,6,FALSE)</f>
        <v>4.8821851632962771E-4</v>
      </c>
      <c r="D247" s="17" t="e">
        <v>#N/A</v>
      </c>
      <c r="E247" s="8" t="e">
        <v>#N/A</v>
      </c>
      <c r="F247" s="8">
        <v>0.5</v>
      </c>
      <c r="G247" s="8">
        <v>0.5</v>
      </c>
      <c r="H247" s="8">
        <f t="shared" si="18"/>
        <v>0.25</v>
      </c>
      <c r="I247" s="26">
        <f t="shared" si="19"/>
        <v>1.2205462908240693E-4</v>
      </c>
      <c r="J247" s="26">
        <f t="shared" si="20"/>
        <v>0.26455000385435651</v>
      </c>
      <c r="K247" s="26">
        <f t="shared" si="21"/>
        <v>4.613669525765799E-4</v>
      </c>
      <c r="L247" s="27">
        <f t="shared" si="22"/>
        <v>5.1127752390690492E-3</v>
      </c>
      <c r="M247" s="27">
        <f t="shared" si="23"/>
        <v>7.6126901302180414</v>
      </c>
      <c r="N247" s="27"/>
      <c r="O247" s="27"/>
      <c r="P247"/>
    </row>
    <row r="248" spans="1:16" ht="15">
      <c r="A248" s="17" t="s">
        <v>539</v>
      </c>
      <c r="B248" s="14" t="s">
        <v>304</v>
      </c>
      <c r="C248" s="25">
        <f>VLOOKUP(B248,'Consensus Phospho site'!B:G,6,FALSE)</f>
        <v>4.8821851632962771E-4</v>
      </c>
      <c r="D248" s="17" t="e">
        <v>#N/A</v>
      </c>
      <c r="E248" s="8" t="e">
        <v>#N/A</v>
      </c>
      <c r="F248" s="8">
        <v>0.5</v>
      </c>
      <c r="G248" s="8">
        <v>0.5</v>
      </c>
      <c r="H248" s="8">
        <f t="shared" si="18"/>
        <v>0.25</v>
      </c>
      <c r="I248" s="26">
        <f t="shared" si="19"/>
        <v>1.2205462908240693E-4</v>
      </c>
      <c r="J248" s="26">
        <f t="shared" si="20"/>
        <v>0.26455000385435651</v>
      </c>
      <c r="K248" s="26">
        <f t="shared" si="21"/>
        <v>4.613669525765799E-4</v>
      </c>
      <c r="L248" s="27">
        <f t="shared" si="22"/>
        <v>5.1127752390690492E-3</v>
      </c>
      <c r="M248" s="27">
        <f t="shared" si="23"/>
        <v>7.6126901302180414</v>
      </c>
      <c r="N248" s="27"/>
      <c r="O248" s="27"/>
      <c r="P248"/>
    </row>
    <row r="249" spans="1:16" ht="15">
      <c r="A249" s="17" t="s">
        <v>539</v>
      </c>
      <c r="B249" s="14" t="s">
        <v>306</v>
      </c>
      <c r="C249" s="25">
        <f>VLOOKUP(B249,'Consensus Phospho site'!B:G,6,FALSE)</f>
        <v>4.8821851632962771E-4</v>
      </c>
      <c r="D249" s="17" t="e">
        <v>#N/A</v>
      </c>
      <c r="E249" s="8" t="e">
        <v>#N/A</v>
      </c>
      <c r="F249" s="8">
        <v>0.5</v>
      </c>
      <c r="G249" s="8">
        <v>0.5</v>
      </c>
      <c r="H249" s="8">
        <f t="shared" si="18"/>
        <v>0.25</v>
      </c>
      <c r="I249" s="26">
        <f t="shared" si="19"/>
        <v>1.2205462908240693E-4</v>
      </c>
      <c r="J249" s="26">
        <f t="shared" si="20"/>
        <v>0.26455000385435651</v>
      </c>
      <c r="K249" s="26">
        <f t="shared" si="21"/>
        <v>4.613669525765799E-4</v>
      </c>
      <c r="L249" s="27">
        <f t="shared" si="22"/>
        <v>5.1127752390690492E-3</v>
      </c>
      <c r="M249" s="27">
        <f t="shared" si="23"/>
        <v>7.6126901302180414</v>
      </c>
      <c r="N249" s="27"/>
      <c r="O249" s="27"/>
      <c r="P249"/>
    </row>
    <row r="250" spans="1:16" ht="15">
      <c r="A250" s="17" t="s">
        <v>539</v>
      </c>
      <c r="B250" s="14" t="s">
        <v>309</v>
      </c>
      <c r="C250" s="25">
        <f>VLOOKUP(B250,'Consensus Phospho site'!B:G,6,FALSE)</f>
        <v>4.8821851632962771E-4</v>
      </c>
      <c r="D250" s="17" t="e">
        <v>#N/A</v>
      </c>
      <c r="E250" s="8" t="e">
        <v>#N/A</v>
      </c>
      <c r="F250" s="8">
        <v>0.5</v>
      </c>
      <c r="G250" s="8">
        <v>0.5</v>
      </c>
      <c r="H250" s="8">
        <f t="shared" si="18"/>
        <v>0.25</v>
      </c>
      <c r="I250" s="26">
        <f t="shared" si="19"/>
        <v>1.2205462908240693E-4</v>
      </c>
      <c r="J250" s="26">
        <f t="shared" si="20"/>
        <v>0.26455000385435651</v>
      </c>
      <c r="K250" s="26">
        <f t="shared" si="21"/>
        <v>4.613669525765799E-4</v>
      </c>
      <c r="L250" s="27">
        <f t="shared" si="22"/>
        <v>5.1127752390690492E-3</v>
      </c>
      <c r="M250" s="27">
        <f t="shared" si="23"/>
        <v>7.6126901302180414</v>
      </c>
      <c r="N250" s="27"/>
      <c r="O250" s="27"/>
      <c r="P250"/>
    </row>
    <row r="251" spans="1:16" ht="15">
      <c r="A251" s="17" t="s">
        <v>540</v>
      </c>
      <c r="B251" s="14" t="s">
        <v>237</v>
      </c>
      <c r="C251" s="25">
        <f>VLOOKUP(B251,'Consensus Phospho site'!B:G,6,FALSE)</f>
        <v>4.8821851632962771E-4</v>
      </c>
      <c r="D251" s="17" t="e">
        <v>#N/A</v>
      </c>
      <c r="E251" s="8" t="e">
        <v>#N/A</v>
      </c>
      <c r="F251" s="8">
        <v>0.5</v>
      </c>
      <c r="G251" s="8">
        <v>0.5</v>
      </c>
      <c r="H251" s="8">
        <f t="shared" si="18"/>
        <v>0.25</v>
      </c>
      <c r="I251" s="26">
        <f t="shared" si="19"/>
        <v>1.2205462908240693E-4</v>
      </c>
      <c r="J251" s="26">
        <f t="shared" si="20"/>
        <v>0.26455000385435651</v>
      </c>
      <c r="K251" s="26">
        <f t="shared" si="21"/>
        <v>4.613669525765799E-4</v>
      </c>
      <c r="L251" s="27">
        <f t="shared" si="22"/>
        <v>5.1127752390690492E-3</v>
      </c>
      <c r="M251" s="27">
        <f t="shared" si="23"/>
        <v>7.6126901302180414</v>
      </c>
      <c r="N251" s="27"/>
      <c r="O251" s="27"/>
      <c r="P251"/>
    </row>
    <row r="252" spans="1:16" ht="15">
      <c r="A252" s="17" t="s">
        <v>540</v>
      </c>
      <c r="B252" s="14" t="s">
        <v>238</v>
      </c>
      <c r="C252" s="25">
        <f>VLOOKUP(B252,'Consensus Phospho site'!B:G,6,FALSE)</f>
        <v>4.8821851632962771E-4</v>
      </c>
      <c r="D252" s="17" t="e">
        <v>#N/A</v>
      </c>
      <c r="E252" s="8" t="e">
        <v>#N/A</v>
      </c>
      <c r="F252" s="8">
        <v>0.5</v>
      </c>
      <c r="G252" s="8">
        <v>0.5</v>
      </c>
      <c r="H252" s="8">
        <f t="shared" si="18"/>
        <v>0.25</v>
      </c>
      <c r="I252" s="26">
        <f t="shared" si="19"/>
        <v>1.2205462908240693E-4</v>
      </c>
      <c r="J252" s="26">
        <f t="shared" si="20"/>
        <v>0.26455000385435651</v>
      </c>
      <c r="K252" s="26">
        <f t="shared" si="21"/>
        <v>4.613669525765799E-4</v>
      </c>
      <c r="L252" s="27">
        <f t="shared" si="22"/>
        <v>5.1127752390690492E-3</v>
      </c>
      <c r="M252" s="27">
        <f t="shared" si="23"/>
        <v>7.6126901302180414</v>
      </c>
      <c r="N252" s="27"/>
      <c r="O252" s="27"/>
      <c r="P252"/>
    </row>
    <row r="253" spans="1:16" ht="15">
      <c r="A253" s="17" t="s">
        <v>540</v>
      </c>
      <c r="B253" s="14" t="s">
        <v>239</v>
      </c>
      <c r="C253" s="25">
        <f>VLOOKUP(B253,'Consensus Phospho site'!B:G,6,FALSE)</f>
        <v>4.8821851632962771E-4</v>
      </c>
      <c r="D253" s="17" t="e">
        <v>#N/A</v>
      </c>
      <c r="E253" s="8" t="e">
        <v>#N/A</v>
      </c>
      <c r="F253" s="8">
        <v>0.5</v>
      </c>
      <c r="G253" s="8">
        <v>0.5</v>
      </c>
      <c r="H253" s="8">
        <f t="shared" si="18"/>
        <v>0.25</v>
      </c>
      <c r="I253" s="26">
        <f t="shared" si="19"/>
        <v>1.2205462908240693E-4</v>
      </c>
      <c r="J253" s="26">
        <f t="shared" si="20"/>
        <v>0.26455000385435651</v>
      </c>
      <c r="K253" s="26">
        <f t="shared" si="21"/>
        <v>4.613669525765799E-4</v>
      </c>
      <c r="L253" s="27">
        <f t="shared" si="22"/>
        <v>5.1127752390690492E-3</v>
      </c>
      <c r="M253" s="27">
        <f t="shared" si="23"/>
        <v>7.6126901302180414</v>
      </c>
      <c r="N253" s="27"/>
      <c r="O253" s="27"/>
      <c r="P253"/>
    </row>
    <row r="254" spans="1:16" ht="15">
      <c r="A254" s="17" t="s">
        <v>540</v>
      </c>
      <c r="B254" s="14" t="s">
        <v>242</v>
      </c>
      <c r="C254" s="25">
        <f>VLOOKUP(B254,'Consensus Phospho site'!B:G,6,FALSE)</f>
        <v>4.8821851632962771E-4</v>
      </c>
      <c r="D254" s="17" t="e">
        <v>#N/A</v>
      </c>
      <c r="E254" s="8" t="e">
        <v>#N/A</v>
      </c>
      <c r="F254" s="8">
        <v>0.5</v>
      </c>
      <c r="G254" s="8">
        <v>0.5</v>
      </c>
      <c r="H254" s="8">
        <f t="shared" si="18"/>
        <v>0.25</v>
      </c>
      <c r="I254" s="26">
        <f t="shared" si="19"/>
        <v>1.2205462908240693E-4</v>
      </c>
      <c r="J254" s="26">
        <f t="shared" si="20"/>
        <v>0.26455000385435651</v>
      </c>
      <c r="K254" s="26">
        <f t="shared" si="21"/>
        <v>4.613669525765799E-4</v>
      </c>
      <c r="L254" s="27">
        <f t="shared" si="22"/>
        <v>5.1127752390690492E-3</v>
      </c>
      <c r="M254" s="27">
        <f t="shared" si="23"/>
        <v>7.6126901302180414</v>
      </c>
      <c r="N254" s="27"/>
      <c r="O254" s="27"/>
      <c r="P254"/>
    </row>
    <row r="255" spans="1:16" ht="15">
      <c r="A255" s="17" t="s">
        <v>540</v>
      </c>
      <c r="B255" s="14" t="s">
        <v>243</v>
      </c>
      <c r="C255" s="25">
        <f>VLOOKUP(B255,'Consensus Phospho site'!B:G,6,FALSE)</f>
        <v>4.8821851632962771E-4</v>
      </c>
      <c r="D255" s="17" t="e">
        <v>#N/A</v>
      </c>
      <c r="E255" s="8" t="e">
        <v>#N/A</v>
      </c>
      <c r="F255" s="8">
        <v>0.5</v>
      </c>
      <c r="G255" s="8">
        <v>0.5</v>
      </c>
      <c r="H255" s="8">
        <f t="shared" si="18"/>
        <v>0.25</v>
      </c>
      <c r="I255" s="26">
        <f t="shared" si="19"/>
        <v>1.2205462908240693E-4</v>
      </c>
      <c r="J255" s="26">
        <f t="shared" si="20"/>
        <v>0.26455000385435651</v>
      </c>
      <c r="K255" s="26">
        <f t="shared" si="21"/>
        <v>4.613669525765799E-4</v>
      </c>
      <c r="L255" s="27">
        <f t="shared" si="22"/>
        <v>5.1127752390690492E-3</v>
      </c>
      <c r="M255" s="27">
        <f t="shared" si="23"/>
        <v>7.6126901302180414</v>
      </c>
      <c r="N255" s="27"/>
      <c r="O255" s="27"/>
      <c r="P255"/>
    </row>
    <row r="256" spans="1:16" ht="15">
      <c r="A256" s="17" t="s">
        <v>540</v>
      </c>
      <c r="B256" s="14" t="s">
        <v>248</v>
      </c>
      <c r="C256" s="25">
        <f>VLOOKUP(B256,'Consensus Phospho site'!B:G,6,FALSE)</f>
        <v>4.8821851632962771E-4</v>
      </c>
      <c r="D256" s="17" t="e">
        <v>#N/A</v>
      </c>
      <c r="E256" s="8" t="e">
        <v>#N/A</v>
      </c>
      <c r="F256" s="8">
        <v>0.5</v>
      </c>
      <c r="G256" s="8">
        <v>0.5</v>
      </c>
      <c r="H256" s="8">
        <f t="shared" si="18"/>
        <v>0.25</v>
      </c>
      <c r="I256" s="26">
        <f t="shared" si="19"/>
        <v>1.2205462908240693E-4</v>
      </c>
      <c r="J256" s="26">
        <f t="shared" si="20"/>
        <v>0.26455000385435651</v>
      </c>
      <c r="K256" s="26">
        <f t="shared" si="21"/>
        <v>4.613669525765799E-4</v>
      </c>
      <c r="L256" s="27">
        <f t="shared" si="22"/>
        <v>5.1127752390690492E-3</v>
      </c>
      <c r="M256" s="27">
        <f t="shared" si="23"/>
        <v>7.6126901302180414</v>
      </c>
      <c r="N256" s="27"/>
      <c r="O256" s="27"/>
      <c r="P256"/>
    </row>
    <row r="257" spans="1:16" ht="15">
      <c r="A257" s="17" t="s">
        <v>540</v>
      </c>
      <c r="B257" s="14" t="s">
        <v>251</v>
      </c>
      <c r="C257" s="25">
        <f>VLOOKUP(B257,'Consensus Phospho site'!B:G,6,FALSE)</f>
        <v>4.8821851632962771E-4</v>
      </c>
      <c r="D257" s="17" t="e">
        <v>#N/A</v>
      </c>
      <c r="E257" s="8" t="e">
        <v>#N/A</v>
      </c>
      <c r="F257" s="8">
        <v>0.5</v>
      </c>
      <c r="G257" s="8">
        <v>0.5</v>
      </c>
      <c r="H257" s="8">
        <f t="shared" si="18"/>
        <v>0.25</v>
      </c>
      <c r="I257" s="26">
        <f t="shared" si="19"/>
        <v>1.2205462908240693E-4</v>
      </c>
      <c r="J257" s="26">
        <f t="shared" si="20"/>
        <v>0.26455000385435651</v>
      </c>
      <c r="K257" s="26">
        <f t="shared" si="21"/>
        <v>4.613669525765799E-4</v>
      </c>
      <c r="L257" s="27">
        <f t="shared" si="22"/>
        <v>5.1127752390690492E-3</v>
      </c>
      <c r="M257" s="27">
        <f t="shared" si="23"/>
        <v>7.6126901302180414</v>
      </c>
      <c r="N257" s="27"/>
      <c r="O257" s="27"/>
      <c r="P257"/>
    </row>
    <row r="258" spans="1:16" ht="15">
      <c r="A258" s="17" t="s">
        <v>540</v>
      </c>
      <c r="B258" s="14" t="s">
        <v>252</v>
      </c>
      <c r="C258" s="25">
        <f>VLOOKUP(B258,'Consensus Phospho site'!B:G,6,FALSE)</f>
        <v>4.8821851632962771E-4</v>
      </c>
      <c r="D258" s="17" t="e">
        <v>#N/A</v>
      </c>
      <c r="E258" s="8" t="e">
        <v>#N/A</v>
      </c>
      <c r="F258" s="8">
        <v>0.5</v>
      </c>
      <c r="G258" s="8">
        <v>0.5</v>
      </c>
      <c r="H258" s="8">
        <f t="shared" ref="H258:H321" si="24">F258*G258</f>
        <v>0.25</v>
      </c>
      <c r="I258" s="26">
        <f t="shared" ref="I258:I321" si="25">H258*C258</f>
        <v>1.2205462908240693E-4</v>
      </c>
      <c r="J258" s="26">
        <f t="shared" ref="J258:J321" si="26">SUM($I$2:$I$522)</f>
        <v>0.26455000385435651</v>
      </c>
      <c r="K258" s="26">
        <f t="shared" ref="K258:K321" si="27">I258/J258</f>
        <v>4.613669525765799E-4</v>
      </c>
      <c r="L258" s="27">
        <f t="shared" ref="L258:L321" si="28">K258*-LOG(K258,2)</f>
        <v>5.1127752390690492E-3</v>
      </c>
      <c r="M258" s="27">
        <f t="shared" ref="M258:M321" si="29">SUM($L$2:$L$522)</f>
        <v>7.6126901302180414</v>
      </c>
      <c r="N258" s="27"/>
      <c r="O258" s="27"/>
      <c r="P258"/>
    </row>
    <row r="259" spans="1:16" ht="15">
      <c r="A259" s="17" t="s">
        <v>540</v>
      </c>
      <c r="B259" s="14" t="s">
        <v>253</v>
      </c>
      <c r="C259" s="25">
        <f>VLOOKUP(B259,'Consensus Phospho site'!B:G,6,FALSE)</f>
        <v>4.8821851632962771E-4</v>
      </c>
      <c r="D259" s="17" t="e">
        <v>#N/A</v>
      </c>
      <c r="E259" s="8" t="e">
        <v>#N/A</v>
      </c>
      <c r="F259" s="8">
        <v>0.5</v>
      </c>
      <c r="G259" s="8">
        <v>0.5</v>
      </c>
      <c r="H259" s="8">
        <f t="shared" si="24"/>
        <v>0.25</v>
      </c>
      <c r="I259" s="26">
        <f t="shared" si="25"/>
        <v>1.2205462908240693E-4</v>
      </c>
      <c r="J259" s="26">
        <f t="shared" si="26"/>
        <v>0.26455000385435651</v>
      </c>
      <c r="K259" s="26">
        <f t="shared" si="27"/>
        <v>4.613669525765799E-4</v>
      </c>
      <c r="L259" s="27">
        <f t="shared" si="28"/>
        <v>5.1127752390690492E-3</v>
      </c>
      <c r="M259" s="27">
        <f t="shared" si="29"/>
        <v>7.6126901302180414</v>
      </c>
      <c r="N259" s="27"/>
      <c r="O259" s="27"/>
      <c r="P259"/>
    </row>
    <row r="260" spans="1:16" ht="15">
      <c r="A260" s="17" t="s">
        <v>540</v>
      </c>
      <c r="B260" s="14" t="s">
        <v>254</v>
      </c>
      <c r="C260" s="25">
        <f>VLOOKUP(B260,'Consensus Phospho site'!B:G,6,FALSE)</f>
        <v>4.8821851632962771E-4</v>
      </c>
      <c r="D260" s="17" t="e">
        <v>#N/A</v>
      </c>
      <c r="E260" s="8" t="e">
        <v>#N/A</v>
      </c>
      <c r="F260" s="8">
        <v>0.5</v>
      </c>
      <c r="G260" s="8">
        <v>0.5</v>
      </c>
      <c r="H260" s="8">
        <f t="shared" si="24"/>
        <v>0.25</v>
      </c>
      <c r="I260" s="26">
        <f t="shared" si="25"/>
        <v>1.2205462908240693E-4</v>
      </c>
      <c r="J260" s="26">
        <f t="shared" si="26"/>
        <v>0.26455000385435651</v>
      </c>
      <c r="K260" s="26">
        <f t="shared" si="27"/>
        <v>4.613669525765799E-4</v>
      </c>
      <c r="L260" s="27">
        <f t="shared" si="28"/>
        <v>5.1127752390690492E-3</v>
      </c>
      <c r="M260" s="27">
        <f t="shared" si="29"/>
        <v>7.6126901302180414</v>
      </c>
      <c r="N260" s="27"/>
      <c r="O260" s="27"/>
      <c r="P260"/>
    </row>
    <row r="261" spans="1:16" ht="15">
      <c r="A261" s="17" t="s">
        <v>540</v>
      </c>
      <c r="B261" s="14" t="s">
        <v>262</v>
      </c>
      <c r="C261" s="25">
        <f>VLOOKUP(B261,'Consensus Phospho site'!B:G,6,FALSE)</f>
        <v>4.8821851632962771E-4</v>
      </c>
      <c r="D261" s="17" t="e">
        <v>#N/A</v>
      </c>
      <c r="E261" s="8" t="e">
        <v>#N/A</v>
      </c>
      <c r="F261" s="8">
        <v>0.5</v>
      </c>
      <c r="G261" s="8">
        <v>0.5</v>
      </c>
      <c r="H261" s="8">
        <f t="shared" si="24"/>
        <v>0.25</v>
      </c>
      <c r="I261" s="26">
        <f t="shared" si="25"/>
        <v>1.2205462908240693E-4</v>
      </c>
      <c r="J261" s="26">
        <f t="shared" si="26"/>
        <v>0.26455000385435651</v>
      </c>
      <c r="K261" s="26">
        <f t="shared" si="27"/>
        <v>4.613669525765799E-4</v>
      </c>
      <c r="L261" s="27">
        <f t="shared" si="28"/>
        <v>5.1127752390690492E-3</v>
      </c>
      <c r="M261" s="27">
        <f t="shared" si="29"/>
        <v>7.6126901302180414</v>
      </c>
      <c r="N261" s="27"/>
      <c r="O261" s="27"/>
      <c r="P261"/>
    </row>
    <row r="262" spans="1:16" ht="15">
      <c r="A262" s="17" t="s">
        <v>540</v>
      </c>
      <c r="B262" s="14" t="s">
        <v>263</v>
      </c>
      <c r="C262" s="25">
        <f>VLOOKUP(B262,'Consensus Phospho site'!B:G,6,FALSE)</f>
        <v>4.8821851632962771E-4</v>
      </c>
      <c r="D262" s="17" t="e">
        <v>#N/A</v>
      </c>
      <c r="E262" s="8" t="e">
        <v>#N/A</v>
      </c>
      <c r="F262" s="8">
        <v>0.5</v>
      </c>
      <c r="G262" s="8">
        <v>0.5</v>
      </c>
      <c r="H262" s="8">
        <f t="shared" si="24"/>
        <v>0.25</v>
      </c>
      <c r="I262" s="26">
        <f t="shared" si="25"/>
        <v>1.2205462908240693E-4</v>
      </c>
      <c r="J262" s="26">
        <f t="shared" si="26"/>
        <v>0.26455000385435651</v>
      </c>
      <c r="K262" s="26">
        <f t="shared" si="27"/>
        <v>4.613669525765799E-4</v>
      </c>
      <c r="L262" s="27">
        <f t="shared" si="28"/>
        <v>5.1127752390690492E-3</v>
      </c>
      <c r="M262" s="27">
        <f t="shared" si="29"/>
        <v>7.6126901302180414</v>
      </c>
      <c r="N262" s="27"/>
      <c r="O262" s="27"/>
      <c r="P262"/>
    </row>
    <row r="263" spans="1:16" ht="15">
      <c r="A263" s="17" t="s">
        <v>541</v>
      </c>
      <c r="B263" s="14" t="s">
        <v>213</v>
      </c>
      <c r="C263" s="25">
        <f>VLOOKUP(B263,'Consensus Phospho site'!B:G,6,FALSE)</f>
        <v>4.8821851632962771E-4</v>
      </c>
      <c r="D263" s="17" t="e">
        <v>#N/A</v>
      </c>
      <c r="E263" s="8" t="e">
        <v>#N/A</v>
      </c>
      <c r="F263" s="8">
        <v>0.5</v>
      </c>
      <c r="G263" s="8">
        <v>0.5</v>
      </c>
      <c r="H263" s="8">
        <f t="shared" si="24"/>
        <v>0.25</v>
      </c>
      <c r="I263" s="26">
        <f t="shared" si="25"/>
        <v>1.2205462908240693E-4</v>
      </c>
      <c r="J263" s="26">
        <f t="shared" si="26"/>
        <v>0.26455000385435651</v>
      </c>
      <c r="K263" s="26">
        <f t="shared" si="27"/>
        <v>4.613669525765799E-4</v>
      </c>
      <c r="L263" s="27">
        <f t="shared" si="28"/>
        <v>5.1127752390690492E-3</v>
      </c>
      <c r="M263" s="27">
        <f t="shared" si="29"/>
        <v>7.6126901302180414</v>
      </c>
      <c r="N263" s="27"/>
      <c r="O263" s="27"/>
      <c r="P263"/>
    </row>
    <row r="264" spans="1:16" ht="15">
      <c r="A264" s="17" t="s">
        <v>541</v>
      </c>
      <c r="B264" s="14" t="s">
        <v>214</v>
      </c>
      <c r="C264" s="25">
        <f>VLOOKUP(B264,'Consensus Phospho site'!B:G,6,FALSE)</f>
        <v>4.8821851632962771E-4</v>
      </c>
      <c r="D264" s="17" t="e">
        <v>#N/A</v>
      </c>
      <c r="E264" s="8" t="e">
        <v>#N/A</v>
      </c>
      <c r="F264" s="8">
        <v>0.5</v>
      </c>
      <c r="G264" s="8">
        <v>0.5</v>
      </c>
      <c r="H264" s="8">
        <f t="shared" si="24"/>
        <v>0.25</v>
      </c>
      <c r="I264" s="26">
        <f t="shared" si="25"/>
        <v>1.2205462908240693E-4</v>
      </c>
      <c r="J264" s="26">
        <f t="shared" si="26"/>
        <v>0.26455000385435651</v>
      </c>
      <c r="K264" s="26">
        <f t="shared" si="27"/>
        <v>4.613669525765799E-4</v>
      </c>
      <c r="L264" s="27">
        <f t="shared" si="28"/>
        <v>5.1127752390690492E-3</v>
      </c>
      <c r="M264" s="27">
        <f t="shared" si="29"/>
        <v>7.6126901302180414</v>
      </c>
      <c r="N264" s="27"/>
      <c r="O264" s="27"/>
      <c r="P264"/>
    </row>
    <row r="265" spans="1:16" ht="15">
      <c r="A265" s="17" t="s">
        <v>541</v>
      </c>
      <c r="B265" s="14" t="s">
        <v>217</v>
      </c>
      <c r="C265" s="25">
        <f>VLOOKUP(B265,'Consensus Phospho site'!B:G,6,FALSE)</f>
        <v>4.8821851632962771E-4</v>
      </c>
      <c r="D265" s="17" t="e">
        <v>#N/A</v>
      </c>
      <c r="E265" s="8" t="e">
        <v>#N/A</v>
      </c>
      <c r="F265" s="8">
        <v>0.5</v>
      </c>
      <c r="G265" s="8">
        <v>0.5</v>
      </c>
      <c r="H265" s="8">
        <f t="shared" si="24"/>
        <v>0.25</v>
      </c>
      <c r="I265" s="26">
        <f t="shared" si="25"/>
        <v>1.2205462908240693E-4</v>
      </c>
      <c r="J265" s="26">
        <f t="shared" si="26"/>
        <v>0.26455000385435651</v>
      </c>
      <c r="K265" s="26">
        <f t="shared" si="27"/>
        <v>4.613669525765799E-4</v>
      </c>
      <c r="L265" s="27">
        <f t="shared" si="28"/>
        <v>5.1127752390690492E-3</v>
      </c>
      <c r="M265" s="27">
        <f t="shared" si="29"/>
        <v>7.6126901302180414</v>
      </c>
      <c r="N265" s="27"/>
      <c r="O265" s="27"/>
      <c r="P265"/>
    </row>
    <row r="266" spans="1:16" ht="15">
      <c r="A266" s="17" t="s">
        <v>541</v>
      </c>
      <c r="B266" s="14" t="s">
        <v>218</v>
      </c>
      <c r="C266" s="25">
        <f>VLOOKUP(B266,'Consensus Phospho site'!B:G,6,FALSE)</f>
        <v>4.8821851632962771E-4</v>
      </c>
      <c r="D266" s="17" t="e">
        <v>#N/A</v>
      </c>
      <c r="E266" s="8" t="e">
        <v>#N/A</v>
      </c>
      <c r="F266" s="8">
        <v>0.5</v>
      </c>
      <c r="G266" s="8">
        <v>0.5</v>
      </c>
      <c r="H266" s="8">
        <f t="shared" si="24"/>
        <v>0.25</v>
      </c>
      <c r="I266" s="26">
        <f t="shared" si="25"/>
        <v>1.2205462908240693E-4</v>
      </c>
      <c r="J266" s="26">
        <f t="shared" si="26"/>
        <v>0.26455000385435651</v>
      </c>
      <c r="K266" s="26">
        <f t="shared" si="27"/>
        <v>4.613669525765799E-4</v>
      </c>
      <c r="L266" s="27">
        <f t="shared" si="28"/>
        <v>5.1127752390690492E-3</v>
      </c>
      <c r="M266" s="27">
        <f t="shared" si="29"/>
        <v>7.6126901302180414</v>
      </c>
      <c r="N266" s="27"/>
      <c r="O266" s="27"/>
      <c r="P266"/>
    </row>
    <row r="267" spans="1:16" ht="15">
      <c r="A267" s="17" t="s">
        <v>541</v>
      </c>
      <c r="B267" s="14" t="s">
        <v>219</v>
      </c>
      <c r="C267" s="25">
        <f>VLOOKUP(B267,'Consensus Phospho site'!B:G,6,FALSE)</f>
        <v>4.8821851632962771E-4</v>
      </c>
      <c r="D267" s="17" t="e">
        <v>#N/A</v>
      </c>
      <c r="E267" s="8" t="e">
        <v>#N/A</v>
      </c>
      <c r="F267" s="8">
        <v>0.5</v>
      </c>
      <c r="G267" s="8">
        <v>0.5</v>
      </c>
      <c r="H267" s="8">
        <f t="shared" si="24"/>
        <v>0.25</v>
      </c>
      <c r="I267" s="26">
        <f t="shared" si="25"/>
        <v>1.2205462908240693E-4</v>
      </c>
      <c r="J267" s="26">
        <f t="shared" si="26"/>
        <v>0.26455000385435651</v>
      </c>
      <c r="K267" s="26">
        <f t="shared" si="27"/>
        <v>4.613669525765799E-4</v>
      </c>
      <c r="L267" s="27">
        <f t="shared" si="28"/>
        <v>5.1127752390690492E-3</v>
      </c>
      <c r="M267" s="27">
        <f t="shared" si="29"/>
        <v>7.6126901302180414</v>
      </c>
      <c r="N267" s="27"/>
      <c r="O267" s="27"/>
      <c r="P267"/>
    </row>
    <row r="268" spans="1:16" ht="15">
      <c r="A268" s="17" t="s">
        <v>540</v>
      </c>
      <c r="B268" s="14" t="s">
        <v>264</v>
      </c>
      <c r="C268" s="25">
        <f>VLOOKUP(B268,'Consensus Phospho site'!B:G,6,FALSE)</f>
        <v>4.8821851632962771E-4</v>
      </c>
      <c r="D268" s="17" t="e">
        <v>#N/A</v>
      </c>
      <c r="E268" s="8" t="e">
        <v>#N/A</v>
      </c>
      <c r="F268" s="8">
        <v>0.5</v>
      </c>
      <c r="G268" s="8">
        <v>0.5</v>
      </c>
      <c r="H268" s="8">
        <f t="shared" si="24"/>
        <v>0.25</v>
      </c>
      <c r="I268" s="26">
        <f t="shared" si="25"/>
        <v>1.2205462908240693E-4</v>
      </c>
      <c r="J268" s="26">
        <f t="shared" si="26"/>
        <v>0.26455000385435651</v>
      </c>
      <c r="K268" s="26">
        <f t="shared" si="27"/>
        <v>4.613669525765799E-4</v>
      </c>
      <c r="L268" s="27">
        <f t="shared" si="28"/>
        <v>5.1127752390690492E-3</v>
      </c>
      <c r="M268" s="27">
        <f t="shared" si="29"/>
        <v>7.6126901302180414</v>
      </c>
      <c r="N268" s="27"/>
      <c r="O268" s="27"/>
      <c r="P268"/>
    </row>
    <row r="269" spans="1:16" ht="15">
      <c r="A269" s="17" t="s">
        <v>540</v>
      </c>
      <c r="B269" s="14" t="s">
        <v>266</v>
      </c>
      <c r="C269" s="25">
        <f>VLOOKUP(B269,'Consensus Phospho site'!B:G,6,FALSE)</f>
        <v>4.8821851632962771E-4</v>
      </c>
      <c r="D269" s="17" t="e">
        <v>#N/A</v>
      </c>
      <c r="E269" s="8" t="e">
        <v>#N/A</v>
      </c>
      <c r="F269" s="8">
        <v>0.5</v>
      </c>
      <c r="G269" s="8">
        <v>0.5</v>
      </c>
      <c r="H269" s="8">
        <f t="shared" si="24"/>
        <v>0.25</v>
      </c>
      <c r="I269" s="26">
        <f t="shared" si="25"/>
        <v>1.2205462908240693E-4</v>
      </c>
      <c r="J269" s="26">
        <f t="shared" si="26"/>
        <v>0.26455000385435651</v>
      </c>
      <c r="K269" s="26">
        <f t="shared" si="27"/>
        <v>4.613669525765799E-4</v>
      </c>
      <c r="L269" s="27">
        <f t="shared" si="28"/>
        <v>5.1127752390690492E-3</v>
      </c>
      <c r="M269" s="27">
        <f t="shared" si="29"/>
        <v>7.6126901302180414</v>
      </c>
      <c r="N269" s="27"/>
      <c r="O269" s="27"/>
      <c r="P269"/>
    </row>
    <row r="270" spans="1:16" ht="15">
      <c r="A270" s="17" t="s">
        <v>540</v>
      </c>
      <c r="B270" s="14" t="s">
        <v>274</v>
      </c>
      <c r="C270" s="25">
        <f>VLOOKUP(B270,'Consensus Phospho site'!B:G,6,FALSE)</f>
        <v>4.8821851632962771E-4</v>
      </c>
      <c r="D270" s="17" t="e">
        <v>#N/A</v>
      </c>
      <c r="E270" s="8" t="e">
        <v>#N/A</v>
      </c>
      <c r="F270" s="8">
        <v>0.5</v>
      </c>
      <c r="G270" s="8">
        <v>0.5</v>
      </c>
      <c r="H270" s="8">
        <f t="shared" si="24"/>
        <v>0.25</v>
      </c>
      <c r="I270" s="26">
        <f t="shared" si="25"/>
        <v>1.2205462908240693E-4</v>
      </c>
      <c r="J270" s="26">
        <f t="shared" si="26"/>
        <v>0.26455000385435651</v>
      </c>
      <c r="K270" s="26">
        <f t="shared" si="27"/>
        <v>4.613669525765799E-4</v>
      </c>
      <c r="L270" s="27">
        <f t="shared" si="28"/>
        <v>5.1127752390690492E-3</v>
      </c>
      <c r="M270" s="27">
        <f t="shared" si="29"/>
        <v>7.6126901302180414</v>
      </c>
      <c r="N270" s="27"/>
      <c r="O270" s="27"/>
      <c r="P270"/>
    </row>
    <row r="271" spans="1:16" ht="15">
      <c r="A271" s="17" t="s">
        <v>540</v>
      </c>
      <c r="B271" s="14" t="s">
        <v>283</v>
      </c>
      <c r="C271" s="25">
        <f>VLOOKUP(B271,'Consensus Phospho site'!B:G,6,FALSE)</f>
        <v>4.8821851632962771E-4</v>
      </c>
      <c r="D271" s="17" t="e">
        <v>#N/A</v>
      </c>
      <c r="E271" s="8" t="e">
        <v>#N/A</v>
      </c>
      <c r="F271" s="8">
        <v>0.5</v>
      </c>
      <c r="G271" s="8">
        <v>0.5</v>
      </c>
      <c r="H271" s="8">
        <f t="shared" si="24"/>
        <v>0.25</v>
      </c>
      <c r="I271" s="26">
        <f t="shared" si="25"/>
        <v>1.2205462908240693E-4</v>
      </c>
      <c r="J271" s="26">
        <f t="shared" si="26"/>
        <v>0.26455000385435651</v>
      </c>
      <c r="K271" s="26">
        <f t="shared" si="27"/>
        <v>4.613669525765799E-4</v>
      </c>
      <c r="L271" s="27">
        <f t="shared" si="28"/>
        <v>5.1127752390690492E-3</v>
      </c>
      <c r="M271" s="27">
        <f t="shared" si="29"/>
        <v>7.6126901302180414</v>
      </c>
      <c r="N271" s="27"/>
      <c r="O271" s="27"/>
      <c r="P271"/>
    </row>
    <row r="272" spans="1:16" ht="15">
      <c r="A272" s="17" t="s">
        <v>540</v>
      </c>
      <c r="B272" s="14" t="s">
        <v>284</v>
      </c>
      <c r="C272" s="25">
        <f>VLOOKUP(B272,'Consensus Phospho site'!B:G,6,FALSE)</f>
        <v>4.8821851632962771E-4</v>
      </c>
      <c r="D272" s="17" t="e">
        <v>#N/A</v>
      </c>
      <c r="E272" s="8" t="e">
        <v>#N/A</v>
      </c>
      <c r="F272" s="8">
        <v>0.5</v>
      </c>
      <c r="G272" s="8">
        <v>0.5</v>
      </c>
      <c r="H272" s="8">
        <f t="shared" si="24"/>
        <v>0.25</v>
      </c>
      <c r="I272" s="26">
        <f t="shared" si="25"/>
        <v>1.2205462908240693E-4</v>
      </c>
      <c r="J272" s="26">
        <f t="shared" si="26"/>
        <v>0.26455000385435651</v>
      </c>
      <c r="K272" s="26">
        <f t="shared" si="27"/>
        <v>4.613669525765799E-4</v>
      </c>
      <c r="L272" s="27">
        <f t="shared" si="28"/>
        <v>5.1127752390690492E-3</v>
      </c>
      <c r="M272" s="27">
        <f t="shared" si="29"/>
        <v>7.6126901302180414</v>
      </c>
      <c r="N272" s="27"/>
      <c r="O272" s="27"/>
      <c r="P272"/>
    </row>
    <row r="273" spans="1:16" ht="15">
      <c r="A273" s="17" t="s">
        <v>539</v>
      </c>
      <c r="B273" s="14" t="s">
        <v>315</v>
      </c>
      <c r="C273" s="25">
        <f>VLOOKUP(B273,'Consensus Phospho site'!B:G,6,FALSE)</f>
        <v>4.8821851632962771E-4</v>
      </c>
      <c r="D273" s="17" t="e">
        <v>#N/A</v>
      </c>
      <c r="E273" s="8" t="e">
        <v>#N/A</v>
      </c>
      <c r="F273" s="8">
        <v>0.5</v>
      </c>
      <c r="G273" s="8">
        <v>0.5</v>
      </c>
      <c r="H273" s="8">
        <f t="shared" si="24"/>
        <v>0.25</v>
      </c>
      <c r="I273" s="26">
        <f t="shared" si="25"/>
        <v>1.2205462908240693E-4</v>
      </c>
      <c r="J273" s="26">
        <f t="shared" si="26"/>
        <v>0.26455000385435651</v>
      </c>
      <c r="K273" s="26">
        <f t="shared" si="27"/>
        <v>4.613669525765799E-4</v>
      </c>
      <c r="L273" s="27">
        <f t="shared" si="28"/>
        <v>5.1127752390690492E-3</v>
      </c>
      <c r="M273" s="27">
        <f t="shared" si="29"/>
        <v>7.6126901302180414</v>
      </c>
      <c r="N273" s="27"/>
      <c r="O273" s="27"/>
      <c r="P273"/>
    </row>
    <row r="274" spans="1:16" ht="15">
      <c r="A274" s="17" t="s">
        <v>539</v>
      </c>
      <c r="B274" s="14" t="s">
        <v>316</v>
      </c>
      <c r="C274" s="25">
        <f>VLOOKUP(B274,'Consensus Phospho site'!B:G,6,FALSE)</f>
        <v>4.8821851632962771E-4</v>
      </c>
      <c r="D274" s="17" t="e">
        <v>#N/A</v>
      </c>
      <c r="E274" s="8" t="e">
        <v>#N/A</v>
      </c>
      <c r="F274" s="8">
        <v>0.5</v>
      </c>
      <c r="G274" s="8">
        <v>0.5</v>
      </c>
      <c r="H274" s="8">
        <f t="shared" si="24"/>
        <v>0.25</v>
      </c>
      <c r="I274" s="26">
        <f t="shared" si="25"/>
        <v>1.2205462908240693E-4</v>
      </c>
      <c r="J274" s="26">
        <f t="shared" si="26"/>
        <v>0.26455000385435651</v>
      </c>
      <c r="K274" s="26">
        <f t="shared" si="27"/>
        <v>4.613669525765799E-4</v>
      </c>
      <c r="L274" s="27">
        <f t="shared" si="28"/>
        <v>5.1127752390690492E-3</v>
      </c>
      <c r="M274" s="27">
        <f t="shared" si="29"/>
        <v>7.6126901302180414</v>
      </c>
      <c r="N274" s="27"/>
      <c r="O274" s="27"/>
      <c r="P274"/>
    </row>
    <row r="275" spans="1:16" ht="28">
      <c r="A275" s="17" t="s">
        <v>540</v>
      </c>
      <c r="B275" s="14" t="s">
        <v>235</v>
      </c>
      <c r="C275" s="25">
        <f>VLOOKUP(B275,'Consensus Phospho site'!B:G,6,FALSE)</f>
        <v>2.5695711385769875E-4</v>
      </c>
      <c r="D275" s="17" t="s">
        <v>991</v>
      </c>
      <c r="E275" s="8" t="s">
        <v>915</v>
      </c>
      <c r="F275" s="8">
        <v>0.9</v>
      </c>
      <c r="G275" s="8">
        <v>0.5</v>
      </c>
      <c r="H275" s="8">
        <f t="shared" si="24"/>
        <v>0.45</v>
      </c>
      <c r="I275" s="26">
        <f t="shared" si="25"/>
        <v>1.1563070123596444E-4</v>
      </c>
      <c r="J275" s="26">
        <f t="shared" si="26"/>
        <v>0.26455000385435651</v>
      </c>
      <c r="K275" s="26">
        <f t="shared" si="27"/>
        <v>4.3708448138833877E-4</v>
      </c>
      <c r="L275" s="27">
        <f t="shared" si="28"/>
        <v>4.8777754929388989E-3</v>
      </c>
      <c r="M275" s="27">
        <f t="shared" si="29"/>
        <v>7.6126901302180414</v>
      </c>
      <c r="N275" s="27"/>
      <c r="O275" s="27"/>
      <c r="P275"/>
    </row>
    <row r="276" spans="1:16" ht="15">
      <c r="A276" s="17" t="s">
        <v>542</v>
      </c>
      <c r="B276" s="14" t="s">
        <v>494</v>
      </c>
      <c r="C276" s="25">
        <f>VLOOKUP(B276,'Consensus Phospho site'!B:G,6,FALSE)</f>
        <v>4.2826185642949794E-4</v>
      </c>
      <c r="D276" s="17" t="e">
        <v>#N/A</v>
      </c>
      <c r="E276" s="8" t="e">
        <v>#N/A</v>
      </c>
      <c r="F276" s="8">
        <v>0.5</v>
      </c>
      <c r="G276" s="8">
        <v>0.5</v>
      </c>
      <c r="H276" s="8">
        <f t="shared" si="24"/>
        <v>0.25</v>
      </c>
      <c r="I276" s="26">
        <f t="shared" si="25"/>
        <v>1.0706546410737449E-4</v>
      </c>
      <c r="J276" s="26">
        <f t="shared" si="26"/>
        <v>0.26455000385435651</v>
      </c>
      <c r="K276" s="26">
        <f t="shared" si="27"/>
        <v>4.0470785313735072E-4</v>
      </c>
      <c r="L276" s="27">
        <f t="shared" si="28"/>
        <v>4.5613940338261119E-3</v>
      </c>
      <c r="M276" s="27">
        <f t="shared" si="29"/>
        <v>7.6126901302180414</v>
      </c>
      <c r="N276" s="27"/>
      <c r="O276" s="27"/>
      <c r="P276"/>
    </row>
    <row r="277" spans="1:16" ht="15">
      <c r="A277" s="17" t="s">
        <v>542</v>
      </c>
      <c r="B277" s="14" t="s">
        <v>495</v>
      </c>
      <c r="C277" s="25">
        <f>VLOOKUP(B277,'Consensus Phospho site'!B:G,6,FALSE)</f>
        <v>4.2826185642949794E-4</v>
      </c>
      <c r="D277" s="17" t="e">
        <v>#N/A</v>
      </c>
      <c r="E277" s="8" t="e">
        <v>#N/A</v>
      </c>
      <c r="F277" s="8">
        <v>0.5</v>
      </c>
      <c r="G277" s="8">
        <v>0.5</v>
      </c>
      <c r="H277" s="8">
        <f t="shared" si="24"/>
        <v>0.25</v>
      </c>
      <c r="I277" s="26">
        <f t="shared" si="25"/>
        <v>1.0706546410737449E-4</v>
      </c>
      <c r="J277" s="26">
        <f t="shared" si="26"/>
        <v>0.26455000385435651</v>
      </c>
      <c r="K277" s="26">
        <f t="shared" si="27"/>
        <v>4.0470785313735072E-4</v>
      </c>
      <c r="L277" s="27">
        <f t="shared" si="28"/>
        <v>4.5613940338261119E-3</v>
      </c>
      <c r="M277" s="27">
        <f t="shared" si="29"/>
        <v>7.6126901302180414</v>
      </c>
      <c r="N277" s="27"/>
      <c r="O277" s="27"/>
      <c r="P277"/>
    </row>
    <row r="278" spans="1:16" ht="15">
      <c r="A278" s="17" t="s">
        <v>542</v>
      </c>
      <c r="B278" s="14" t="s">
        <v>496</v>
      </c>
      <c r="C278" s="25">
        <f>VLOOKUP(B278,'Consensus Phospho site'!B:G,6,FALSE)</f>
        <v>4.2826185642949794E-4</v>
      </c>
      <c r="D278" s="17" t="e">
        <v>#N/A</v>
      </c>
      <c r="E278" s="8" t="e">
        <v>#N/A</v>
      </c>
      <c r="F278" s="8">
        <v>0.5</v>
      </c>
      <c r="G278" s="8">
        <v>0.5</v>
      </c>
      <c r="H278" s="8">
        <f t="shared" si="24"/>
        <v>0.25</v>
      </c>
      <c r="I278" s="26">
        <f t="shared" si="25"/>
        <v>1.0706546410737449E-4</v>
      </c>
      <c r="J278" s="26">
        <f t="shared" si="26"/>
        <v>0.26455000385435651</v>
      </c>
      <c r="K278" s="26">
        <f t="shared" si="27"/>
        <v>4.0470785313735072E-4</v>
      </c>
      <c r="L278" s="27">
        <f t="shared" si="28"/>
        <v>4.5613940338261119E-3</v>
      </c>
      <c r="M278" s="27">
        <f t="shared" si="29"/>
        <v>7.6126901302180414</v>
      </c>
      <c r="N278" s="27"/>
      <c r="O278" s="27"/>
      <c r="P278"/>
    </row>
    <row r="279" spans="1:16" ht="15">
      <c r="A279" s="17" t="s">
        <v>542</v>
      </c>
      <c r="B279" s="14" t="s">
        <v>498</v>
      </c>
      <c r="C279" s="25">
        <f>VLOOKUP(B279,'Consensus Phospho site'!B:G,6,FALSE)</f>
        <v>4.2826185642949794E-4</v>
      </c>
      <c r="D279" s="17" t="e">
        <v>#N/A</v>
      </c>
      <c r="E279" s="8" t="e">
        <v>#N/A</v>
      </c>
      <c r="F279" s="8">
        <v>0.5</v>
      </c>
      <c r="G279" s="8">
        <v>0.5</v>
      </c>
      <c r="H279" s="8">
        <f t="shared" si="24"/>
        <v>0.25</v>
      </c>
      <c r="I279" s="26">
        <f t="shared" si="25"/>
        <v>1.0706546410737449E-4</v>
      </c>
      <c r="J279" s="26">
        <f t="shared" si="26"/>
        <v>0.26455000385435651</v>
      </c>
      <c r="K279" s="26">
        <f t="shared" si="27"/>
        <v>4.0470785313735072E-4</v>
      </c>
      <c r="L279" s="27">
        <f t="shared" si="28"/>
        <v>4.5613940338261119E-3</v>
      </c>
      <c r="M279" s="27">
        <f t="shared" si="29"/>
        <v>7.6126901302180414</v>
      </c>
      <c r="N279" s="27"/>
      <c r="O279" s="27"/>
      <c r="P279"/>
    </row>
    <row r="280" spans="1:16" ht="15">
      <c r="A280" s="17" t="s">
        <v>536</v>
      </c>
      <c r="B280" s="14" t="s">
        <v>416</v>
      </c>
      <c r="C280" s="25">
        <f>VLOOKUP(B280,'Consensus Phospho site'!B:G,6,FALSE)</f>
        <v>4.2826185642949794E-4</v>
      </c>
      <c r="D280" s="17" t="e">
        <v>#N/A</v>
      </c>
      <c r="E280" s="8" t="e">
        <v>#N/A</v>
      </c>
      <c r="F280" s="8">
        <v>0.5</v>
      </c>
      <c r="G280" s="8">
        <v>0.5</v>
      </c>
      <c r="H280" s="8">
        <f t="shared" si="24"/>
        <v>0.25</v>
      </c>
      <c r="I280" s="26">
        <f t="shared" si="25"/>
        <v>1.0706546410737449E-4</v>
      </c>
      <c r="J280" s="26">
        <f t="shared" si="26"/>
        <v>0.26455000385435651</v>
      </c>
      <c r="K280" s="26">
        <f t="shared" si="27"/>
        <v>4.0470785313735072E-4</v>
      </c>
      <c r="L280" s="27">
        <f t="shared" si="28"/>
        <v>4.5613940338261119E-3</v>
      </c>
      <c r="M280" s="27">
        <f t="shared" si="29"/>
        <v>7.6126901302180414</v>
      </c>
      <c r="N280" s="27"/>
      <c r="O280" s="27"/>
      <c r="P280"/>
    </row>
    <row r="281" spans="1:16">
      <c r="A281" s="17" t="s">
        <v>536</v>
      </c>
      <c r="B281" s="15" t="s">
        <v>426</v>
      </c>
      <c r="C281" s="25">
        <f>VLOOKUP(B281,'Consensus Phospho site'!B:G,6,FALSE)</f>
        <v>4.2826185642949794E-4</v>
      </c>
      <c r="D281" s="17" t="e">
        <v>#N/A</v>
      </c>
      <c r="E281" s="8" t="e">
        <v>#N/A</v>
      </c>
      <c r="F281" s="8">
        <v>0.5</v>
      </c>
      <c r="G281" s="8">
        <v>0.5</v>
      </c>
      <c r="H281" s="8">
        <f t="shared" si="24"/>
        <v>0.25</v>
      </c>
      <c r="I281" s="26">
        <f t="shared" si="25"/>
        <v>1.0706546410737449E-4</v>
      </c>
      <c r="J281" s="26">
        <f t="shared" si="26"/>
        <v>0.26455000385435651</v>
      </c>
      <c r="K281" s="26">
        <f t="shared" si="27"/>
        <v>4.0470785313735072E-4</v>
      </c>
      <c r="L281" s="27">
        <f t="shared" si="28"/>
        <v>4.5613940338261119E-3</v>
      </c>
      <c r="M281" s="27">
        <f t="shared" si="29"/>
        <v>7.6126901302180414</v>
      </c>
      <c r="N281" s="27"/>
      <c r="O281" s="27"/>
      <c r="P281"/>
    </row>
    <row r="282" spans="1:16" ht="15">
      <c r="A282" s="17" t="s">
        <v>536</v>
      </c>
      <c r="B282" s="14" t="s">
        <v>427</v>
      </c>
      <c r="C282" s="25">
        <f>VLOOKUP(B282,'Consensus Phospho site'!B:G,6,FALSE)</f>
        <v>4.2826185642949794E-4</v>
      </c>
      <c r="D282" s="17" t="e">
        <v>#N/A</v>
      </c>
      <c r="E282" s="8" t="e">
        <v>#N/A</v>
      </c>
      <c r="F282" s="8">
        <v>0.5</v>
      </c>
      <c r="G282" s="8">
        <v>0.5</v>
      </c>
      <c r="H282" s="8">
        <f t="shared" si="24"/>
        <v>0.25</v>
      </c>
      <c r="I282" s="26">
        <f t="shared" si="25"/>
        <v>1.0706546410737449E-4</v>
      </c>
      <c r="J282" s="26">
        <f t="shared" si="26"/>
        <v>0.26455000385435651</v>
      </c>
      <c r="K282" s="26">
        <f t="shared" si="27"/>
        <v>4.0470785313735072E-4</v>
      </c>
      <c r="L282" s="27">
        <f t="shared" si="28"/>
        <v>4.5613940338261119E-3</v>
      </c>
      <c r="M282" s="27">
        <f t="shared" si="29"/>
        <v>7.6126901302180414</v>
      </c>
      <c r="N282" s="27"/>
      <c r="O282" s="27"/>
      <c r="P282"/>
    </row>
    <row r="283" spans="1:16" ht="15">
      <c r="A283" s="17" t="s">
        <v>536</v>
      </c>
      <c r="B283" s="14" t="s">
        <v>428</v>
      </c>
      <c r="C283" s="25">
        <f>VLOOKUP(B283,'Consensus Phospho site'!B:G,6,FALSE)</f>
        <v>4.2826185642949794E-4</v>
      </c>
      <c r="D283" s="17" t="e">
        <v>#N/A</v>
      </c>
      <c r="E283" s="8" t="e">
        <v>#N/A</v>
      </c>
      <c r="F283" s="8">
        <v>0.5</v>
      </c>
      <c r="G283" s="8">
        <v>0.5</v>
      </c>
      <c r="H283" s="8">
        <f t="shared" si="24"/>
        <v>0.25</v>
      </c>
      <c r="I283" s="26">
        <f t="shared" si="25"/>
        <v>1.0706546410737449E-4</v>
      </c>
      <c r="J283" s="26">
        <f t="shared" si="26"/>
        <v>0.26455000385435651</v>
      </c>
      <c r="K283" s="26">
        <f t="shared" si="27"/>
        <v>4.0470785313735072E-4</v>
      </c>
      <c r="L283" s="27">
        <f t="shared" si="28"/>
        <v>4.5613940338261119E-3</v>
      </c>
      <c r="M283" s="27">
        <f t="shared" si="29"/>
        <v>7.6126901302180414</v>
      </c>
      <c r="N283" s="27"/>
      <c r="O283" s="27"/>
      <c r="P283"/>
    </row>
    <row r="284" spans="1:16" ht="15">
      <c r="A284" s="17" t="s">
        <v>536</v>
      </c>
      <c r="B284" s="14" t="s">
        <v>433</v>
      </c>
      <c r="C284" s="25">
        <f>VLOOKUP(B284,'Consensus Phospho site'!B:G,6,FALSE)</f>
        <v>4.2826185642949794E-4</v>
      </c>
      <c r="D284" s="17" t="e">
        <v>#N/A</v>
      </c>
      <c r="E284" s="8" t="e">
        <v>#N/A</v>
      </c>
      <c r="F284" s="8">
        <v>0.5</v>
      </c>
      <c r="G284" s="8">
        <v>0.5</v>
      </c>
      <c r="H284" s="8">
        <f t="shared" si="24"/>
        <v>0.25</v>
      </c>
      <c r="I284" s="26">
        <f t="shared" si="25"/>
        <v>1.0706546410737449E-4</v>
      </c>
      <c r="J284" s="26">
        <f t="shared" si="26"/>
        <v>0.26455000385435651</v>
      </c>
      <c r="K284" s="26">
        <f t="shared" si="27"/>
        <v>4.0470785313735072E-4</v>
      </c>
      <c r="L284" s="27">
        <f t="shared" si="28"/>
        <v>4.5613940338261119E-3</v>
      </c>
      <c r="M284" s="27">
        <f t="shared" si="29"/>
        <v>7.6126901302180414</v>
      </c>
      <c r="N284" s="27"/>
      <c r="O284" s="27"/>
      <c r="P284"/>
    </row>
    <row r="285" spans="1:16" ht="15">
      <c r="A285" s="17" t="s">
        <v>536</v>
      </c>
      <c r="B285" s="14" t="s">
        <v>437</v>
      </c>
      <c r="C285" s="25">
        <f>VLOOKUP(B285,'Consensus Phospho site'!B:G,6,FALSE)</f>
        <v>4.2826185642949794E-4</v>
      </c>
      <c r="D285" s="17" t="e">
        <v>#N/A</v>
      </c>
      <c r="E285" s="8" t="e">
        <v>#N/A</v>
      </c>
      <c r="F285" s="8">
        <v>0.5</v>
      </c>
      <c r="G285" s="8">
        <v>0.5</v>
      </c>
      <c r="H285" s="8">
        <f t="shared" si="24"/>
        <v>0.25</v>
      </c>
      <c r="I285" s="26">
        <f t="shared" si="25"/>
        <v>1.0706546410737449E-4</v>
      </c>
      <c r="J285" s="26">
        <f t="shared" si="26"/>
        <v>0.26455000385435651</v>
      </c>
      <c r="K285" s="26">
        <f t="shared" si="27"/>
        <v>4.0470785313735072E-4</v>
      </c>
      <c r="L285" s="27">
        <f t="shared" si="28"/>
        <v>4.5613940338261119E-3</v>
      </c>
      <c r="M285" s="27">
        <f t="shared" si="29"/>
        <v>7.6126901302180414</v>
      </c>
      <c r="N285" s="27"/>
      <c r="O285" s="27"/>
      <c r="P285"/>
    </row>
    <row r="286" spans="1:16" ht="15">
      <c r="A286" s="17" t="s">
        <v>536</v>
      </c>
      <c r="B286" s="14" t="s">
        <v>439</v>
      </c>
      <c r="C286" s="25">
        <f>VLOOKUP(B286,'Consensus Phospho site'!B:G,6,FALSE)</f>
        <v>4.2826185642949794E-4</v>
      </c>
      <c r="D286" s="17" t="e">
        <v>#N/A</v>
      </c>
      <c r="E286" s="8" t="e">
        <v>#N/A</v>
      </c>
      <c r="F286" s="8">
        <v>0.5</v>
      </c>
      <c r="G286" s="8">
        <v>0.5</v>
      </c>
      <c r="H286" s="8">
        <f t="shared" si="24"/>
        <v>0.25</v>
      </c>
      <c r="I286" s="26">
        <f t="shared" si="25"/>
        <v>1.0706546410737449E-4</v>
      </c>
      <c r="J286" s="26">
        <f t="shared" si="26"/>
        <v>0.26455000385435651</v>
      </c>
      <c r="K286" s="26">
        <f t="shared" si="27"/>
        <v>4.0470785313735072E-4</v>
      </c>
      <c r="L286" s="27">
        <f t="shared" si="28"/>
        <v>4.5613940338261119E-3</v>
      </c>
      <c r="M286" s="27">
        <f t="shared" si="29"/>
        <v>7.6126901302180414</v>
      </c>
      <c r="N286" s="27"/>
      <c r="O286" s="27"/>
      <c r="P286"/>
    </row>
    <row r="287" spans="1:16" ht="15">
      <c r="A287" s="17" t="s">
        <v>536</v>
      </c>
      <c r="B287" s="14" t="s">
        <v>444</v>
      </c>
      <c r="C287" s="25">
        <f>VLOOKUP(B287,'Consensus Phospho site'!B:G,6,FALSE)</f>
        <v>4.2826185642949794E-4</v>
      </c>
      <c r="D287" s="17" t="e">
        <v>#N/A</v>
      </c>
      <c r="E287" s="8" t="e">
        <v>#N/A</v>
      </c>
      <c r="F287" s="8">
        <v>0.5</v>
      </c>
      <c r="G287" s="8">
        <v>0.5</v>
      </c>
      <c r="H287" s="8">
        <f t="shared" si="24"/>
        <v>0.25</v>
      </c>
      <c r="I287" s="26">
        <f t="shared" si="25"/>
        <v>1.0706546410737449E-4</v>
      </c>
      <c r="J287" s="26">
        <f t="shared" si="26"/>
        <v>0.26455000385435651</v>
      </c>
      <c r="K287" s="26">
        <f t="shared" si="27"/>
        <v>4.0470785313735072E-4</v>
      </c>
      <c r="L287" s="27">
        <f t="shared" si="28"/>
        <v>4.5613940338261119E-3</v>
      </c>
      <c r="M287" s="27">
        <f t="shared" si="29"/>
        <v>7.6126901302180414</v>
      </c>
      <c r="N287" s="27"/>
      <c r="O287" s="27"/>
      <c r="P287"/>
    </row>
    <row r="288" spans="1:16" ht="15">
      <c r="A288" s="17" t="s">
        <v>542</v>
      </c>
      <c r="B288" s="14" t="s">
        <v>514</v>
      </c>
      <c r="C288" s="25">
        <f>VLOOKUP(B288,'Consensus Phospho site'!B:G,6,FALSE)</f>
        <v>4.2826185642949794E-4</v>
      </c>
      <c r="D288" s="17" t="e">
        <v>#N/A</v>
      </c>
      <c r="E288" s="8" t="e">
        <v>#N/A</v>
      </c>
      <c r="F288" s="8">
        <v>0.5</v>
      </c>
      <c r="G288" s="8">
        <v>0.5</v>
      </c>
      <c r="H288" s="8">
        <f t="shared" si="24"/>
        <v>0.25</v>
      </c>
      <c r="I288" s="26">
        <f t="shared" si="25"/>
        <v>1.0706546410737449E-4</v>
      </c>
      <c r="J288" s="26">
        <f t="shared" si="26"/>
        <v>0.26455000385435651</v>
      </c>
      <c r="K288" s="26">
        <f t="shared" si="27"/>
        <v>4.0470785313735072E-4</v>
      </c>
      <c r="L288" s="27">
        <f t="shared" si="28"/>
        <v>4.5613940338261119E-3</v>
      </c>
      <c r="M288" s="27">
        <f t="shared" si="29"/>
        <v>7.6126901302180414</v>
      </c>
      <c r="N288" s="27"/>
      <c r="O288" s="27"/>
      <c r="P288"/>
    </row>
    <row r="289" spans="1:16" ht="15">
      <c r="A289" s="17" t="s">
        <v>536</v>
      </c>
      <c r="B289" s="14" t="s">
        <v>447</v>
      </c>
      <c r="C289" s="25">
        <f>VLOOKUP(B289,'Consensus Phospho site'!B:G,6,FALSE)</f>
        <v>4.2826185642949794E-4</v>
      </c>
      <c r="D289" s="17" t="e">
        <v>#N/A</v>
      </c>
      <c r="E289" s="8" t="e">
        <v>#N/A</v>
      </c>
      <c r="F289" s="8">
        <v>0.5</v>
      </c>
      <c r="G289" s="8">
        <v>0.5</v>
      </c>
      <c r="H289" s="8">
        <f t="shared" si="24"/>
        <v>0.25</v>
      </c>
      <c r="I289" s="26">
        <f t="shared" si="25"/>
        <v>1.0706546410737449E-4</v>
      </c>
      <c r="J289" s="26">
        <f t="shared" si="26"/>
        <v>0.26455000385435651</v>
      </c>
      <c r="K289" s="26">
        <f t="shared" si="27"/>
        <v>4.0470785313735072E-4</v>
      </c>
      <c r="L289" s="27">
        <f t="shared" si="28"/>
        <v>4.5613940338261119E-3</v>
      </c>
      <c r="M289" s="27">
        <f t="shared" si="29"/>
        <v>7.6126901302180414</v>
      </c>
      <c r="N289" s="27"/>
      <c r="O289" s="27"/>
      <c r="P289"/>
    </row>
    <row r="290" spans="1:16" ht="15">
      <c r="A290" s="17" t="s">
        <v>536</v>
      </c>
      <c r="B290" s="14" t="s">
        <v>454</v>
      </c>
      <c r="C290" s="25">
        <f>VLOOKUP(B290,'Consensus Phospho site'!B:G,6,FALSE)</f>
        <v>4.2826185642949794E-4</v>
      </c>
      <c r="D290" s="17" t="e">
        <v>#N/A</v>
      </c>
      <c r="E290" s="8" t="e">
        <v>#N/A</v>
      </c>
      <c r="F290" s="8">
        <v>0.5</v>
      </c>
      <c r="G290" s="8">
        <v>0.5</v>
      </c>
      <c r="H290" s="8">
        <f t="shared" si="24"/>
        <v>0.25</v>
      </c>
      <c r="I290" s="26">
        <f t="shared" si="25"/>
        <v>1.0706546410737449E-4</v>
      </c>
      <c r="J290" s="26">
        <f t="shared" si="26"/>
        <v>0.26455000385435651</v>
      </c>
      <c r="K290" s="26">
        <f t="shared" si="27"/>
        <v>4.0470785313735072E-4</v>
      </c>
      <c r="L290" s="27">
        <f t="shared" si="28"/>
        <v>4.5613940338261119E-3</v>
      </c>
      <c r="M290" s="27">
        <f t="shared" si="29"/>
        <v>7.6126901302180414</v>
      </c>
      <c r="N290" s="27"/>
      <c r="O290" s="27"/>
      <c r="P290"/>
    </row>
    <row r="291" spans="1:16" ht="15">
      <c r="A291" s="17" t="s">
        <v>542</v>
      </c>
      <c r="B291" s="14" t="s">
        <v>518</v>
      </c>
      <c r="C291" s="25">
        <f>VLOOKUP(B291,'Consensus Phospho site'!B:G,6,FALSE)</f>
        <v>4.2826185642949794E-4</v>
      </c>
      <c r="D291" s="17" t="e">
        <v>#N/A</v>
      </c>
      <c r="E291" s="8" t="e">
        <v>#N/A</v>
      </c>
      <c r="F291" s="8">
        <v>0.5</v>
      </c>
      <c r="G291" s="8">
        <v>0.5</v>
      </c>
      <c r="H291" s="8">
        <f t="shared" si="24"/>
        <v>0.25</v>
      </c>
      <c r="I291" s="26">
        <f t="shared" si="25"/>
        <v>1.0706546410737449E-4</v>
      </c>
      <c r="J291" s="26">
        <f t="shared" si="26"/>
        <v>0.26455000385435651</v>
      </c>
      <c r="K291" s="26">
        <f t="shared" si="27"/>
        <v>4.0470785313735072E-4</v>
      </c>
      <c r="L291" s="27">
        <f t="shared" si="28"/>
        <v>4.5613940338261119E-3</v>
      </c>
      <c r="M291" s="27">
        <f t="shared" si="29"/>
        <v>7.6126901302180414</v>
      </c>
      <c r="N291" s="27"/>
      <c r="O291" s="27"/>
      <c r="P291"/>
    </row>
    <row r="292" spans="1:16" ht="15">
      <c r="A292" s="17" t="s">
        <v>536</v>
      </c>
      <c r="B292" s="14" t="s">
        <v>458</v>
      </c>
      <c r="C292" s="25">
        <f>VLOOKUP(B292,'Consensus Phospho site'!B:G,6,FALSE)</f>
        <v>4.2826185642949794E-4</v>
      </c>
      <c r="D292" s="17" t="e">
        <v>#N/A</v>
      </c>
      <c r="E292" s="8" t="e">
        <v>#N/A</v>
      </c>
      <c r="F292" s="8">
        <v>0.5</v>
      </c>
      <c r="G292" s="8">
        <v>0.5</v>
      </c>
      <c r="H292" s="8">
        <f t="shared" si="24"/>
        <v>0.25</v>
      </c>
      <c r="I292" s="26">
        <f t="shared" si="25"/>
        <v>1.0706546410737449E-4</v>
      </c>
      <c r="J292" s="26">
        <f t="shared" si="26"/>
        <v>0.26455000385435651</v>
      </c>
      <c r="K292" s="26">
        <f t="shared" si="27"/>
        <v>4.0470785313735072E-4</v>
      </c>
      <c r="L292" s="27">
        <f t="shared" si="28"/>
        <v>4.5613940338261119E-3</v>
      </c>
      <c r="M292" s="27">
        <f t="shared" si="29"/>
        <v>7.6126901302180414</v>
      </c>
      <c r="N292" s="27"/>
      <c r="O292" s="27"/>
      <c r="P292"/>
    </row>
    <row r="293" spans="1:16" ht="15">
      <c r="A293" s="17" t="s">
        <v>536</v>
      </c>
      <c r="B293" s="14" t="s">
        <v>459</v>
      </c>
      <c r="C293" s="25">
        <f>VLOOKUP(B293,'Consensus Phospho site'!B:G,6,FALSE)</f>
        <v>4.2826185642949794E-4</v>
      </c>
      <c r="D293" s="17" t="e">
        <v>#N/A</v>
      </c>
      <c r="E293" s="8" t="e">
        <v>#N/A</v>
      </c>
      <c r="F293" s="8">
        <v>0.5</v>
      </c>
      <c r="G293" s="8">
        <v>0.5</v>
      </c>
      <c r="H293" s="8">
        <f t="shared" si="24"/>
        <v>0.25</v>
      </c>
      <c r="I293" s="26">
        <f t="shared" si="25"/>
        <v>1.0706546410737449E-4</v>
      </c>
      <c r="J293" s="26">
        <f t="shared" si="26"/>
        <v>0.26455000385435651</v>
      </c>
      <c r="K293" s="26">
        <f t="shared" si="27"/>
        <v>4.0470785313735072E-4</v>
      </c>
      <c r="L293" s="27">
        <f t="shared" si="28"/>
        <v>4.5613940338261119E-3</v>
      </c>
      <c r="M293" s="27">
        <f t="shared" si="29"/>
        <v>7.6126901302180414</v>
      </c>
      <c r="N293" s="27"/>
      <c r="O293" s="27"/>
      <c r="P293"/>
    </row>
    <row r="294" spans="1:16" ht="15">
      <c r="A294" s="17" t="s">
        <v>536</v>
      </c>
      <c r="B294" s="14" t="s">
        <v>460</v>
      </c>
      <c r="C294" s="25">
        <f>VLOOKUP(B294,'Consensus Phospho site'!B:G,6,FALSE)</f>
        <v>4.2826185642949794E-4</v>
      </c>
      <c r="D294" s="17" t="e">
        <v>#N/A</v>
      </c>
      <c r="E294" s="8" t="e">
        <v>#N/A</v>
      </c>
      <c r="F294" s="8">
        <v>0.5</v>
      </c>
      <c r="G294" s="8">
        <v>0.5</v>
      </c>
      <c r="H294" s="8">
        <f t="shared" si="24"/>
        <v>0.25</v>
      </c>
      <c r="I294" s="26">
        <f t="shared" si="25"/>
        <v>1.0706546410737449E-4</v>
      </c>
      <c r="J294" s="26">
        <f t="shared" si="26"/>
        <v>0.26455000385435651</v>
      </c>
      <c r="K294" s="26">
        <f t="shared" si="27"/>
        <v>4.0470785313735072E-4</v>
      </c>
      <c r="L294" s="27">
        <f t="shared" si="28"/>
        <v>4.5613940338261119E-3</v>
      </c>
      <c r="M294" s="27">
        <f t="shared" si="29"/>
        <v>7.6126901302180414</v>
      </c>
      <c r="N294" s="27"/>
      <c r="O294" s="27"/>
      <c r="P294"/>
    </row>
    <row r="295" spans="1:16" ht="15">
      <c r="A295" s="17" t="s">
        <v>536</v>
      </c>
      <c r="B295" s="14" t="s">
        <v>464</v>
      </c>
      <c r="C295" s="25">
        <f>VLOOKUP(B295,'Consensus Phospho site'!B:G,6,FALSE)</f>
        <v>4.2826185642949794E-4</v>
      </c>
      <c r="D295" s="17" t="e">
        <v>#N/A</v>
      </c>
      <c r="E295" s="8" t="e">
        <v>#N/A</v>
      </c>
      <c r="F295" s="8">
        <v>0.5</v>
      </c>
      <c r="G295" s="8">
        <v>0.5</v>
      </c>
      <c r="H295" s="8">
        <f t="shared" si="24"/>
        <v>0.25</v>
      </c>
      <c r="I295" s="26">
        <f t="shared" si="25"/>
        <v>1.0706546410737449E-4</v>
      </c>
      <c r="J295" s="26">
        <f t="shared" si="26"/>
        <v>0.26455000385435651</v>
      </c>
      <c r="K295" s="26">
        <f t="shared" si="27"/>
        <v>4.0470785313735072E-4</v>
      </c>
      <c r="L295" s="27">
        <f t="shared" si="28"/>
        <v>4.5613940338261119E-3</v>
      </c>
      <c r="M295" s="27">
        <f t="shared" si="29"/>
        <v>7.6126901302180414</v>
      </c>
      <c r="N295" s="27"/>
      <c r="O295" s="27"/>
      <c r="P295"/>
    </row>
    <row r="296" spans="1:16" ht="15">
      <c r="A296" s="17" t="s">
        <v>536</v>
      </c>
      <c r="B296" s="14" t="s">
        <v>465</v>
      </c>
      <c r="C296" s="25">
        <f>VLOOKUP(B296,'Consensus Phospho site'!B:G,6,FALSE)</f>
        <v>4.2826185642949794E-4</v>
      </c>
      <c r="D296" s="17" t="e">
        <v>#N/A</v>
      </c>
      <c r="E296" s="8" t="e">
        <v>#N/A</v>
      </c>
      <c r="F296" s="8">
        <v>0.5</v>
      </c>
      <c r="G296" s="8">
        <v>0.5</v>
      </c>
      <c r="H296" s="8">
        <f t="shared" si="24"/>
        <v>0.25</v>
      </c>
      <c r="I296" s="26">
        <f t="shared" si="25"/>
        <v>1.0706546410737449E-4</v>
      </c>
      <c r="J296" s="26">
        <f t="shared" si="26"/>
        <v>0.26455000385435651</v>
      </c>
      <c r="K296" s="26">
        <f t="shared" si="27"/>
        <v>4.0470785313735072E-4</v>
      </c>
      <c r="L296" s="27">
        <f t="shared" si="28"/>
        <v>4.5613940338261119E-3</v>
      </c>
      <c r="M296" s="27">
        <f t="shared" si="29"/>
        <v>7.6126901302180414</v>
      </c>
      <c r="N296" s="27"/>
      <c r="O296" s="27"/>
      <c r="P296"/>
    </row>
    <row r="297" spans="1:16" ht="15">
      <c r="A297" s="17" t="s">
        <v>536</v>
      </c>
      <c r="B297" s="14" t="s">
        <v>466</v>
      </c>
      <c r="C297" s="25">
        <f>VLOOKUP(B297,'Consensus Phospho site'!B:G,6,FALSE)</f>
        <v>4.2826185642949794E-4</v>
      </c>
      <c r="D297" s="17" t="e">
        <v>#N/A</v>
      </c>
      <c r="E297" s="8" t="e">
        <v>#N/A</v>
      </c>
      <c r="F297" s="8">
        <v>0.5</v>
      </c>
      <c r="G297" s="8">
        <v>0.5</v>
      </c>
      <c r="H297" s="8">
        <f t="shared" si="24"/>
        <v>0.25</v>
      </c>
      <c r="I297" s="26">
        <f t="shared" si="25"/>
        <v>1.0706546410737449E-4</v>
      </c>
      <c r="J297" s="26">
        <f t="shared" si="26"/>
        <v>0.26455000385435651</v>
      </c>
      <c r="K297" s="26">
        <f t="shared" si="27"/>
        <v>4.0470785313735072E-4</v>
      </c>
      <c r="L297" s="27">
        <f t="shared" si="28"/>
        <v>4.5613940338261119E-3</v>
      </c>
      <c r="M297" s="27">
        <f t="shared" si="29"/>
        <v>7.6126901302180414</v>
      </c>
      <c r="N297" s="27"/>
      <c r="O297" s="27"/>
      <c r="P297"/>
    </row>
    <row r="298" spans="1:16" ht="15">
      <c r="A298" s="17" t="s">
        <v>536</v>
      </c>
      <c r="B298" s="14" t="s">
        <v>467</v>
      </c>
      <c r="C298" s="25">
        <f>VLOOKUP(B298,'Consensus Phospho site'!B:G,6,FALSE)</f>
        <v>4.2826185642949794E-4</v>
      </c>
      <c r="D298" s="17" t="e">
        <v>#N/A</v>
      </c>
      <c r="E298" s="8" t="e">
        <v>#N/A</v>
      </c>
      <c r="F298" s="8">
        <v>0.5</v>
      </c>
      <c r="G298" s="8">
        <v>0.5</v>
      </c>
      <c r="H298" s="8">
        <f t="shared" si="24"/>
        <v>0.25</v>
      </c>
      <c r="I298" s="26">
        <f t="shared" si="25"/>
        <v>1.0706546410737449E-4</v>
      </c>
      <c r="J298" s="26">
        <f t="shared" si="26"/>
        <v>0.26455000385435651</v>
      </c>
      <c r="K298" s="26">
        <f t="shared" si="27"/>
        <v>4.0470785313735072E-4</v>
      </c>
      <c r="L298" s="27">
        <f t="shared" si="28"/>
        <v>4.5613940338261119E-3</v>
      </c>
      <c r="M298" s="27">
        <f t="shared" si="29"/>
        <v>7.6126901302180414</v>
      </c>
      <c r="N298" s="27"/>
      <c r="O298" s="27"/>
      <c r="P298"/>
    </row>
    <row r="299" spans="1:16" ht="15">
      <c r="A299" s="17" t="s">
        <v>536</v>
      </c>
      <c r="B299" s="14" t="s">
        <v>469</v>
      </c>
      <c r="C299" s="25">
        <f>VLOOKUP(B299,'Consensus Phospho site'!B:G,6,FALSE)</f>
        <v>4.2826185642949794E-4</v>
      </c>
      <c r="D299" s="17" t="e">
        <v>#N/A</v>
      </c>
      <c r="E299" s="8" t="e">
        <v>#N/A</v>
      </c>
      <c r="F299" s="8">
        <v>0.5</v>
      </c>
      <c r="G299" s="8">
        <v>0.5</v>
      </c>
      <c r="H299" s="8">
        <f t="shared" si="24"/>
        <v>0.25</v>
      </c>
      <c r="I299" s="26">
        <f t="shared" si="25"/>
        <v>1.0706546410737449E-4</v>
      </c>
      <c r="J299" s="26">
        <f t="shared" si="26"/>
        <v>0.26455000385435651</v>
      </c>
      <c r="K299" s="26">
        <f t="shared" si="27"/>
        <v>4.0470785313735072E-4</v>
      </c>
      <c r="L299" s="27">
        <f t="shared" si="28"/>
        <v>4.5613940338261119E-3</v>
      </c>
      <c r="M299" s="27">
        <f t="shared" si="29"/>
        <v>7.6126901302180414</v>
      </c>
      <c r="N299" s="27"/>
      <c r="O299" s="27"/>
      <c r="P299"/>
    </row>
    <row r="300" spans="1:16" ht="15">
      <c r="A300" s="17" t="s">
        <v>536</v>
      </c>
      <c r="B300" s="14" t="s">
        <v>470</v>
      </c>
      <c r="C300" s="25">
        <f>VLOOKUP(B300,'Consensus Phospho site'!B:G,6,FALSE)</f>
        <v>4.2826185642949794E-4</v>
      </c>
      <c r="D300" s="17" t="e">
        <v>#N/A</v>
      </c>
      <c r="E300" s="8" t="e">
        <v>#N/A</v>
      </c>
      <c r="F300" s="8">
        <v>0.5</v>
      </c>
      <c r="G300" s="8">
        <v>0.5</v>
      </c>
      <c r="H300" s="8">
        <f t="shared" si="24"/>
        <v>0.25</v>
      </c>
      <c r="I300" s="26">
        <f t="shared" si="25"/>
        <v>1.0706546410737449E-4</v>
      </c>
      <c r="J300" s="26">
        <f t="shared" si="26"/>
        <v>0.26455000385435651</v>
      </c>
      <c r="K300" s="26">
        <f t="shared" si="27"/>
        <v>4.0470785313735072E-4</v>
      </c>
      <c r="L300" s="27">
        <f t="shared" si="28"/>
        <v>4.5613940338261119E-3</v>
      </c>
      <c r="M300" s="27">
        <f t="shared" si="29"/>
        <v>7.6126901302180414</v>
      </c>
      <c r="N300" s="27"/>
      <c r="O300" s="27"/>
      <c r="P300"/>
    </row>
    <row r="301" spans="1:16" ht="15">
      <c r="A301" s="17" t="s">
        <v>536</v>
      </c>
      <c r="B301" s="14" t="s">
        <v>471</v>
      </c>
      <c r="C301" s="25">
        <f>VLOOKUP(B301,'Consensus Phospho site'!B:G,6,FALSE)</f>
        <v>4.2826185642949794E-4</v>
      </c>
      <c r="D301" s="17" t="e">
        <v>#N/A</v>
      </c>
      <c r="E301" s="8" t="e">
        <v>#N/A</v>
      </c>
      <c r="F301" s="8">
        <v>0.5</v>
      </c>
      <c r="G301" s="8">
        <v>0.5</v>
      </c>
      <c r="H301" s="8">
        <f t="shared" si="24"/>
        <v>0.25</v>
      </c>
      <c r="I301" s="26">
        <f t="shared" si="25"/>
        <v>1.0706546410737449E-4</v>
      </c>
      <c r="J301" s="26">
        <f t="shared" si="26"/>
        <v>0.26455000385435651</v>
      </c>
      <c r="K301" s="26">
        <f t="shared" si="27"/>
        <v>4.0470785313735072E-4</v>
      </c>
      <c r="L301" s="27">
        <f t="shared" si="28"/>
        <v>4.5613940338261119E-3</v>
      </c>
      <c r="M301" s="27">
        <f t="shared" si="29"/>
        <v>7.6126901302180414</v>
      </c>
      <c r="N301" s="27"/>
      <c r="O301" s="27"/>
      <c r="P301"/>
    </row>
    <row r="302" spans="1:16" ht="15">
      <c r="A302" s="17" t="s">
        <v>536</v>
      </c>
      <c r="B302" s="14" t="s">
        <v>472</v>
      </c>
      <c r="C302" s="25">
        <f>VLOOKUP(B302,'Consensus Phospho site'!B:G,6,FALSE)</f>
        <v>4.2826185642949794E-4</v>
      </c>
      <c r="D302" s="17" t="e">
        <v>#N/A</v>
      </c>
      <c r="E302" s="8" t="e">
        <v>#N/A</v>
      </c>
      <c r="F302" s="8">
        <v>0.5</v>
      </c>
      <c r="G302" s="8">
        <v>0.5</v>
      </c>
      <c r="H302" s="8">
        <f t="shared" si="24"/>
        <v>0.25</v>
      </c>
      <c r="I302" s="26">
        <f t="shared" si="25"/>
        <v>1.0706546410737449E-4</v>
      </c>
      <c r="J302" s="26">
        <f t="shared" si="26"/>
        <v>0.26455000385435651</v>
      </c>
      <c r="K302" s="26">
        <f t="shared" si="27"/>
        <v>4.0470785313735072E-4</v>
      </c>
      <c r="L302" s="27">
        <f t="shared" si="28"/>
        <v>4.5613940338261119E-3</v>
      </c>
      <c r="M302" s="27">
        <f t="shared" si="29"/>
        <v>7.6126901302180414</v>
      </c>
      <c r="N302" s="27"/>
      <c r="O302" s="27"/>
      <c r="P302"/>
    </row>
    <row r="303" spans="1:16" ht="15">
      <c r="A303" s="17" t="s">
        <v>536</v>
      </c>
      <c r="B303" s="14" t="s">
        <v>473</v>
      </c>
      <c r="C303" s="25">
        <f>VLOOKUP(B303,'Consensus Phospho site'!B:G,6,FALSE)</f>
        <v>4.2826185642949794E-4</v>
      </c>
      <c r="D303" s="17" t="e">
        <v>#N/A</v>
      </c>
      <c r="E303" s="8" t="e">
        <v>#N/A</v>
      </c>
      <c r="F303" s="8">
        <v>0.5</v>
      </c>
      <c r="G303" s="8">
        <v>0.5</v>
      </c>
      <c r="H303" s="8">
        <f t="shared" si="24"/>
        <v>0.25</v>
      </c>
      <c r="I303" s="26">
        <f t="shared" si="25"/>
        <v>1.0706546410737449E-4</v>
      </c>
      <c r="J303" s="26">
        <f t="shared" si="26"/>
        <v>0.26455000385435651</v>
      </c>
      <c r="K303" s="26">
        <f t="shared" si="27"/>
        <v>4.0470785313735072E-4</v>
      </c>
      <c r="L303" s="27">
        <f t="shared" si="28"/>
        <v>4.5613940338261119E-3</v>
      </c>
      <c r="M303" s="27">
        <f t="shared" si="29"/>
        <v>7.6126901302180414</v>
      </c>
      <c r="N303" s="27"/>
      <c r="O303" s="27"/>
      <c r="P303"/>
    </row>
    <row r="304" spans="1:16" ht="15">
      <c r="A304" s="17" t="s">
        <v>536</v>
      </c>
      <c r="B304" s="14" t="s">
        <v>474</v>
      </c>
      <c r="C304" s="25">
        <f>VLOOKUP(B304,'Consensus Phospho site'!B:G,6,FALSE)</f>
        <v>4.2826185642949794E-4</v>
      </c>
      <c r="D304" s="17" t="e">
        <v>#N/A</v>
      </c>
      <c r="E304" s="8" t="e">
        <v>#N/A</v>
      </c>
      <c r="F304" s="8">
        <v>0.5</v>
      </c>
      <c r="G304" s="8">
        <v>0.5</v>
      </c>
      <c r="H304" s="8">
        <f t="shared" si="24"/>
        <v>0.25</v>
      </c>
      <c r="I304" s="26">
        <f t="shared" si="25"/>
        <v>1.0706546410737449E-4</v>
      </c>
      <c r="J304" s="26">
        <f t="shared" si="26"/>
        <v>0.26455000385435651</v>
      </c>
      <c r="K304" s="26">
        <f t="shared" si="27"/>
        <v>4.0470785313735072E-4</v>
      </c>
      <c r="L304" s="27">
        <f t="shared" si="28"/>
        <v>4.5613940338261119E-3</v>
      </c>
      <c r="M304" s="27">
        <f t="shared" si="29"/>
        <v>7.6126901302180414</v>
      </c>
      <c r="N304" s="27"/>
      <c r="O304" s="27"/>
      <c r="P304"/>
    </row>
    <row r="305" spans="1:16" ht="15">
      <c r="A305" s="17" t="s">
        <v>536</v>
      </c>
      <c r="B305" s="14" t="s">
        <v>475</v>
      </c>
      <c r="C305" s="25">
        <f>VLOOKUP(B305,'Consensus Phospho site'!B:G,6,FALSE)</f>
        <v>4.2826185642949794E-4</v>
      </c>
      <c r="D305" s="17" t="e">
        <v>#N/A</v>
      </c>
      <c r="E305" s="8" t="e">
        <v>#N/A</v>
      </c>
      <c r="F305" s="8">
        <v>0.5</v>
      </c>
      <c r="G305" s="8">
        <v>0.5</v>
      </c>
      <c r="H305" s="8">
        <f t="shared" si="24"/>
        <v>0.25</v>
      </c>
      <c r="I305" s="26">
        <f t="shared" si="25"/>
        <v>1.0706546410737449E-4</v>
      </c>
      <c r="J305" s="26">
        <f t="shared" si="26"/>
        <v>0.26455000385435651</v>
      </c>
      <c r="K305" s="26">
        <f t="shared" si="27"/>
        <v>4.0470785313735072E-4</v>
      </c>
      <c r="L305" s="27">
        <f t="shared" si="28"/>
        <v>4.5613940338261119E-3</v>
      </c>
      <c r="M305" s="27">
        <f t="shared" si="29"/>
        <v>7.6126901302180414</v>
      </c>
      <c r="N305" s="27"/>
      <c r="O305" s="27"/>
      <c r="P305"/>
    </row>
    <row r="306" spans="1:16" ht="15">
      <c r="A306" s="17" t="s">
        <v>536</v>
      </c>
      <c r="B306" s="14" t="s">
        <v>477</v>
      </c>
      <c r="C306" s="25">
        <f>VLOOKUP(B306,'Consensus Phospho site'!B:G,6,FALSE)</f>
        <v>4.2826185642949794E-4</v>
      </c>
      <c r="D306" s="17" t="e">
        <v>#N/A</v>
      </c>
      <c r="E306" s="8" t="e">
        <v>#N/A</v>
      </c>
      <c r="F306" s="8">
        <v>0.5</v>
      </c>
      <c r="G306" s="8">
        <v>0.5</v>
      </c>
      <c r="H306" s="8">
        <f t="shared" si="24"/>
        <v>0.25</v>
      </c>
      <c r="I306" s="26">
        <f t="shared" si="25"/>
        <v>1.0706546410737449E-4</v>
      </c>
      <c r="J306" s="26">
        <f t="shared" si="26"/>
        <v>0.26455000385435651</v>
      </c>
      <c r="K306" s="26">
        <f t="shared" si="27"/>
        <v>4.0470785313735072E-4</v>
      </c>
      <c r="L306" s="27">
        <f t="shared" si="28"/>
        <v>4.5613940338261119E-3</v>
      </c>
      <c r="M306" s="27">
        <f t="shared" si="29"/>
        <v>7.6126901302180414</v>
      </c>
      <c r="N306" s="27"/>
      <c r="O306" s="27"/>
      <c r="P306"/>
    </row>
    <row r="307" spans="1:16" ht="15">
      <c r="A307" s="17" t="s">
        <v>536</v>
      </c>
      <c r="B307" s="14" t="s">
        <v>480</v>
      </c>
      <c r="C307" s="25">
        <f>VLOOKUP(B307,'Consensus Phospho site'!B:G,6,FALSE)</f>
        <v>4.2826185642949794E-4</v>
      </c>
      <c r="D307" s="17" t="e">
        <v>#N/A</v>
      </c>
      <c r="E307" s="8" t="e">
        <v>#N/A</v>
      </c>
      <c r="F307" s="8">
        <v>0.5</v>
      </c>
      <c r="G307" s="8">
        <v>0.5</v>
      </c>
      <c r="H307" s="8">
        <f t="shared" si="24"/>
        <v>0.25</v>
      </c>
      <c r="I307" s="26">
        <f t="shared" si="25"/>
        <v>1.0706546410737449E-4</v>
      </c>
      <c r="J307" s="26">
        <f t="shared" si="26"/>
        <v>0.26455000385435651</v>
      </c>
      <c r="K307" s="26">
        <f t="shared" si="27"/>
        <v>4.0470785313735072E-4</v>
      </c>
      <c r="L307" s="27">
        <f t="shared" si="28"/>
        <v>4.5613940338261119E-3</v>
      </c>
      <c r="M307" s="27">
        <f t="shared" si="29"/>
        <v>7.6126901302180414</v>
      </c>
      <c r="N307" s="27"/>
      <c r="O307" s="27"/>
      <c r="P307"/>
    </row>
    <row r="308" spans="1:16" ht="15">
      <c r="A308" s="17" t="s">
        <v>536</v>
      </c>
      <c r="B308" s="14" t="s">
        <v>486</v>
      </c>
      <c r="C308" s="25">
        <f>VLOOKUP(B308,'Consensus Phospho site'!B:G,6,FALSE)</f>
        <v>4.2826185642949794E-4</v>
      </c>
      <c r="D308" s="17" t="e">
        <v>#N/A</v>
      </c>
      <c r="E308" s="8" t="e">
        <v>#N/A</v>
      </c>
      <c r="F308" s="8">
        <v>0.5</v>
      </c>
      <c r="G308" s="8">
        <v>0.5</v>
      </c>
      <c r="H308" s="8">
        <f t="shared" si="24"/>
        <v>0.25</v>
      </c>
      <c r="I308" s="26">
        <f t="shared" si="25"/>
        <v>1.0706546410737449E-4</v>
      </c>
      <c r="J308" s="26">
        <f t="shared" si="26"/>
        <v>0.26455000385435651</v>
      </c>
      <c r="K308" s="26">
        <f t="shared" si="27"/>
        <v>4.0470785313735072E-4</v>
      </c>
      <c r="L308" s="27">
        <f t="shared" si="28"/>
        <v>4.5613940338261119E-3</v>
      </c>
      <c r="M308" s="27">
        <f t="shared" si="29"/>
        <v>7.6126901302180414</v>
      </c>
      <c r="N308" s="27"/>
      <c r="O308" s="27"/>
      <c r="P308"/>
    </row>
    <row r="309" spans="1:16" ht="28">
      <c r="A309" s="17" t="s">
        <v>534</v>
      </c>
      <c r="B309" s="14" t="s">
        <v>92</v>
      </c>
      <c r="C309" s="25">
        <f>VLOOKUP(B309,'Consensus Phospho site'!B:G,6,FALSE)</f>
        <v>1.5460253017104872E-3</v>
      </c>
      <c r="D309" s="17" t="s">
        <v>549</v>
      </c>
      <c r="E309" s="8" t="s">
        <v>924</v>
      </c>
      <c r="F309" s="8">
        <v>0.65</v>
      </c>
      <c r="G309" s="8">
        <v>9.9999999999999978E-2</v>
      </c>
      <c r="H309" s="8">
        <f t="shared" si="24"/>
        <v>6.4999999999999988E-2</v>
      </c>
      <c r="I309" s="26">
        <f t="shared" si="25"/>
        <v>1.0049164461118165E-4</v>
      </c>
      <c r="J309" s="26">
        <f t="shared" si="26"/>
        <v>0.26455000385435651</v>
      </c>
      <c r="K309" s="26">
        <f t="shared" si="27"/>
        <v>3.7985879095471726E-4</v>
      </c>
      <c r="L309" s="27">
        <f t="shared" si="28"/>
        <v>4.3160502322703445E-3</v>
      </c>
      <c r="M309" s="27">
        <f t="shared" si="29"/>
        <v>7.6126901302180414</v>
      </c>
      <c r="N309" s="27"/>
      <c r="O309" s="27"/>
      <c r="P309"/>
    </row>
    <row r="310" spans="1:16" ht="15">
      <c r="A310" s="17" t="s">
        <v>524</v>
      </c>
      <c r="B310" s="14" t="s">
        <v>27</v>
      </c>
      <c r="C310" s="25">
        <f>VLOOKUP(B310,'Consensus Phospho site'!B:G,6,FALSE)</f>
        <v>1.5460253017104872E-3</v>
      </c>
      <c r="D310" s="17" t="e">
        <v>#N/A</v>
      </c>
      <c r="E310" s="8" t="e">
        <v>#N/A</v>
      </c>
      <c r="F310" s="8">
        <v>0.5</v>
      </c>
      <c r="G310" s="8">
        <v>9.9999999999999978E-2</v>
      </c>
      <c r="H310" s="8">
        <f t="shared" si="24"/>
        <v>4.9999999999999989E-2</v>
      </c>
      <c r="I310" s="26">
        <f t="shared" si="25"/>
        <v>7.7301265085524343E-5</v>
      </c>
      <c r="J310" s="26">
        <f t="shared" si="26"/>
        <v>0.26455000385435651</v>
      </c>
      <c r="K310" s="26">
        <f t="shared" si="27"/>
        <v>2.9219906996516711E-4</v>
      </c>
      <c r="L310" s="27">
        <f t="shared" si="28"/>
        <v>3.430639384493703E-3</v>
      </c>
      <c r="M310" s="27">
        <f t="shared" si="29"/>
        <v>7.6126901302180414</v>
      </c>
      <c r="N310" s="27"/>
      <c r="O310" s="27"/>
      <c r="P310"/>
    </row>
    <row r="311" spans="1:16" ht="15">
      <c r="A311" s="17" t="s">
        <v>524</v>
      </c>
      <c r="B311" s="14" t="s">
        <v>28</v>
      </c>
      <c r="C311" s="25">
        <f>VLOOKUP(B311,'Consensus Phospho site'!B:G,6,FALSE)</f>
        <v>1.5460253017104872E-3</v>
      </c>
      <c r="D311" s="17" t="e">
        <v>#N/A</v>
      </c>
      <c r="E311" s="8" t="e">
        <v>#N/A</v>
      </c>
      <c r="F311" s="8">
        <v>0.5</v>
      </c>
      <c r="G311" s="8">
        <v>9.9999999999999978E-2</v>
      </c>
      <c r="H311" s="8">
        <f t="shared" si="24"/>
        <v>4.9999999999999989E-2</v>
      </c>
      <c r="I311" s="26">
        <f t="shared" si="25"/>
        <v>7.7301265085524343E-5</v>
      </c>
      <c r="J311" s="26">
        <f t="shared" si="26"/>
        <v>0.26455000385435651</v>
      </c>
      <c r="K311" s="26">
        <f t="shared" si="27"/>
        <v>2.9219906996516711E-4</v>
      </c>
      <c r="L311" s="27">
        <f t="shared" si="28"/>
        <v>3.430639384493703E-3</v>
      </c>
      <c r="M311" s="27">
        <f t="shared" si="29"/>
        <v>7.6126901302180414</v>
      </c>
      <c r="N311" s="27"/>
      <c r="O311" s="27"/>
      <c r="P311"/>
    </row>
    <row r="312" spans="1:16" ht="28">
      <c r="A312" s="17" t="s">
        <v>535</v>
      </c>
      <c r="B312" s="14" t="s">
        <v>362</v>
      </c>
      <c r="C312" s="25">
        <f>VLOOKUP(B312,'Consensus Phospho site'!B:G,6,FALSE)</f>
        <v>1.6273950544320925E-4</v>
      </c>
      <c r="D312" s="17" t="s">
        <v>782</v>
      </c>
      <c r="E312" s="8" t="s">
        <v>915</v>
      </c>
      <c r="F312" s="8">
        <v>0.9</v>
      </c>
      <c r="G312" s="8">
        <v>0.5</v>
      </c>
      <c r="H312" s="8">
        <f t="shared" si="24"/>
        <v>0.45</v>
      </c>
      <c r="I312" s="26">
        <f t="shared" si="25"/>
        <v>7.3232777449444157E-5</v>
      </c>
      <c r="J312" s="26">
        <f t="shared" si="26"/>
        <v>0.26455000385435651</v>
      </c>
      <c r="K312" s="26">
        <f t="shared" si="27"/>
        <v>2.7682017154594796E-4</v>
      </c>
      <c r="L312" s="27">
        <f t="shared" si="28"/>
        <v>3.2716720856419803E-3</v>
      </c>
      <c r="M312" s="27">
        <f t="shared" si="29"/>
        <v>7.6126901302180414</v>
      </c>
      <c r="N312" s="27"/>
      <c r="O312" s="27"/>
      <c r="P312"/>
    </row>
    <row r="313" spans="1:16">
      <c r="A313" s="17" t="s">
        <v>538</v>
      </c>
      <c r="B313" s="15" t="s">
        <v>139</v>
      </c>
      <c r="C313" s="25">
        <f>VLOOKUP(B313,'Consensus Phospho site'!B:G,6,FALSE)</f>
        <v>2.5695711385769875E-4</v>
      </c>
      <c r="D313" s="17" t="e">
        <v>#N/A</v>
      </c>
      <c r="E313" s="8" t="e">
        <v>#N/A</v>
      </c>
      <c r="F313" s="8">
        <v>0.5</v>
      </c>
      <c r="G313" s="8">
        <v>0.5</v>
      </c>
      <c r="H313" s="8">
        <f t="shared" si="24"/>
        <v>0.25</v>
      </c>
      <c r="I313" s="26">
        <f t="shared" si="25"/>
        <v>6.4239278464424689E-5</v>
      </c>
      <c r="J313" s="26">
        <f t="shared" si="26"/>
        <v>0.26455000385435651</v>
      </c>
      <c r="K313" s="26">
        <f t="shared" si="27"/>
        <v>2.4282471188241043E-4</v>
      </c>
      <c r="L313" s="27">
        <f t="shared" si="28"/>
        <v>2.9157898783663252E-3</v>
      </c>
      <c r="M313" s="27">
        <f t="shared" si="29"/>
        <v>7.6126901302180414</v>
      </c>
      <c r="N313" s="27"/>
      <c r="O313" s="27"/>
      <c r="P313"/>
    </row>
    <row r="314" spans="1:16" ht="15">
      <c r="A314" s="17" t="s">
        <v>538</v>
      </c>
      <c r="B314" s="14" t="s">
        <v>145</v>
      </c>
      <c r="C314" s="25">
        <f>VLOOKUP(B314,'Consensus Phospho site'!B:G,6,FALSE)</f>
        <v>2.5695711385769875E-4</v>
      </c>
      <c r="D314" s="17" t="e">
        <v>#N/A</v>
      </c>
      <c r="E314" s="8" t="e">
        <v>#N/A</v>
      </c>
      <c r="F314" s="8">
        <v>0.5</v>
      </c>
      <c r="G314" s="8">
        <v>0.5</v>
      </c>
      <c r="H314" s="8">
        <f t="shared" si="24"/>
        <v>0.25</v>
      </c>
      <c r="I314" s="26">
        <f t="shared" si="25"/>
        <v>6.4239278464424689E-5</v>
      </c>
      <c r="J314" s="26">
        <f t="shared" si="26"/>
        <v>0.26455000385435651</v>
      </c>
      <c r="K314" s="26">
        <f t="shared" si="27"/>
        <v>2.4282471188241043E-4</v>
      </c>
      <c r="L314" s="27">
        <f t="shared" si="28"/>
        <v>2.9157898783663252E-3</v>
      </c>
      <c r="M314" s="27">
        <f t="shared" si="29"/>
        <v>7.6126901302180414</v>
      </c>
      <c r="N314" s="27"/>
      <c r="O314" s="27"/>
      <c r="P314"/>
    </row>
    <row r="315" spans="1:16" ht="15">
      <c r="A315" s="17" t="s">
        <v>539</v>
      </c>
      <c r="B315" s="14" t="s">
        <v>286</v>
      </c>
      <c r="C315" s="25">
        <f>VLOOKUP(B315,'Consensus Phospho site'!B:G,6,FALSE)</f>
        <v>2.5695711385769875E-4</v>
      </c>
      <c r="D315" s="17" t="e">
        <v>#N/A</v>
      </c>
      <c r="E315" s="8" t="e">
        <v>#N/A</v>
      </c>
      <c r="F315" s="8">
        <v>0.5</v>
      </c>
      <c r="G315" s="8">
        <v>0.5</v>
      </c>
      <c r="H315" s="8">
        <f t="shared" si="24"/>
        <v>0.25</v>
      </c>
      <c r="I315" s="26">
        <f t="shared" si="25"/>
        <v>6.4239278464424689E-5</v>
      </c>
      <c r="J315" s="26">
        <f t="shared" si="26"/>
        <v>0.26455000385435651</v>
      </c>
      <c r="K315" s="26">
        <f t="shared" si="27"/>
        <v>2.4282471188241043E-4</v>
      </c>
      <c r="L315" s="27">
        <f t="shared" si="28"/>
        <v>2.9157898783663252E-3</v>
      </c>
      <c r="M315" s="27">
        <f t="shared" si="29"/>
        <v>7.6126901302180414</v>
      </c>
      <c r="N315" s="27"/>
      <c r="O315" s="27"/>
      <c r="P315"/>
    </row>
    <row r="316" spans="1:16" ht="15">
      <c r="A316" s="17" t="s">
        <v>539</v>
      </c>
      <c r="B316" s="14" t="s">
        <v>288</v>
      </c>
      <c r="C316" s="25">
        <f>VLOOKUP(B316,'Consensus Phospho site'!B:G,6,FALSE)</f>
        <v>2.5695711385769875E-4</v>
      </c>
      <c r="D316" s="17" t="e">
        <v>#N/A</v>
      </c>
      <c r="E316" s="8" t="e">
        <v>#N/A</v>
      </c>
      <c r="F316" s="8">
        <v>0.5</v>
      </c>
      <c r="G316" s="8">
        <v>0.5</v>
      </c>
      <c r="H316" s="8">
        <f t="shared" si="24"/>
        <v>0.25</v>
      </c>
      <c r="I316" s="26">
        <f t="shared" si="25"/>
        <v>6.4239278464424689E-5</v>
      </c>
      <c r="J316" s="26">
        <f t="shared" si="26"/>
        <v>0.26455000385435651</v>
      </c>
      <c r="K316" s="26">
        <f t="shared" si="27"/>
        <v>2.4282471188241043E-4</v>
      </c>
      <c r="L316" s="27">
        <f t="shared" si="28"/>
        <v>2.9157898783663252E-3</v>
      </c>
      <c r="M316" s="27">
        <f t="shared" si="29"/>
        <v>7.6126901302180414</v>
      </c>
      <c r="N316" s="27"/>
      <c r="O316" s="27"/>
      <c r="P316"/>
    </row>
    <row r="317" spans="1:16" ht="15">
      <c r="A317" s="17" t="s">
        <v>539</v>
      </c>
      <c r="B317" s="14" t="s">
        <v>290</v>
      </c>
      <c r="C317" s="25">
        <f>VLOOKUP(B317,'Consensus Phospho site'!B:G,6,FALSE)</f>
        <v>2.5695711385769875E-4</v>
      </c>
      <c r="D317" s="17" t="e">
        <v>#N/A</v>
      </c>
      <c r="E317" s="8" t="e">
        <v>#N/A</v>
      </c>
      <c r="F317" s="8">
        <v>0.5</v>
      </c>
      <c r="G317" s="8">
        <v>0.5</v>
      </c>
      <c r="H317" s="8">
        <f t="shared" si="24"/>
        <v>0.25</v>
      </c>
      <c r="I317" s="26">
        <f t="shared" si="25"/>
        <v>6.4239278464424689E-5</v>
      </c>
      <c r="J317" s="26">
        <f t="shared" si="26"/>
        <v>0.26455000385435651</v>
      </c>
      <c r="K317" s="26">
        <f t="shared" si="27"/>
        <v>2.4282471188241043E-4</v>
      </c>
      <c r="L317" s="27">
        <f t="shared" si="28"/>
        <v>2.9157898783663252E-3</v>
      </c>
      <c r="M317" s="27">
        <f t="shared" si="29"/>
        <v>7.6126901302180414</v>
      </c>
      <c r="N317" s="27"/>
      <c r="O317" s="27"/>
      <c r="P317"/>
    </row>
    <row r="318" spans="1:16" ht="15">
      <c r="A318" s="17" t="s">
        <v>539</v>
      </c>
      <c r="B318" s="14" t="s">
        <v>291</v>
      </c>
      <c r="C318" s="25">
        <f>VLOOKUP(B318,'Consensus Phospho site'!B:G,6,FALSE)</f>
        <v>2.5695711385769875E-4</v>
      </c>
      <c r="D318" s="17" t="e">
        <v>#N/A</v>
      </c>
      <c r="E318" s="8" t="e">
        <v>#N/A</v>
      </c>
      <c r="F318" s="8">
        <v>0.5</v>
      </c>
      <c r="G318" s="8">
        <v>0.5</v>
      </c>
      <c r="H318" s="8">
        <f t="shared" si="24"/>
        <v>0.25</v>
      </c>
      <c r="I318" s="26">
        <f t="shared" si="25"/>
        <v>6.4239278464424689E-5</v>
      </c>
      <c r="J318" s="26">
        <f t="shared" si="26"/>
        <v>0.26455000385435651</v>
      </c>
      <c r="K318" s="26">
        <f t="shared" si="27"/>
        <v>2.4282471188241043E-4</v>
      </c>
      <c r="L318" s="27">
        <f t="shared" si="28"/>
        <v>2.9157898783663252E-3</v>
      </c>
      <c r="M318" s="27">
        <f t="shared" si="29"/>
        <v>7.6126901302180414</v>
      </c>
      <c r="N318" s="27"/>
      <c r="O318" s="27"/>
      <c r="P318"/>
    </row>
    <row r="319" spans="1:16" ht="15">
      <c r="A319" s="17" t="s">
        <v>539</v>
      </c>
      <c r="B319" s="14" t="s">
        <v>292</v>
      </c>
      <c r="C319" s="25">
        <f>VLOOKUP(B319,'Consensus Phospho site'!B:G,6,FALSE)</f>
        <v>2.5695711385769875E-4</v>
      </c>
      <c r="D319" s="17" t="e">
        <v>#N/A</v>
      </c>
      <c r="E319" s="8" t="e">
        <v>#N/A</v>
      </c>
      <c r="F319" s="8">
        <v>0.5</v>
      </c>
      <c r="G319" s="8">
        <v>0.5</v>
      </c>
      <c r="H319" s="8">
        <f t="shared" si="24"/>
        <v>0.25</v>
      </c>
      <c r="I319" s="26">
        <f t="shared" si="25"/>
        <v>6.4239278464424689E-5</v>
      </c>
      <c r="J319" s="26">
        <f t="shared" si="26"/>
        <v>0.26455000385435651</v>
      </c>
      <c r="K319" s="26">
        <f t="shared" si="27"/>
        <v>2.4282471188241043E-4</v>
      </c>
      <c r="L319" s="27">
        <f t="shared" si="28"/>
        <v>2.9157898783663252E-3</v>
      </c>
      <c r="M319" s="27">
        <f t="shared" si="29"/>
        <v>7.6126901302180414</v>
      </c>
      <c r="N319" s="27"/>
      <c r="O319" s="27"/>
      <c r="P319"/>
    </row>
    <row r="320" spans="1:16" ht="15">
      <c r="A320" s="17" t="s">
        <v>539</v>
      </c>
      <c r="B320" s="14" t="s">
        <v>293</v>
      </c>
      <c r="C320" s="25">
        <f>VLOOKUP(B320,'Consensus Phospho site'!B:G,6,FALSE)</f>
        <v>2.5695711385769875E-4</v>
      </c>
      <c r="D320" s="17" t="e">
        <v>#N/A</v>
      </c>
      <c r="E320" s="8" t="e">
        <v>#N/A</v>
      </c>
      <c r="F320" s="8">
        <v>0.5</v>
      </c>
      <c r="G320" s="8">
        <v>0.5</v>
      </c>
      <c r="H320" s="8">
        <f t="shared" si="24"/>
        <v>0.25</v>
      </c>
      <c r="I320" s="26">
        <f t="shared" si="25"/>
        <v>6.4239278464424689E-5</v>
      </c>
      <c r="J320" s="26">
        <f t="shared" si="26"/>
        <v>0.26455000385435651</v>
      </c>
      <c r="K320" s="26">
        <f t="shared" si="27"/>
        <v>2.4282471188241043E-4</v>
      </c>
      <c r="L320" s="27">
        <f t="shared" si="28"/>
        <v>2.9157898783663252E-3</v>
      </c>
      <c r="M320" s="27">
        <f t="shared" si="29"/>
        <v>7.6126901302180414</v>
      </c>
      <c r="N320" s="27"/>
      <c r="O320" s="27"/>
      <c r="P320"/>
    </row>
    <row r="321" spans="1:16" ht="15">
      <c r="A321" s="17" t="s">
        <v>539</v>
      </c>
      <c r="B321" s="14" t="s">
        <v>301</v>
      </c>
      <c r="C321" s="25">
        <f>VLOOKUP(B321,'Consensus Phospho site'!B:G,6,FALSE)</f>
        <v>2.5695711385769875E-4</v>
      </c>
      <c r="D321" s="17" t="e">
        <v>#N/A</v>
      </c>
      <c r="E321" s="8" t="e">
        <v>#N/A</v>
      </c>
      <c r="F321" s="8">
        <v>0.5</v>
      </c>
      <c r="G321" s="8">
        <v>0.5</v>
      </c>
      <c r="H321" s="8">
        <f t="shared" si="24"/>
        <v>0.25</v>
      </c>
      <c r="I321" s="26">
        <f t="shared" si="25"/>
        <v>6.4239278464424689E-5</v>
      </c>
      <c r="J321" s="26">
        <f t="shared" si="26"/>
        <v>0.26455000385435651</v>
      </c>
      <c r="K321" s="26">
        <f t="shared" si="27"/>
        <v>2.4282471188241043E-4</v>
      </c>
      <c r="L321" s="27">
        <f t="shared" si="28"/>
        <v>2.9157898783663252E-3</v>
      </c>
      <c r="M321" s="27">
        <f t="shared" si="29"/>
        <v>7.6126901302180414</v>
      </c>
      <c r="N321" s="27"/>
      <c r="O321" s="27"/>
      <c r="P321"/>
    </row>
    <row r="322" spans="1:16" ht="15">
      <c r="A322" s="17" t="s">
        <v>539</v>
      </c>
      <c r="B322" s="14" t="s">
        <v>302</v>
      </c>
      <c r="C322" s="25">
        <f>VLOOKUP(B322,'Consensus Phospho site'!B:G,6,FALSE)</f>
        <v>2.5695711385769875E-4</v>
      </c>
      <c r="D322" s="17" t="e">
        <v>#N/A</v>
      </c>
      <c r="E322" s="8" t="e">
        <v>#N/A</v>
      </c>
      <c r="F322" s="8">
        <v>0.5</v>
      </c>
      <c r="G322" s="8">
        <v>0.5</v>
      </c>
      <c r="H322" s="8">
        <f t="shared" ref="H322:H385" si="30">F322*G322</f>
        <v>0.25</v>
      </c>
      <c r="I322" s="26">
        <f t="shared" ref="I322:I385" si="31">H322*C322</f>
        <v>6.4239278464424689E-5</v>
      </c>
      <c r="J322" s="26">
        <f t="shared" ref="J322:J385" si="32">SUM($I$2:$I$522)</f>
        <v>0.26455000385435651</v>
      </c>
      <c r="K322" s="26">
        <f t="shared" ref="K322:K385" si="33">I322/J322</f>
        <v>2.4282471188241043E-4</v>
      </c>
      <c r="L322" s="27">
        <f t="shared" ref="L322:L385" si="34">K322*-LOG(K322,2)</f>
        <v>2.9157898783663252E-3</v>
      </c>
      <c r="M322" s="27">
        <f t="shared" ref="M322:M385" si="35">SUM($L$2:$L$522)</f>
        <v>7.6126901302180414</v>
      </c>
      <c r="N322" s="27"/>
      <c r="O322" s="27"/>
      <c r="P322"/>
    </row>
    <row r="323" spans="1:16" ht="15">
      <c r="A323" s="17" t="s">
        <v>539</v>
      </c>
      <c r="B323" s="14" t="s">
        <v>305</v>
      </c>
      <c r="C323" s="25">
        <f>VLOOKUP(B323,'Consensus Phospho site'!B:G,6,FALSE)</f>
        <v>2.5695711385769875E-4</v>
      </c>
      <c r="D323" s="17" t="e">
        <v>#N/A</v>
      </c>
      <c r="E323" s="8" t="e">
        <v>#N/A</v>
      </c>
      <c r="F323" s="8">
        <v>0.5</v>
      </c>
      <c r="G323" s="8">
        <v>0.5</v>
      </c>
      <c r="H323" s="8">
        <f t="shared" si="30"/>
        <v>0.25</v>
      </c>
      <c r="I323" s="26">
        <f t="shared" si="31"/>
        <v>6.4239278464424689E-5</v>
      </c>
      <c r="J323" s="26">
        <f t="shared" si="32"/>
        <v>0.26455000385435651</v>
      </c>
      <c r="K323" s="26">
        <f t="shared" si="33"/>
        <v>2.4282471188241043E-4</v>
      </c>
      <c r="L323" s="27">
        <f t="shared" si="34"/>
        <v>2.9157898783663252E-3</v>
      </c>
      <c r="M323" s="27">
        <f t="shared" si="35"/>
        <v>7.6126901302180414</v>
      </c>
      <c r="N323" s="27"/>
      <c r="O323" s="27"/>
      <c r="P323"/>
    </row>
    <row r="324" spans="1:16" ht="15">
      <c r="A324" s="17" t="s">
        <v>540</v>
      </c>
      <c r="B324" s="14" t="s">
        <v>241</v>
      </c>
      <c r="C324" s="25">
        <f>VLOOKUP(B324,'Consensus Phospho site'!B:G,6,FALSE)</f>
        <v>2.5695711385769875E-4</v>
      </c>
      <c r="D324" s="17" t="e">
        <v>#N/A</v>
      </c>
      <c r="E324" s="8" t="e">
        <v>#N/A</v>
      </c>
      <c r="F324" s="8">
        <v>0.5</v>
      </c>
      <c r="G324" s="8">
        <v>0.5</v>
      </c>
      <c r="H324" s="8">
        <f t="shared" si="30"/>
        <v>0.25</v>
      </c>
      <c r="I324" s="26">
        <f t="shared" si="31"/>
        <v>6.4239278464424689E-5</v>
      </c>
      <c r="J324" s="26">
        <f t="shared" si="32"/>
        <v>0.26455000385435651</v>
      </c>
      <c r="K324" s="26">
        <f t="shared" si="33"/>
        <v>2.4282471188241043E-4</v>
      </c>
      <c r="L324" s="27">
        <f t="shared" si="34"/>
        <v>2.9157898783663252E-3</v>
      </c>
      <c r="M324" s="27">
        <f t="shared" si="35"/>
        <v>7.6126901302180414</v>
      </c>
      <c r="N324" s="27"/>
      <c r="O324" s="27"/>
      <c r="P324"/>
    </row>
    <row r="325" spans="1:16" ht="15">
      <c r="A325" s="17" t="s">
        <v>540</v>
      </c>
      <c r="B325" s="14" t="s">
        <v>244</v>
      </c>
      <c r="C325" s="25">
        <f>VLOOKUP(B325,'Consensus Phospho site'!B:G,6,FALSE)</f>
        <v>2.5695711385769875E-4</v>
      </c>
      <c r="D325" s="17" t="e">
        <v>#N/A</v>
      </c>
      <c r="E325" s="8" t="e">
        <v>#N/A</v>
      </c>
      <c r="F325" s="8">
        <v>0.5</v>
      </c>
      <c r="G325" s="8">
        <v>0.5</v>
      </c>
      <c r="H325" s="8">
        <f t="shared" si="30"/>
        <v>0.25</v>
      </c>
      <c r="I325" s="26">
        <f t="shared" si="31"/>
        <v>6.4239278464424689E-5</v>
      </c>
      <c r="J325" s="26">
        <f t="shared" si="32"/>
        <v>0.26455000385435651</v>
      </c>
      <c r="K325" s="26">
        <f t="shared" si="33"/>
        <v>2.4282471188241043E-4</v>
      </c>
      <c r="L325" s="27">
        <f t="shared" si="34"/>
        <v>2.9157898783663252E-3</v>
      </c>
      <c r="M325" s="27">
        <f t="shared" si="35"/>
        <v>7.6126901302180414</v>
      </c>
      <c r="N325" s="27"/>
      <c r="O325" s="27"/>
      <c r="P325"/>
    </row>
    <row r="326" spans="1:16" ht="15">
      <c r="A326" s="17" t="s">
        <v>540</v>
      </c>
      <c r="B326" s="14" t="s">
        <v>249</v>
      </c>
      <c r="C326" s="25">
        <f>VLOOKUP(B326,'Consensus Phospho site'!B:G,6,FALSE)</f>
        <v>2.5695711385769875E-4</v>
      </c>
      <c r="D326" s="17" t="e">
        <v>#N/A</v>
      </c>
      <c r="E326" s="8" t="e">
        <v>#N/A</v>
      </c>
      <c r="F326" s="8">
        <v>0.5</v>
      </c>
      <c r="G326" s="8">
        <v>0.5</v>
      </c>
      <c r="H326" s="8">
        <f t="shared" si="30"/>
        <v>0.25</v>
      </c>
      <c r="I326" s="26">
        <f t="shared" si="31"/>
        <v>6.4239278464424689E-5</v>
      </c>
      <c r="J326" s="26">
        <f t="shared" si="32"/>
        <v>0.26455000385435651</v>
      </c>
      <c r="K326" s="26">
        <f t="shared" si="33"/>
        <v>2.4282471188241043E-4</v>
      </c>
      <c r="L326" s="27">
        <f t="shared" si="34"/>
        <v>2.9157898783663252E-3</v>
      </c>
      <c r="M326" s="27">
        <f t="shared" si="35"/>
        <v>7.6126901302180414</v>
      </c>
      <c r="N326" s="27"/>
      <c r="O326" s="27"/>
      <c r="P326"/>
    </row>
    <row r="327" spans="1:16" ht="15">
      <c r="A327" s="17" t="s">
        <v>540</v>
      </c>
      <c r="B327" s="14" t="s">
        <v>259</v>
      </c>
      <c r="C327" s="25">
        <f>VLOOKUP(B327,'Consensus Phospho site'!B:G,6,FALSE)</f>
        <v>2.5695711385769875E-4</v>
      </c>
      <c r="D327" s="17" t="e">
        <v>#N/A</v>
      </c>
      <c r="E327" s="8" t="e">
        <v>#N/A</v>
      </c>
      <c r="F327" s="8">
        <v>0.5</v>
      </c>
      <c r="G327" s="8">
        <v>0.5</v>
      </c>
      <c r="H327" s="8">
        <f t="shared" si="30"/>
        <v>0.25</v>
      </c>
      <c r="I327" s="26">
        <f t="shared" si="31"/>
        <v>6.4239278464424689E-5</v>
      </c>
      <c r="J327" s="26">
        <f t="shared" si="32"/>
        <v>0.26455000385435651</v>
      </c>
      <c r="K327" s="26">
        <f t="shared" si="33"/>
        <v>2.4282471188241043E-4</v>
      </c>
      <c r="L327" s="27">
        <f t="shared" si="34"/>
        <v>2.9157898783663252E-3</v>
      </c>
      <c r="M327" s="27">
        <f t="shared" si="35"/>
        <v>7.6126901302180414</v>
      </c>
      <c r="N327" s="27"/>
      <c r="O327" s="27"/>
      <c r="P327"/>
    </row>
    <row r="328" spans="1:16" ht="15">
      <c r="A328" s="17" t="s">
        <v>540</v>
      </c>
      <c r="B328" s="14" t="s">
        <v>260</v>
      </c>
      <c r="C328" s="25">
        <f>VLOOKUP(B328,'Consensus Phospho site'!B:G,6,FALSE)</f>
        <v>2.5695711385769875E-4</v>
      </c>
      <c r="D328" s="17" t="e">
        <v>#N/A</v>
      </c>
      <c r="E328" s="8" t="e">
        <v>#N/A</v>
      </c>
      <c r="F328" s="8">
        <v>0.5</v>
      </c>
      <c r="G328" s="8">
        <v>0.5</v>
      </c>
      <c r="H328" s="8">
        <f t="shared" si="30"/>
        <v>0.25</v>
      </c>
      <c r="I328" s="26">
        <f t="shared" si="31"/>
        <v>6.4239278464424689E-5</v>
      </c>
      <c r="J328" s="26">
        <f t="shared" si="32"/>
        <v>0.26455000385435651</v>
      </c>
      <c r="K328" s="26">
        <f t="shared" si="33"/>
        <v>2.4282471188241043E-4</v>
      </c>
      <c r="L328" s="27">
        <f t="shared" si="34"/>
        <v>2.9157898783663252E-3</v>
      </c>
      <c r="M328" s="27">
        <f t="shared" si="35"/>
        <v>7.6126901302180414</v>
      </c>
      <c r="N328" s="27"/>
      <c r="O328" s="27"/>
      <c r="P328"/>
    </row>
    <row r="329" spans="1:16" ht="15">
      <c r="A329" s="17" t="s">
        <v>540</v>
      </c>
      <c r="B329" s="14" t="s">
        <v>261</v>
      </c>
      <c r="C329" s="25">
        <f>VLOOKUP(B329,'Consensus Phospho site'!B:G,6,FALSE)</f>
        <v>2.5695711385769875E-4</v>
      </c>
      <c r="D329" s="17" t="e">
        <v>#N/A</v>
      </c>
      <c r="E329" s="8" t="e">
        <v>#N/A</v>
      </c>
      <c r="F329" s="8">
        <v>0.5</v>
      </c>
      <c r="G329" s="8">
        <v>0.5</v>
      </c>
      <c r="H329" s="8">
        <f t="shared" si="30"/>
        <v>0.25</v>
      </c>
      <c r="I329" s="26">
        <f t="shared" si="31"/>
        <v>6.4239278464424689E-5</v>
      </c>
      <c r="J329" s="26">
        <f t="shared" si="32"/>
        <v>0.26455000385435651</v>
      </c>
      <c r="K329" s="26">
        <f t="shared" si="33"/>
        <v>2.4282471188241043E-4</v>
      </c>
      <c r="L329" s="27">
        <f t="shared" si="34"/>
        <v>2.9157898783663252E-3</v>
      </c>
      <c r="M329" s="27">
        <f t="shared" si="35"/>
        <v>7.6126901302180414</v>
      </c>
      <c r="N329" s="27"/>
      <c r="O329" s="27"/>
      <c r="P329"/>
    </row>
    <row r="330" spans="1:16" ht="15">
      <c r="A330" s="17" t="s">
        <v>541</v>
      </c>
      <c r="B330" s="14" t="s">
        <v>216</v>
      </c>
      <c r="C330" s="25">
        <f>VLOOKUP(B330,'Consensus Phospho site'!B:G,6,FALSE)</f>
        <v>2.5695711385769875E-4</v>
      </c>
      <c r="D330" s="17" t="e">
        <v>#N/A</v>
      </c>
      <c r="E330" s="8" t="e">
        <v>#N/A</v>
      </c>
      <c r="F330" s="8">
        <v>0.5</v>
      </c>
      <c r="G330" s="8">
        <v>0.5</v>
      </c>
      <c r="H330" s="8">
        <f t="shared" si="30"/>
        <v>0.25</v>
      </c>
      <c r="I330" s="26">
        <f t="shared" si="31"/>
        <v>6.4239278464424689E-5</v>
      </c>
      <c r="J330" s="26">
        <f t="shared" si="32"/>
        <v>0.26455000385435651</v>
      </c>
      <c r="K330" s="26">
        <f t="shared" si="33"/>
        <v>2.4282471188241043E-4</v>
      </c>
      <c r="L330" s="27">
        <f t="shared" si="34"/>
        <v>2.9157898783663252E-3</v>
      </c>
      <c r="M330" s="27">
        <f t="shared" si="35"/>
        <v>7.6126901302180414</v>
      </c>
      <c r="N330" s="27"/>
      <c r="O330" s="27"/>
      <c r="P330"/>
    </row>
    <row r="331" spans="1:16" ht="15">
      <c r="A331" s="17" t="s">
        <v>541</v>
      </c>
      <c r="B331" s="14" t="s">
        <v>221</v>
      </c>
      <c r="C331" s="25">
        <f>VLOOKUP(B331,'Consensus Phospho site'!B:G,6,FALSE)</f>
        <v>2.5695711385769875E-4</v>
      </c>
      <c r="D331" s="17" t="e">
        <v>#N/A</v>
      </c>
      <c r="E331" s="8" t="e">
        <v>#N/A</v>
      </c>
      <c r="F331" s="8">
        <v>0.5</v>
      </c>
      <c r="G331" s="8">
        <v>0.5</v>
      </c>
      <c r="H331" s="8">
        <f t="shared" si="30"/>
        <v>0.25</v>
      </c>
      <c r="I331" s="26">
        <f t="shared" si="31"/>
        <v>6.4239278464424689E-5</v>
      </c>
      <c r="J331" s="26">
        <f t="shared" si="32"/>
        <v>0.26455000385435651</v>
      </c>
      <c r="K331" s="26">
        <f t="shared" si="33"/>
        <v>2.4282471188241043E-4</v>
      </c>
      <c r="L331" s="27">
        <f t="shared" si="34"/>
        <v>2.9157898783663252E-3</v>
      </c>
      <c r="M331" s="27">
        <f t="shared" si="35"/>
        <v>7.6126901302180414</v>
      </c>
      <c r="N331" s="27"/>
      <c r="O331" s="27"/>
      <c r="P331"/>
    </row>
    <row r="332" spans="1:16" ht="15">
      <c r="A332" s="17" t="s">
        <v>540</v>
      </c>
      <c r="B332" s="14" t="s">
        <v>271</v>
      </c>
      <c r="C332" s="25">
        <f>VLOOKUP(B332,'Consensus Phospho site'!B:G,6,FALSE)</f>
        <v>2.5695711385769875E-4</v>
      </c>
      <c r="D332" s="17" t="e">
        <v>#N/A</v>
      </c>
      <c r="E332" s="8" t="e">
        <v>#N/A</v>
      </c>
      <c r="F332" s="8">
        <v>0.5</v>
      </c>
      <c r="G332" s="8">
        <v>0.5</v>
      </c>
      <c r="H332" s="8">
        <f t="shared" si="30"/>
        <v>0.25</v>
      </c>
      <c r="I332" s="26">
        <f t="shared" si="31"/>
        <v>6.4239278464424689E-5</v>
      </c>
      <c r="J332" s="26">
        <f t="shared" si="32"/>
        <v>0.26455000385435651</v>
      </c>
      <c r="K332" s="26">
        <f t="shared" si="33"/>
        <v>2.4282471188241043E-4</v>
      </c>
      <c r="L332" s="27">
        <f t="shared" si="34"/>
        <v>2.9157898783663252E-3</v>
      </c>
      <c r="M332" s="27">
        <f t="shared" si="35"/>
        <v>7.6126901302180414</v>
      </c>
      <c r="N332" s="27"/>
      <c r="O332" s="27"/>
      <c r="P332"/>
    </row>
    <row r="333" spans="1:16" ht="15">
      <c r="A333" s="17" t="s">
        <v>539</v>
      </c>
      <c r="B333" s="14" t="s">
        <v>312</v>
      </c>
      <c r="C333" s="25">
        <f>VLOOKUP(B333,'Consensus Phospho site'!B:G,6,FALSE)</f>
        <v>2.5695711385769875E-4</v>
      </c>
      <c r="D333" s="17" t="e">
        <v>#N/A</v>
      </c>
      <c r="E333" s="8" t="e">
        <v>#N/A</v>
      </c>
      <c r="F333" s="8">
        <v>0.5</v>
      </c>
      <c r="G333" s="8">
        <v>0.5</v>
      </c>
      <c r="H333" s="8">
        <f t="shared" si="30"/>
        <v>0.25</v>
      </c>
      <c r="I333" s="26">
        <f t="shared" si="31"/>
        <v>6.4239278464424689E-5</v>
      </c>
      <c r="J333" s="26">
        <f t="shared" si="32"/>
        <v>0.26455000385435651</v>
      </c>
      <c r="K333" s="26">
        <f t="shared" si="33"/>
        <v>2.4282471188241043E-4</v>
      </c>
      <c r="L333" s="27">
        <f t="shared" si="34"/>
        <v>2.9157898783663252E-3</v>
      </c>
      <c r="M333" s="27">
        <f t="shared" si="35"/>
        <v>7.6126901302180414</v>
      </c>
      <c r="N333" s="27"/>
      <c r="O333" s="27"/>
      <c r="P333"/>
    </row>
    <row r="334" spans="1:16" ht="15">
      <c r="A334" s="17" t="s">
        <v>539</v>
      </c>
      <c r="B334" s="14" t="s">
        <v>313</v>
      </c>
      <c r="C334" s="25">
        <f>VLOOKUP(B334,'Consensus Phospho site'!B:G,6,FALSE)</f>
        <v>2.5695711385769875E-4</v>
      </c>
      <c r="D334" s="17" t="e">
        <v>#N/A</v>
      </c>
      <c r="E334" s="8" t="e">
        <v>#N/A</v>
      </c>
      <c r="F334" s="8">
        <v>0.5</v>
      </c>
      <c r="G334" s="8">
        <v>0.5</v>
      </c>
      <c r="H334" s="8">
        <f t="shared" si="30"/>
        <v>0.25</v>
      </c>
      <c r="I334" s="26">
        <f t="shared" si="31"/>
        <v>6.4239278464424689E-5</v>
      </c>
      <c r="J334" s="26">
        <f t="shared" si="32"/>
        <v>0.26455000385435651</v>
      </c>
      <c r="K334" s="26">
        <f t="shared" si="33"/>
        <v>2.4282471188241043E-4</v>
      </c>
      <c r="L334" s="27">
        <f t="shared" si="34"/>
        <v>2.9157898783663252E-3</v>
      </c>
      <c r="M334" s="27">
        <f t="shared" si="35"/>
        <v>7.6126901302180414</v>
      </c>
      <c r="N334" s="27"/>
      <c r="O334" s="27"/>
      <c r="P334"/>
    </row>
    <row r="335" spans="1:16" ht="15">
      <c r="A335" s="17" t="s">
        <v>540</v>
      </c>
      <c r="B335" s="14" t="s">
        <v>278</v>
      </c>
      <c r="C335" s="25">
        <f>VLOOKUP(B335,'Consensus Phospho site'!B:G,6,FALSE)</f>
        <v>2.5695711385769875E-4</v>
      </c>
      <c r="D335" s="17" t="e">
        <v>#N/A</v>
      </c>
      <c r="E335" s="8" t="e">
        <v>#N/A</v>
      </c>
      <c r="F335" s="8">
        <v>0.5</v>
      </c>
      <c r="G335" s="8">
        <v>0.5</v>
      </c>
      <c r="H335" s="8">
        <f t="shared" si="30"/>
        <v>0.25</v>
      </c>
      <c r="I335" s="26">
        <f t="shared" si="31"/>
        <v>6.4239278464424689E-5</v>
      </c>
      <c r="J335" s="26">
        <f t="shared" si="32"/>
        <v>0.26455000385435651</v>
      </c>
      <c r="K335" s="26">
        <f t="shared" si="33"/>
        <v>2.4282471188241043E-4</v>
      </c>
      <c r="L335" s="27">
        <f t="shared" si="34"/>
        <v>2.9157898783663252E-3</v>
      </c>
      <c r="M335" s="27">
        <f t="shared" si="35"/>
        <v>7.6126901302180414</v>
      </c>
      <c r="N335" s="27"/>
      <c r="O335" s="27"/>
      <c r="P335"/>
    </row>
    <row r="336" spans="1:16" ht="15">
      <c r="A336" s="17" t="s">
        <v>540</v>
      </c>
      <c r="B336" s="14" t="s">
        <v>280</v>
      </c>
      <c r="C336" s="25">
        <f>VLOOKUP(B336,'Consensus Phospho site'!B:G,6,FALSE)</f>
        <v>2.5695711385769875E-4</v>
      </c>
      <c r="D336" s="17" t="e">
        <v>#N/A</v>
      </c>
      <c r="E336" s="8" t="e">
        <v>#N/A</v>
      </c>
      <c r="F336" s="8">
        <v>0.5</v>
      </c>
      <c r="G336" s="8">
        <v>0.5</v>
      </c>
      <c r="H336" s="8">
        <f t="shared" si="30"/>
        <v>0.25</v>
      </c>
      <c r="I336" s="26">
        <f t="shared" si="31"/>
        <v>6.4239278464424689E-5</v>
      </c>
      <c r="J336" s="26">
        <f t="shared" si="32"/>
        <v>0.26455000385435651</v>
      </c>
      <c r="K336" s="26">
        <f t="shared" si="33"/>
        <v>2.4282471188241043E-4</v>
      </c>
      <c r="L336" s="27">
        <f t="shared" si="34"/>
        <v>2.9157898783663252E-3</v>
      </c>
      <c r="M336" s="27">
        <f t="shared" si="35"/>
        <v>7.6126901302180414</v>
      </c>
      <c r="N336" s="27"/>
      <c r="O336" s="27"/>
      <c r="P336"/>
    </row>
    <row r="337" spans="1:16" ht="15">
      <c r="A337" s="17" t="s">
        <v>540</v>
      </c>
      <c r="B337" s="14" t="s">
        <v>281</v>
      </c>
      <c r="C337" s="25">
        <f>VLOOKUP(B337,'Consensus Phospho site'!B:G,6,FALSE)</f>
        <v>2.5695711385769875E-4</v>
      </c>
      <c r="D337" s="17" t="e">
        <v>#N/A</v>
      </c>
      <c r="E337" s="8" t="e">
        <v>#N/A</v>
      </c>
      <c r="F337" s="8">
        <v>0.5</v>
      </c>
      <c r="G337" s="8">
        <v>0.5</v>
      </c>
      <c r="H337" s="8">
        <f t="shared" si="30"/>
        <v>0.25</v>
      </c>
      <c r="I337" s="26">
        <f t="shared" si="31"/>
        <v>6.4239278464424689E-5</v>
      </c>
      <c r="J337" s="26">
        <f t="shared" si="32"/>
        <v>0.26455000385435651</v>
      </c>
      <c r="K337" s="26">
        <f t="shared" si="33"/>
        <v>2.4282471188241043E-4</v>
      </c>
      <c r="L337" s="27">
        <f t="shared" si="34"/>
        <v>2.9157898783663252E-3</v>
      </c>
      <c r="M337" s="27">
        <f t="shared" si="35"/>
        <v>7.6126901302180414</v>
      </c>
      <c r="N337" s="27"/>
      <c r="O337" s="27"/>
      <c r="P337"/>
    </row>
    <row r="338" spans="1:16" ht="15">
      <c r="A338" s="17" t="s">
        <v>539</v>
      </c>
      <c r="B338" s="14" t="s">
        <v>319</v>
      </c>
      <c r="C338" s="25">
        <f>VLOOKUP(B338,'Consensus Phospho site'!B:G,6,FALSE)</f>
        <v>2.5695711385769875E-4</v>
      </c>
      <c r="D338" s="17" t="e">
        <v>#N/A</v>
      </c>
      <c r="E338" s="8" t="e">
        <v>#N/A</v>
      </c>
      <c r="F338" s="8">
        <v>0.5</v>
      </c>
      <c r="G338" s="8">
        <v>0.5</v>
      </c>
      <c r="H338" s="8">
        <f t="shared" si="30"/>
        <v>0.25</v>
      </c>
      <c r="I338" s="26">
        <f t="shared" si="31"/>
        <v>6.4239278464424689E-5</v>
      </c>
      <c r="J338" s="26">
        <f t="shared" si="32"/>
        <v>0.26455000385435651</v>
      </c>
      <c r="K338" s="26">
        <f t="shared" si="33"/>
        <v>2.4282471188241043E-4</v>
      </c>
      <c r="L338" s="27">
        <f t="shared" si="34"/>
        <v>2.9157898783663252E-3</v>
      </c>
      <c r="M338" s="27">
        <f t="shared" si="35"/>
        <v>7.6126901302180414</v>
      </c>
      <c r="N338" s="27"/>
      <c r="O338" s="27"/>
      <c r="P338"/>
    </row>
    <row r="339" spans="1:16" ht="15">
      <c r="A339" s="17" t="s">
        <v>534</v>
      </c>
      <c r="B339" s="14" t="s">
        <v>65</v>
      </c>
      <c r="C339" s="25">
        <f>VLOOKUP(B339,'Consensus Phospho site'!B:G,6,FALSE)</f>
        <v>1.1391765381024643E-3</v>
      </c>
      <c r="D339" s="17" t="e">
        <v>#N/A</v>
      </c>
      <c r="E339" s="8" t="e">
        <v>#N/A</v>
      </c>
      <c r="F339" s="8">
        <v>0.5</v>
      </c>
      <c r="G339" s="8">
        <v>9.9999999999999978E-2</v>
      </c>
      <c r="H339" s="8">
        <f t="shared" si="30"/>
        <v>4.9999999999999989E-2</v>
      </c>
      <c r="I339" s="26">
        <f t="shared" si="31"/>
        <v>5.6958826905123204E-5</v>
      </c>
      <c r="J339" s="26">
        <f t="shared" si="32"/>
        <v>0.26455000385435651</v>
      </c>
      <c r="K339" s="26">
        <f t="shared" si="33"/>
        <v>2.153045778690705E-4</v>
      </c>
      <c r="L339" s="27">
        <f t="shared" si="34"/>
        <v>2.6226968422780857E-3</v>
      </c>
      <c r="M339" s="27">
        <f t="shared" si="35"/>
        <v>7.6126901302180414</v>
      </c>
      <c r="N339" s="27"/>
      <c r="O339" s="27"/>
      <c r="P339"/>
    </row>
    <row r="340" spans="1:16" ht="28">
      <c r="A340" s="17" t="s">
        <v>540</v>
      </c>
      <c r="B340" s="14" t="s">
        <v>268</v>
      </c>
      <c r="C340" s="25">
        <f>VLOOKUP(B340,'Consensus Phospho site'!B:G,6,FALSE)</f>
        <v>4.8821851632962771E-4</v>
      </c>
      <c r="D340" s="17" t="s">
        <v>602</v>
      </c>
      <c r="E340" s="8" t="s">
        <v>922</v>
      </c>
      <c r="F340" s="8">
        <v>0.2</v>
      </c>
      <c r="G340" s="8">
        <v>0.5</v>
      </c>
      <c r="H340" s="8">
        <f t="shared" si="30"/>
        <v>0.1</v>
      </c>
      <c r="I340" s="26">
        <f t="shared" si="31"/>
        <v>4.8821851632962771E-5</v>
      </c>
      <c r="J340" s="26">
        <f t="shared" si="32"/>
        <v>0.26455000385435651</v>
      </c>
      <c r="K340" s="26">
        <f t="shared" si="33"/>
        <v>1.8454678103063197E-4</v>
      </c>
      <c r="L340" s="27">
        <f t="shared" si="34"/>
        <v>2.2890676702930382E-3</v>
      </c>
      <c r="M340" s="27">
        <f t="shared" si="35"/>
        <v>7.6126901302180414</v>
      </c>
      <c r="N340" s="27"/>
      <c r="O340" s="27"/>
      <c r="P340"/>
    </row>
    <row r="341" spans="1:16" ht="15">
      <c r="A341" s="17" t="s">
        <v>524</v>
      </c>
      <c r="B341" s="14" t="s">
        <v>1</v>
      </c>
      <c r="C341" s="25">
        <f>VLOOKUP(B341,'Consensus Phospho site'!B:G,6,FALSE)</f>
        <v>1.6273950544320925E-4</v>
      </c>
      <c r="D341" s="17" t="e">
        <v>#N/A</v>
      </c>
      <c r="E341" s="8" t="e">
        <v>#N/A</v>
      </c>
      <c r="F341" s="8">
        <v>0.5</v>
      </c>
      <c r="G341" s="8">
        <v>0.5</v>
      </c>
      <c r="H341" s="8">
        <f t="shared" si="30"/>
        <v>0.25</v>
      </c>
      <c r="I341" s="26">
        <f t="shared" si="31"/>
        <v>4.0684876360802312E-5</v>
      </c>
      <c r="J341" s="26">
        <f t="shared" si="32"/>
        <v>0.26455000385435651</v>
      </c>
      <c r="K341" s="26">
        <f t="shared" si="33"/>
        <v>1.5378898419219332E-4</v>
      </c>
      <c r="L341" s="27">
        <f t="shared" si="34"/>
        <v>1.9480081859916416E-3</v>
      </c>
      <c r="M341" s="27">
        <f t="shared" si="35"/>
        <v>7.6126901302180414</v>
      </c>
      <c r="N341" s="27"/>
      <c r="O341" s="27"/>
      <c r="P341"/>
    </row>
    <row r="342" spans="1:16" ht="15">
      <c r="A342" s="17" t="s">
        <v>535</v>
      </c>
      <c r="B342" s="14" t="s">
        <v>323</v>
      </c>
      <c r="C342" s="25">
        <f>VLOOKUP(B342,'Consensus Phospho site'!B:G,6,FALSE)</f>
        <v>1.6273950544320925E-4</v>
      </c>
      <c r="D342" s="17" t="e">
        <v>#N/A</v>
      </c>
      <c r="E342" s="8" t="e">
        <v>#N/A</v>
      </c>
      <c r="F342" s="8">
        <v>0.5</v>
      </c>
      <c r="G342" s="8">
        <v>0.5</v>
      </c>
      <c r="H342" s="8">
        <f t="shared" si="30"/>
        <v>0.25</v>
      </c>
      <c r="I342" s="26">
        <f t="shared" si="31"/>
        <v>4.0684876360802312E-5</v>
      </c>
      <c r="J342" s="26">
        <f t="shared" si="32"/>
        <v>0.26455000385435651</v>
      </c>
      <c r="K342" s="26">
        <f t="shared" si="33"/>
        <v>1.5378898419219332E-4</v>
      </c>
      <c r="L342" s="27">
        <f t="shared" si="34"/>
        <v>1.9480081859916416E-3</v>
      </c>
      <c r="M342" s="27">
        <f t="shared" si="35"/>
        <v>7.6126901302180414</v>
      </c>
      <c r="N342" s="27"/>
      <c r="O342" s="27"/>
      <c r="P342"/>
    </row>
    <row r="343" spans="1:16" ht="15">
      <c r="A343" s="17" t="s">
        <v>535</v>
      </c>
      <c r="B343" s="14" t="s">
        <v>325</v>
      </c>
      <c r="C343" s="25">
        <f>VLOOKUP(B343,'Consensus Phospho site'!B:G,6,FALSE)</f>
        <v>1.6273950544320925E-4</v>
      </c>
      <c r="D343" s="17" t="e">
        <v>#N/A</v>
      </c>
      <c r="E343" s="8" t="e">
        <v>#N/A</v>
      </c>
      <c r="F343" s="8">
        <v>0.5</v>
      </c>
      <c r="G343" s="8">
        <v>0.5</v>
      </c>
      <c r="H343" s="8">
        <f t="shared" si="30"/>
        <v>0.25</v>
      </c>
      <c r="I343" s="26">
        <f t="shared" si="31"/>
        <v>4.0684876360802312E-5</v>
      </c>
      <c r="J343" s="26">
        <f t="shared" si="32"/>
        <v>0.26455000385435651</v>
      </c>
      <c r="K343" s="26">
        <f t="shared" si="33"/>
        <v>1.5378898419219332E-4</v>
      </c>
      <c r="L343" s="27">
        <f t="shared" si="34"/>
        <v>1.9480081859916416E-3</v>
      </c>
      <c r="M343" s="27">
        <f t="shared" si="35"/>
        <v>7.6126901302180414</v>
      </c>
      <c r="N343" s="27"/>
      <c r="O343" s="27"/>
      <c r="P343"/>
    </row>
    <row r="344" spans="1:16" ht="15">
      <c r="A344" s="17" t="s">
        <v>535</v>
      </c>
      <c r="B344" s="14" t="s">
        <v>326</v>
      </c>
      <c r="C344" s="25">
        <f>VLOOKUP(B344,'Consensus Phospho site'!B:G,6,FALSE)</f>
        <v>1.6273950544320925E-4</v>
      </c>
      <c r="D344" s="17" t="e">
        <v>#N/A</v>
      </c>
      <c r="E344" s="8" t="e">
        <v>#N/A</v>
      </c>
      <c r="F344" s="8">
        <v>0.5</v>
      </c>
      <c r="G344" s="8">
        <v>0.5</v>
      </c>
      <c r="H344" s="8">
        <f t="shared" si="30"/>
        <v>0.25</v>
      </c>
      <c r="I344" s="26">
        <f t="shared" si="31"/>
        <v>4.0684876360802312E-5</v>
      </c>
      <c r="J344" s="26">
        <f t="shared" si="32"/>
        <v>0.26455000385435651</v>
      </c>
      <c r="K344" s="26">
        <f t="shared" si="33"/>
        <v>1.5378898419219332E-4</v>
      </c>
      <c r="L344" s="27">
        <f t="shared" si="34"/>
        <v>1.9480081859916416E-3</v>
      </c>
      <c r="M344" s="27">
        <f t="shared" si="35"/>
        <v>7.6126901302180414</v>
      </c>
      <c r="N344" s="27"/>
      <c r="O344" s="27"/>
      <c r="P344"/>
    </row>
    <row r="345" spans="1:16" ht="15">
      <c r="A345" s="17" t="s">
        <v>534</v>
      </c>
      <c r="B345" s="14" t="s">
        <v>57</v>
      </c>
      <c r="C345" s="25">
        <f>VLOOKUP(B345,'Consensus Phospho site'!B:G,6,FALSE)</f>
        <v>1.6273950544320925E-4</v>
      </c>
      <c r="D345" s="17" t="e">
        <v>#N/A</v>
      </c>
      <c r="E345" s="8" t="e">
        <v>#N/A</v>
      </c>
      <c r="F345" s="8">
        <v>0.5</v>
      </c>
      <c r="G345" s="8">
        <v>0.5</v>
      </c>
      <c r="H345" s="8">
        <f t="shared" si="30"/>
        <v>0.25</v>
      </c>
      <c r="I345" s="26">
        <f t="shared" si="31"/>
        <v>4.0684876360802312E-5</v>
      </c>
      <c r="J345" s="26">
        <f t="shared" si="32"/>
        <v>0.26455000385435651</v>
      </c>
      <c r="K345" s="26">
        <f t="shared" si="33"/>
        <v>1.5378898419219332E-4</v>
      </c>
      <c r="L345" s="27">
        <f t="shared" si="34"/>
        <v>1.9480081859916416E-3</v>
      </c>
      <c r="M345" s="27">
        <f t="shared" si="35"/>
        <v>7.6126901302180414</v>
      </c>
      <c r="N345" s="27"/>
      <c r="O345" s="27"/>
      <c r="P345"/>
    </row>
    <row r="346" spans="1:16" ht="15">
      <c r="A346" s="17" t="s">
        <v>534</v>
      </c>
      <c r="B346" s="14" t="s">
        <v>70</v>
      </c>
      <c r="C346" s="25">
        <f>VLOOKUP(B346,'Consensus Phospho site'!B:G,6,FALSE)</f>
        <v>1.6273950544320925E-4</v>
      </c>
      <c r="D346" s="17" t="e">
        <v>#N/A</v>
      </c>
      <c r="E346" s="8" t="e">
        <v>#N/A</v>
      </c>
      <c r="F346" s="8">
        <v>0.5</v>
      </c>
      <c r="G346" s="8">
        <v>0.5</v>
      </c>
      <c r="H346" s="8">
        <f t="shared" si="30"/>
        <v>0.25</v>
      </c>
      <c r="I346" s="26">
        <f t="shared" si="31"/>
        <v>4.0684876360802312E-5</v>
      </c>
      <c r="J346" s="26">
        <f t="shared" si="32"/>
        <v>0.26455000385435651</v>
      </c>
      <c r="K346" s="26">
        <f t="shared" si="33"/>
        <v>1.5378898419219332E-4</v>
      </c>
      <c r="L346" s="27">
        <f t="shared" si="34"/>
        <v>1.9480081859916416E-3</v>
      </c>
      <c r="M346" s="27">
        <f t="shared" si="35"/>
        <v>7.6126901302180414</v>
      </c>
      <c r="N346" s="27"/>
      <c r="O346" s="27"/>
      <c r="P346"/>
    </row>
    <row r="347" spans="1:16" ht="15">
      <c r="A347" s="17" t="s">
        <v>524</v>
      </c>
      <c r="B347" s="14" t="s">
        <v>8</v>
      </c>
      <c r="C347" s="25">
        <f>VLOOKUP(B347,'Consensus Phospho site'!B:G,6,FALSE)</f>
        <v>1.6273950544320925E-4</v>
      </c>
      <c r="D347" s="17" t="e">
        <v>#N/A</v>
      </c>
      <c r="E347" s="8" t="e">
        <v>#N/A</v>
      </c>
      <c r="F347" s="8">
        <v>0.5</v>
      </c>
      <c r="G347" s="8">
        <v>0.5</v>
      </c>
      <c r="H347" s="8">
        <f t="shared" si="30"/>
        <v>0.25</v>
      </c>
      <c r="I347" s="26">
        <f t="shared" si="31"/>
        <v>4.0684876360802312E-5</v>
      </c>
      <c r="J347" s="26">
        <f t="shared" si="32"/>
        <v>0.26455000385435651</v>
      </c>
      <c r="K347" s="26">
        <f t="shared" si="33"/>
        <v>1.5378898419219332E-4</v>
      </c>
      <c r="L347" s="27">
        <f t="shared" si="34"/>
        <v>1.9480081859916416E-3</v>
      </c>
      <c r="M347" s="27">
        <f t="shared" si="35"/>
        <v>7.6126901302180414</v>
      </c>
      <c r="N347" s="27"/>
      <c r="O347" s="27"/>
      <c r="P347"/>
    </row>
    <row r="348" spans="1:16" ht="15">
      <c r="A348" s="17" t="s">
        <v>534</v>
      </c>
      <c r="B348" s="14" t="s">
        <v>75</v>
      </c>
      <c r="C348" s="25">
        <f>VLOOKUP(B348,'Consensus Phospho site'!B:G,6,FALSE)</f>
        <v>1.6273950544320925E-4</v>
      </c>
      <c r="D348" s="17" t="e">
        <v>#N/A</v>
      </c>
      <c r="E348" s="8" t="e">
        <v>#N/A</v>
      </c>
      <c r="F348" s="8">
        <v>0.5</v>
      </c>
      <c r="G348" s="8">
        <v>0.5</v>
      </c>
      <c r="H348" s="8">
        <f t="shared" si="30"/>
        <v>0.25</v>
      </c>
      <c r="I348" s="26">
        <f t="shared" si="31"/>
        <v>4.0684876360802312E-5</v>
      </c>
      <c r="J348" s="26">
        <f t="shared" si="32"/>
        <v>0.26455000385435651</v>
      </c>
      <c r="K348" s="26">
        <f t="shared" si="33"/>
        <v>1.5378898419219332E-4</v>
      </c>
      <c r="L348" s="27">
        <f t="shared" si="34"/>
        <v>1.9480081859916416E-3</v>
      </c>
      <c r="M348" s="27">
        <f t="shared" si="35"/>
        <v>7.6126901302180414</v>
      </c>
      <c r="N348" s="27"/>
      <c r="O348" s="27"/>
      <c r="P348"/>
    </row>
    <row r="349" spans="1:16" ht="15">
      <c r="A349" s="17" t="s">
        <v>534</v>
      </c>
      <c r="B349" s="14" t="s">
        <v>76</v>
      </c>
      <c r="C349" s="25">
        <f>VLOOKUP(B349,'Consensus Phospho site'!B:G,6,FALSE)</f>
        <v>1.6273950544320925E-4</v>
      </c>
      <c r="D349" s="17" t="e">
        <v>#N/A</v>
      </c>
      <c r="E349" s="8" t="e">
        <v>#N/A</v>
      </c>
      <c r="F349" s="8">
        <v>0.5</v>
      </c>
      <c r="G349" s="8">
        <v>0.5</v>
      </c>
      <c r="H349" s="8">
        <f t="shared" si="30"/>
        <v>0.25</v>
      </c>
      <c r="I349" s="26">
        <f t="shared" si="31"/>
        <v>4.0684876360802312E-5</v>
      </c>
      <c r="J349" s="26">
        <f t="shared" si="32"/>
        <v>0.26455000385435651</v>
      </c>
      <c r="K349" s="26">
        <f t="shared" si="33"/>
        <v>1.5378898419219332E-4</v>
      </c>
      <c r="L349" s="27">
        <f t="shared" si="34"/>
        <v>1.9480081859916416E-3</v>
      </c>
      <c r="M349" s="27">
        <f t="shared" si="35"/>
        <v>7.6126901302180414</v>
      </c>
      <c r="N349" s="27"/>
      <c r="O349" s="27"/>
      <c r="P349"/>
    </row>
    <row r="350" spans="1:16" ht="15">
      <c r="A350" s="17" t="s">
        <v>535</v>
      </c>
      <c r="B350" s="14" t="s">
        <v>333</v>
      </c>
      <c r="C350" s="25">
        <f>VLOOKUP(B350,'Consensus Phospho site'!B:G,6,FALSE)</f>
        <v>1.6273950544320925E-4</v>
      </c>
      <c r="D350" s="17" t="e">
        <v>#N/A</v>
      </c>
      <c r="E350" s="8" t="e">
        <v>#N/A</v>
      </c>
      <c r="F350" s="8">
        <v>0.5</v>
      </c>
      <c r="G350" s="8">
        <v>0.5</v>
      </c>
      <c r="H350" s="8">
        <f t="shared" si="30"/>
        <v>0.25</v>
      </c>
      <c r="I350" s="26">
        <f t="shared" si="31"/>
        <v>4.0684876360802312E-5</v>
      </c>
      <c r="J350" s="26">
        <f t="shared" si="32"/>
        <v>0.26455000385435651</v>
      </c>
      <c r="K350" s="26">
        <f t="shared" si="33"/>
        <v>1.5378898419219332E-4</v>
      </c>
      <c r="L350" s="27">
        <f t="shared" si="34"/>
        <v>1.9480081859916416E-3</v>
      </c>
      <c r="M350" s="27">
        <f t="shared" si="35"/>
        <v>7.6126901302180414</v>
      </c>
      <c r="N350" s="27"/>
      <c r="O350" s="27"/>
      <c r="P350"/>
    </row>
    <row r="351" spans="1:16" ht="15">
      <c r="A351" s="17" t="s">
        <v>535</v>
      </c>
      <c r="B351" s="14" t="s">
        <v>335</v>
      </c>
      <c r="C351" s="25">
        <f>VLOOKUP(B351,'Consensus Phospho site'!B:G,6,FALSE)</f>
        <v>1.6273950544320925E-4</v>
      </c>
      <c r="D351" s="17" t="e">
        <v>#N/A</v>
      </c>
      <c r="E351" s="8" t="e">
        <v>#N/A</v>
      </c>
      <c r="F351" s="8">
        <v>0.5</v>
      </c>
      <c r="G351" s="8">
        <v>0.5</v>
      </c>
      <c r="H351" s="8">
        <f t="shared" si="30"/>
        <v>0.25</v>
      </c>
      <c r="I351" s="26">
        <f t="shared" si="31"/>
        <v>4.0684876360802312E-5</v>
      </c>
      <c r="J351" s="26">
        <f t="shared" si="32"/>
        <v>0.26455000385435651</v>
      </c>
      <c r="K351" s="26">
        <f t="shared" si="33"/>
        <v>1.5378898419219332E-4</v>
      </c>
      <c r="L351" s="27">
        <f t="shared" si="34"/>
        <v>1.9480081859916416E-3</v>
      </c>
      <c r="M351" s="27">
        <f t="shared" si="35"/>
        <v>7.6126901302180414</v>
      </c>
      <c r="N351" s="27"/>
      <c r="O351" s="27"/>
      <c r="P351"/>
    </row>
    <row r="352" spans="1:16" ht="15">
      <c r="A352" s="17" t="s">
        <v>535</v>
      </c>
      <c r="B352" s="14" t="s">
        <v>336</v>
      </c>
      <c r="C352" s="25">
        <f>VLOOKUP(B352,'Consensus Phospho site'!B:G,6,FALSE)</f>
        <v>1.6273950544320925E-4</v>
      </c>
      <c r="D352" s="17" t="e">
        <v>#N/A</v>
      </c>
      <c r="E352" s="8" t="e">
        <v>#N/A</v>
      </c>
      <c r="F352" s="8">
        <v>0.5</v>
      </c>
      <c r="G352" s="8">
        <v>0.5</v>
      </c>
      <c r="H352" s="8">
        <f t="shared" si="30"/>
        <v>0.25</v>
      </c>
      <c r="I352" s="26">
        <f t="shared" si="31"/>
        <v>4.0684876360802312E-5</v>
      </c>
      <c r="J352" s="26">
        <f t="shared" si="32"/>
        <v>0.26455000385435651</v>
      </c>
      <c r="K352" s="26">
        <f t="shared" si="33"/>
        <v>1.5378898419219332E-4</v>
      </c>
      <c r="L352" s="27">
        <f t="shared" si="34"/>
        <v>1.9480081859916416E-3</v>
      </c>
      <c r="M352" s="27">
        <f t="shared" si="35"/>
        <v>7.6126901302180414</v>
      </c>
      <c r="N352" s="27"/>
      <c r="O352" s="27"/>
      <c r="P352"/>
    </row>
    <row r="353" spans="1:16" ht="15">
      <c r="A353" s="17" t="s">
        <v>535</v>
      </c>
      <c r="B353" s="14" t="s">
        <v>337</v>
      </c>
      <c r="C353" s="25">
        <f>VLOOKUP(B353,'Consensus Phospho site'!B:G,6,FALSE)</f>
        <v>1.6273950544320925E-4</v>
      </c>
      <c r="D353" s="17" t="e">
        <v>#N/A</v>
      </c>
      <c r="E353" s="8" t="e">
        <v>#N/A</v>
      </c>
      <c r="F353" s="8">
        <v>0.5</v>
      </c>
      <c r="G353" s="8">
        <v>0.5</v>
      </c>
      <c r="H353" s="8">
        <f t="shared" si="30"/>
        <v>0.25</v>
      </c>
      <c r="I353" s="26">
        <f t="shared" si="31"/>
        <v>4.0684876360802312E-5</v>
      </c>
      <c r="J353" s="26">
        <f t="shared" si="32"/>
        <v>0.26455000385435651</v>
      </c>
      <c r="K353" s="26">
        <f t="shared" si="33"/>
        <v>1.5378898419219332E-4</v>
      </c>
      <c r="L353" s="27">
        <f t="shared" si="34"/>
        <v>1.9480081859916416E-3</v>
      </c>
      <c r="M353" s="27">
        <f t="shared" si="35"/>
        <v>7.6126901302180414</v>
      </c>
      <c r="N353" s="27"/>
      <c r="O353" s="27"/>
      <c r="P353"/>
    </row>
    <row r="354" spans="1:16" ht="15">
      <c r="A354" s="17" t="s">
        <v>535</v>
      </c>
      <c r="B354" s="14" t="s">
        <v>339</v>
      </c>
      <c r="C354" s="25">
        <f>VLOOKUP(B354,'Consensus Phospho site'!B:G,6,FALSE)</f>
        <v>1.6273950544320925E-4</v>
      </c>
      <c r="D354" s="17" t="e">
        <v>#N/A</v>
      </c>
      <c r="E354" s="8" t="e">
        <v>#N/A</v>
      </c>
      <c r="F354" s="8">
        <v>0.5</v>
      </c>
      <c r="G354" s="8">
        <v>0.5</v>
      </c>
      <c r="H354" s="8">
        <f t="shared" si="30"/>
        <v>0.25</v>
      </c>
      <c r="I354" s="26">
        <f t="shared" si="31"/>
        <v>4.0684876360802312E-5</v>
      </c>
      <c r="J354" s="26">
        <f t="shared" si="32"/>
        <v>0.26455000385435651</v>
      </c>
      <c r="K354" s="26">
        <f t="shared" si="33"/>
        <v>1.5378898419219332E-4</v>
      </c>
      <c r="L354" s="27">
        <f t="shared" si="34"/>
        <v>1.9480081859916416E-3</v>
      </c>
      <c r="M354" s="27">
        <f t="shared" si="35"/>
        <v>7.6126901302180414</v>
      </c>
      <c r="N354" s="27"/>
      <c r="O354" s="27"/>
      <c r="P354"/>
    </row>
    <row r="355" spans="1:16" ht="15">
      <c r="A355" s="17" t="s">
        <v>535</v>
      </c>
      <c r="B355" s="14" t="s">
        <v>340</v>
      </c>
      <c r="C355" s="25">
        <f>VLOOKUP(B355,'Consensus Phospho site'!B:G,6,FALSE)</f>
        <v>1.6273950544320925E-4</v>
      </c>
      <c r="D355" s="17" t="e">
        <v>#N/A</v>
      </c>
      <c r="E355" s="8" t="e">
        <v>#N/A</v>
      </c>
      <c r="F355" s="8">
        <v>0.5</v>
      </c>
      <c r="G355" s="8">
        <v>0.5</v>
      </c>
      <c r="H355" s="8">
        <f t="shared" si="30"/>
        <v>0.25</v>
      </c>
      <c r="I355" s="26">
        <f t="shared" si="31"/>
        <v>4.0684876360802312E-5</v>
      </c>
      <c r="J355" s="26">
        <f t="shared" si="32"/>
        <v>0.26455000385435651</v>
      </c>
      <c r="K355" s="26">
        <f t="shared" si="33"/>
        <v>1.5378898419219332E-4</v>
      </c>
      <c r="L355" s="27">
        <f t="shared" si="34"/>
        <v>1.9480081859916416E-3</v>
      </c>
      <c r="M355" s="27">
        <f t="shared" si="35"/>
        <v>7.6126901302180414</v>
      </c>
      <c r="N355" s="27"/>
      <c r="O355" s="27"/>
      <c r="P355"/>
    </row>
    <row r="356" spans="1:16" ht="15">
      <c r="A356" s="17" t="s">
        <v>535</v>
      </c>
      <c r="B356" s="14" t="s">
        <v>342</v>
      </c>
      <c r="C356" s="25">
        <f>VLOOKUP(B356,'Consensus Phospho site'!B:G,6,FALSE)</f>
        <v>1.6273950544320925E-4</v>
      </c>
      <c r="D356" s="17" t="e">
        <v>#N/A</v>
      </c>
      <c r="E356" s="8" t="e">
        <v>#N/A</v>
      </c>
      <c r="F356" s="8">
        <v>0.5</v>
      </c>
      <c r="G356" s="8">
        <v>0.5</v>
      </c>
      <c r="H356" s="8">
        <f t="shared" si="30"/>
        <v>0.25</v>
      </c>
      <c r="I356" s="26">
        <f t="shared" si="31"/>
        <v>4.0684876360802312E-5</v>
      </c>
      <c r="J356" s="26">
        <f t="shared" si="32"/>
        <v>0.26455000385435651</v>
      </c>
      <c r="K356" s="26">
        <f t="shared" si="33"/>
        <v>1.5378898419219332E-4</v>
      </c>
      <c r="L356" s="27">
        <f t="shared" si="34"/>
        <v>1.9480081859916416E-3</v>
      </c>
      <c r="M356" s="27">
        <f t="shared" si="35"/>
        <v>7.6126901302180414</v>
      </c>
      <c r="N356" s="27"/>
      <c r="O356" s="27"/>
      <c r="P356"/>
    </row>
    <row r="357" spans="1:16" ht="15">
      <c r="A357" s="17" t="s">
        <v>535</v>
      </c>
      <c r="B357" s="14" t="s">
        <v>343</v>
      </c>
      <c r="C357" s="25">
        <f>VLOOKUP(B357,'Consensus Phospho site'!B:G,6,FALSE)</f>
        <v>1.6273950544320925E-4</v>
      </c>
      <c r="D357" s="17" t="e">
        <v>#N/A</v>
      </c>
      <c r="E357" s="8" t="e">
        <v>#N/A</v>
      </c>
      <c r="F357" s="8">
        <v>0.5</v>
      </c>
      <c r="G357" s="8">
        <v>0.5</v>
      </c>
      <c r="H357" s="8">
        <f t="shared" si="30"/>
        <v>0.25</v>
      </c>
      <c r="I357" s="26">
        <f t="shared" si="31"/>
        <v>4.0684876360802312E-5</v>
      </c>
      <c r="J357" s="26">
        <f t="shared" si="32"/>
        <v>0.26455000385435651</v>
      </c>
      <c r="K357" s="26">
        <f t="shared" si="33"/>
        <v>1.5378898419219332E-4</v>
      </c>
      <c r="L357" s="27">
        <f t="shared" si="34"/>
        <v>1.9480081859916416E-3</v>
      </c>
      <c r="M357" s="27">
        <f t="shared" si="35"/>
        <v>7.6126901302180414</v>
      </c>
      <c r="N357" s="27"/>
      <c r="O357" s="27"/>
      <c r="P357"/>
    </row>
    <row r="358" spans="1:16" ht="15">
      <c r="A358" s="17" t="s">
        <v>535</v>
      </c>
      <c r="B358" s="14" t="s">
        <v>344</v>
      </c>
      <c r="C358" s="25">
        <f>VLOOKUP(B358,'Consensus Phospho site'!B:G,6,FALSE)</f>
        <v>1.6273950544320925E-4</v>
      </c>
      <c r="D358" s="17" t="e">
        <v>#N/A</v>
      </c>
      <c r="E358" s="8" t="e">
        <v>#N/A</v>
      </c>
      <c r="F358" s="8">
        <v>0.5</v>
      </c>
      <c r="G358" s="8">
        <v>0.5</v>
      </c>
      <c r="H358" s="8">
        <f t="shared" si="30"/>
        <v>0.25</v>
      </c>
      <c r="I358" s="26">
        <f t="shared" si="31"/>
        <v>4.0684876360802312E-5</v>
      </c>
      <c r="J358" s="26">
        <f t="shared" si="32"/>
        <v>0.26455000385435651</v>
      </c>
      <c r="K358" s="26">
        <f t="shared" si="33"/>
        <v>1.5378898419219332E-4</v>
      </c>
      <c r="L358" s="27">
        <f t="shared" si="34"/>
        <v>1.9480081859916416E-3</v>
      </c>
      <c r="M358" s="27">
        <f t="shared" si="35"/>
        <v>7.6126901302180414</v>
      </c>
      <c r="N358" s="27"/>
      <c r="O358" s="27"/>
      <c r="P358"/>
    </row>
    <row r="359" spans="1:16" ht="15">
      <c r="A359" s="17" t="s">
        <v>535</v>
      </c>
      <c r="B359" s="14" t="s">
        <v>345</v>
      </c>
      <c r="C359" s="25">
        <f>VLOOKUP(B359,'Consensus Phospho site'!B:G,6,FALSE)</f>
        <v>1.6273950544320925E-4</v>
      </c>
      <c r="D359" s="17" t="e">
        <v>#N/A</v>
      </c>
      <c r="E359" s="8" t="e">
        <v>#N/A</v>
      </c>
      <c r="F359" s="8">
        <v>0.5</v>
      </c>
      <c r="G359" s="8">
        <v>0.5</v>
      </c>
      <c r="H359" s="8">
        <f t="shared" si="30"/>
        <v>0.25</v>
      </c>
      <c r="I359" s="26">
        <f t="shared" si="31"/>
        <v>4.0684876360802312E-5</v>
      </c>
      <c r="J359" s="26">
        <f t="shared" si="32"/>
        <v>0.26455000385435651</v>
      </c>
      <c r="K359" s="26">
        <f t="shared" si="33"/>
        <v>1.5378898419219332E-4</v>
      </c>
      <c r="L359" s="27">
        <f t="shared" si="34"/>
        <v>1.9480081859916416E-3</v>
      </c>
      <c r="M359" s="27">
        <f t="shared" si="35"/>
        <v>7.6126901302180414</v>
      </c>
      <c r="N359" s="27"/>
      <c r="O359" s="27"/>
      <c r="P359"/>
    </row>
    <row r="360" spans="1:16" ht="15">
      <c r="A360" s="17" t="s">
        <v>535</v>
      </c>
      <c r="B360" s="14" t="s">
        <v>346</v>
      </c>
      <c r="C360" s="25">
        <f>VLOOKUP(B360,'Consensus Phospho site'!B:G,6,FALSE)</f>
        <v>1.6273950544320925E-4</v>
      </c>
      <c r="D360" s="17" t="e">
        <v>#N/A</v>
      </c>
      <c r="E360" s="8" t="e">
        <v>#N/A</v>
      </c>
      <c r="F360" s="8">
        <v>0.5</v>
      </c>
      <c r="G360" s="8">
        <v>0.5</v>
      </c>
      <c r="H360" s="8">
        <f t="shared" si="30"/>
        <v>0.25</v>
      </c>
      <c r="I360" s="26">
        <f t="shared" si="31"/>
        <v>4.0684876360802312E-5</v>
      </c>
      <c r="J360" s="26">
        <f t="shared" si="32"/>
        <v>0.26455000385435651</v>
      </c>
      <c r="K360" s="26">
        <f t="shared" si="33"/>
        <v>1.5378898419219332E-4</v>
      </c>
      <c r="L360" s="27">
        <f t="shared" si="34"/>
        <v>1.9480081859916416E-3</v>
      </c>
      <c r="M360" s="27">
        <f t="shared" si="35"/>
        <v>7.6126901302180414</v>
      </c>
      <c r="N360" s="27"/>
      <c r="O360" s="27"/>
      <c r="P360"/>
    </row>
    <row r="361" spans="1:16" ht="15">
      <c r="A361" s="17" t="s">
        <v>535</v>
      </c>
      <c r="B361" s="14" t="s">
        <v>349</v>
      </c>
      <c r="C361" s="25">
        <f>VLOOKUP(B361,'Consensus Phospho site'!B:G,6,FALSE)</f>
        <v>1.6273950544320925E-4</v>
      </c>
      <c r="D361" s="17" t="e">
        <v>#N/A</v>
      </c>
      <c r="E361" s="8" t="e">
        <v>#N/A</v>
      </c>
      <c r="F361" s="8">
        <v>0.5</v>
      </c>
      <c r="G361" s="8">
        <v>0.5</v>
      </c>
      <c r="H361" s="8">
        <f t="shared" si="30"/>
        <v>0.25</v>
      </c>
      <c r="I361" s="26">
        <f t="shared" si="31"/>
        <v>4.0684876360802312E-5</v>
      </c>
      <c r="J361" s="26">
        <f t="shared" si="32"/>
        <v>0.26455000385435651</v>
      </c>
      <c r="K361" s="26">
        <f t="shared" si="33"/>
        <v>1.5378898419219332E-4</v>
      </c>
      <c r="L361" s="27">
        <f t="shared" si="34"/>
        <v>1.9480081859916416E-3</v>
      </c>
      <c r="M361" s="27">
        <f t="shared" si="35"/>
        <v>7.6126901302180414</v>
      </c>
      <c r="N361" s="27"/>
      <c r="O361" s="27"/>
      <c r="P361"/>
    </row>
    <row r="362" spans="1:16" ht="15">
      <c r="A362" s="17" t="s">
        <v>535</v>
      </c>
      <c r="B362" s="14" t="s">
        <v>352</v>
      </c>
      <c r="C362" s="25">
        <f>VLOOKUP(B362,'Consensus Phospho site'!B:G,6,FALSE)</f>
        <v>1.6273950544320925E-4</v>
      </c>
      <c r="D362" s="17" t="e">
        <v>#N/A</v>
      </c>
      <c r="E362" s="8" t="e">
        <v>#N/A</v>
      </c>
      <c r="F362" s="8">
        <v>0.5</v>
      </c>
      <c r="G362" s="8">
        <v>0.5</v>
      </c>
      <c r="H362" s="8">
        <f t="shared" si="30"/>
        <v>0.25</v>
      </c>
      <c r="I362" s="26">
        <f t="shared" si="31"/>
        <v>4.0684876360802312E-5</v>
      </c>
      <c r="J362" s="26">
        <f t="shared" si="32"/>
        <v>0.26455000385435651</v>
      </c>
      <c r="K362" s="26">
        <f t="shared" si="33"/>
        <v>1.5378898419219332E-4</v>
      </c>
      <c r="L362" s="27">
        <f t="shared" si="34"/>
        <v>1.9480081859916416E-3</v>
      </c>
      <c r="M362" s="27">
        <f t="shared" si="35"/>
        <v>7.6126901302180414</v>
      </c>
      <c r="N362" s="27"/>
      <c r="O362" s="27"/>
      <c r="P362"/>
    </row>
    <row r="363" spans="1:16" ht="15">
      <c r="A363" s="17" t="s">
        <v>535</v>
      </c>
      <c r="B363" s="14" t="s">
        <v>354</v>
      </c>
      <c r="C363" s="25">
        <f>VLOOKUP(B363,'Consensus Phospho site'!B:G,6,FALSE)</f>
        <v>1.6273950544320925E-4</v>
      </c>
      <c r="D363" s="17" t="e">
        <v>#N/A</v>
      </c>
      <c r="E363" s="8" t="e">
        <v>#N/A</v>
      </c>
      <c r="F363" s="8">
        <v>0.5</v>
      </c>
      <c r="G363" s="8">
        <v>0.5</v>
      </c>
      <c r="H363" s="8">
        <f t="shared" si="30"/>
        <v>0.25</v>
      </c>
      <c r="I363" s="26">
        <f t="shared" si="31"/>
        <v>4.0684876360802312E-5</v>
      </c>
      <c r="J363" s="26">
        <f t="shared" si="32"/>
        <v>0.26455000385435651</v>
      </c>
      <c r="K363" s="26">
        <f t="shared" si="33"/>
        <v>1.5378898419219332E-4</v>
      </c>
      <c r="L363" s="27">
        <f t="shared" si="34"/>
        <v>1.9480081859916416E-3</v>
      </c>
      <c r="M363" s="27">
        <f t="shared" si="35"/>
        <v>7.6126901302180414</v>
      </c>
      <c r="N363" s="27"/>
      <c r="O363" s="27"/>
      <c r="P363"/>
    </row>
    <row r="364" spans="1:16" ht="15">
      <c r="A364" s="17" t="s">
        <v>535</v>
      </c>
      <c r="B364" s="14" t="s">
        <v>355</v>
      </c>
      <c r="C364" s="25">
        <f>VLOOKUP(B364,'Consensus Phospho site'!B:G,6,FALSE)</f>
        <v>1.6273950544320925E-4</v>
      </c>
      <c r="D364" s="17" t="e">
        <v>#N/A</v>
      </c>
      <c r="E364" s="8" t="e">
        <v>#N/A</v>
      </c>
      <c r="F364" s="8">
        <v>0.5</v>
      </c>
      <c r="G364" s="8">
        <v>0.5</v>
      </c>
      <c r="H364" s="8">
        <f t="shared" si="30"/>
        <v>0.25</v>
      </c>
      <c r="I364" s="26">
        <f t="shared" si="31"/>
        <v>4.0684876360802312E-5</v>
      </c>
      <c r="J364" s="26">
        <f t="shared" si="32"/>
        <v>0.26455000385435651</v>
      </c>
      <c r="K364" s="26">
        <f t="shared" si="33"/>
        <v>1.5378898419219332E-4</v>
      </c>
      <c r="L364" s="27">
        <f t="shared" si="34"/>
        <v>1.9480081859916416E-3</v>
      </c>
      <c r="M364" s="27">
        <f t="shared" si="35"/>
        <v>7.6126901302180414</v>
      </c>
      <c r="N364" s="27"/>
      <c r="O364" s="27"/>
      <c r="P364"/>
    </row>
    <row r="365" spans="1:16" ht="15">
      <c r="A365" s="17" t="s">
        <v>535</v>
      </c>
      <c r="B365" s="14" t="s">
        <v>356</v>
      </c>
      <c r="C365" s="25">
        <f>VLOOKUP(B365,'Consensus Phospho site'!B:G,6,FALSE)</f>
        <v>1.6273950544320925E-4</v>
      </c>
      <c r="D365" s="17" t="e">
        <v>#N/A</v>
      </c>
      <c r="E365" s="8" t="e">
        <v>#N/A</v>
      </c>
      <c r="F365" s="8">
        <v>0.5</v>
      </c>
      <c r="G365" s="8">
        <v>0.5</v>
      </c>
      <c r="H365" s="8">
        <f t="shared" si="30"/>
        <v>0.25</v>
      </c>
      <c r="I365" s="26">
        <f t="shared" si="31"/>
        <v>4.0684876360802312E-5</v>
      </c>
      <c r="J365" s="26">
        <f t="shared" si="32"/>
        <v>0.26455000385435651</v>
      </c>
      <c r="K365" s="26">
        <f t="shared" si="33"/>
        <v>1.5378898419219332E-4</v>
      </c>
      <c r="L365" s="27">
        <f t="shared" si="34"/>
        <v>1.9480081859916416E-3</v>
      </c>
      <c r="M365" s="27">
        <f t="shared" si="35"/>
        <v>7.6126901302180414</v>
      </c>
      <c r="N365" s="27"/>
      <c r="O365" s="27"/>
      <c r="P365"/>
    </row>
    <row r="366" spans="1:16" ht="15">
      <c r="A366" s="17" t="s">
        <v>535</v>
      </c>
      <c r="B366" s="14" t="s">
        <v>357</v>
      </c>
      <c r="C366" s="25">
        <f>VLOOKUP(B366,'Consensus Phospho site'!B:G,6,FALSE)</f>
        <v>1.6273950544320925E-4</v>
      </c>
      <c r="D366" s="17" t="e">
        <v>#N/A</v>
      </c>
      <c r="E366" s="8" t="e">
        <v>#N/A</v>
      </c>
      <c r="F366" s="8">
        <v>0.5</v>
      </c>
      <c r="G366" s="8">
        <v>0.5</v>
      </c>
      <c r="H366" s="8">
        <f t="shared" si="30"/>
        <v>0.25</v>
      </c>
      <c r="I366" s="26">
        <f t="shared" si="31"/>
        <v>4.0684876360802312E-5</v>
      </c>
      <c r="J366" s="26">
        <f t="shared" si="32"/>
        <v>0.26455000385435651</v>
      </c>
      <c r="K366" s="26">
        <f t="shared" si="33"/>
        <v>1.5378898419219332E-4</v>
      </c>
      <c r="L366" s="27">
        <f t="shared" si="34"/>
        <v>1.9480081859916416E-3</v>
      </c>
      <c r="M366" s="27">
        <f t="shared" si="35"/>
        <v>7.6126901302180414</v>
      </c>
      <c r="N366" s="27"/>
      <c r="O366" s="27"/>
      <c r="P366"/>
    </row>
    <row r="367" spans="1:16" ht="15">
      <c r="A367" s="17" t="s">
        <v>535</v>
      </c>
      <c r="B367" s="14" t="s">
        <v>358</v>
      </c>
      <c r="C367" s="25">
        <f>VLOOKUP(B367,'Consensus Phospho site'!B:G,6,FALSE)</f>
        <v>1.6273950544320925E-4</v>
      </c>
      <c r="D367" s="17" t="e">
        <v>#N/A</v>
      </c>
      <c r="E367" s="8" t="e">
        <v>#N/A</v>
      </c>
      <c r="F367" s="8">
        <v>0.5</v>
      </c>
      <c r="G367" s="8">
        <v>0.5</v>
      </c>
      <c r="H367" s="8">
        <f t="shared" si="30"/>
        <v>0.25</v>
      </c>
      <c r="I367" s="26">
        <f t="shared" si="31"/>
        <v>4.0684876360802312E-5</v>
      </c>
      <c r="J367" s="26">
        <f t="shared" si="32"/>
        <v>0.26455000385435651</v>
      </c>
      <c r="K367" s="26">
        <f t="shared" si="33"/>
        <v>1.5378898419219332E-4</v>
      </c>
      <c r="L367" s="27">
        <f t="shared" si="34"/>
        <v>1.9480081859916416E-3</v>
      </c>
      <c r="M367" s="27">
        <f t="shared" si="35"/>
        <v>7.6126901302180414</v>
      </c>
      <c r="N367" s="27"/>
      <c r="O367" s="27"/>
      <c r="P367"/>
    </row>
    <row r="368" spans="1:16" ht="15">
      <c r="A368" s="17" t="s">
        <v>535</v>
      </c>
      <c r="B368" s="14" t="s">
        <v>359</v>
      </c>
      <c r="C368" s="25">
        <f>VLOOKUP(B368,'Consensus Phospho site'!B:G,6,FALSE)</f>
        <v>1.6273950544320925E-4</v>
      </c>
      <c r="D368" s="17" t="e">
        <v>#N/A</v>
      </c>
      <c r="E368" s="8" t="e">
        <v>#N/A</v>
      </c>
      <c r="F368" s="8">
        <v>0.5</v>
      </c>
      <c r="G368" s="8">
        <v>0.5</v>
      </c>
      <c r="H368" s="8">
        <f t="shared" si="30"/>
        <v>0.25</v>
      </c>
      <c r="I368" s="26">
        <f t="shared" si="31"/>
        <v>4.0684876360802312E-5</v>
      </c>
      <c r="J368" s="26">
        <f t="shared" si="32"/>
        <v>0.26455000385435651</v>
      </c>
      <c r="K368" s="26">
        <f t="shared" si="33"/>
        <v>1.5378898419219332E-4</v>
      </c>
      <c r="L368" s="27">
        <f t="shared" si="34"/>
        <v>1.9480081859916416E-3</v>
      </c>
      <c r="M368" s="27">
        <f t="shared" si="35"/>
        <v>7.6126901302180414</v>
      </c>
      <c r="N368" s="27"/>
      <c r="O368" s="27"/>
      <c r="P368"/>
    </row>
    <row r="369" spans="1:16" ht="15">
      <c r="A369" s="17" t="s">
        <v>535</v>
      </c>
      <c r="B369" s="14" t="s">
        <v>361</v>
      </c>
      <c r="C369" s="25">
        <f>VLOOKUP(B369,'Consensus Phospho site'!B:G,6,FALSE)</f>
        <v>1.6273950544320925E-4</v>
      </c>
      <c r="D369" s="17" t="e">
        <v>#N/A</v>
      </c>
      <c r="E369" s="8" t="e">
        <v>#N/A</v>
      </c>
      <c r="F369" s="8">
        <v>0.5</v>
      </c>
      <c r="G369" s="8">
        <v>0.5</v>
      </c>
      <c r="H369" s="8">
        <f t="shared" si="30"/>
        <v>0.25</v>
      </c>
      <c r="I369" s="26">
        <f t="shared" si="31"/>
        <v>4.0684876360802312E-5</v>
      </c>
      <c r="J369" s="26">
        <f t="shared" si="32"/>
        <v>0.26455000385435651</v>
      </c>
      <c r="K369" s="26">
        <f t="shared" si="33"/>
        <v>1.5378898419219332E-4</v>
      </c>
      <c r="L369" s="27">
        <f t="shared" si="34"/>
        <v>1.9480081859916416E-3</v>
      </c>
      <c r="M369" s="27">
        <f t="shared" si="35"/>
        <v>7.6126901302180414</v>
      </c>
      <c r="N369" s="27"/>
      <c r="O369" s="27"/>
      <c r="P369"/>
    </row>
    <row r="370" spans="1:16" ht="15">
      <c r="A370" s="17" t="s">
        <v>524</v>
      </c>
      <c r="B370" s="14" t="s">
        <v>12</v>
      </c>
      <c r="C370" s="25">
        <f>VLOOKUP(B370,'Consensus Phospho site'!B:G,6,FALSE)</f>
        <v>1.6273950544320925E-4</v>
      </c>
      <c r="D370" s="17" t="e">
        <v>#N/A</v>
      </c>
      <c r="E370" s="8" t="e">
        <v>#N/A</v>
      </c>
      <c r="F370" s="8">
        <v>0.5</v>
      </c>
      <c r="G370" s="8">
        <v>0.5</v>
      </c>
      <c r="H370" s="8">
        <f t="shared" si="30"/>
        <v>0.25</v>
      </c>
      <c r="I370" s="26">
        <f t="shared" si="31"/>
        <v>4.0684876360802312E-5</v>
      </c>
      <c r="J370" s="26">
        <f t="shared" si="32"/>
        <v>0.26455000385435651</v>
      </c>
      <c r="K370" s="26">
        <f t="shared" si="33"/>
        <v>1.5378898419219332E-4</v>
      </c>
      <c r="L370" s="27">
        <f t="shared" si="34"/>
        <v>1.9480081859916416E-3</v>
      </c>
      <c r="M370" s="27">
        <f t="shared" si="35"/>
        <v>7.6126901302180414</v>
      </c>
      <c r="N370" s="27"/>
      <c r="O370" s="27"/>
      <c r="P370"/>
    </row>
    <row r="371" spans="1:16">
      <c r="A371" s="17" t="s">
        <v>543</v>
      </c>
      <c r="B371" s="15" t="s">
        <v>224</v>
      </c>
      <c r="C371" s="25">
        <f>VLOOKUP(B371,'Consensus Phospho site'!B:G,6,FALSE)</f>
        <v>1.6273950544320925E-4</v>
      </c>
      <c r="D371" s="17" t="e">
        <v>#N/A</v>
      </c>
      <c r="E371" s="8" t="e">
        <v>#N/A</v>
      </c>
      <c r="F371" s="8">
        <v>0.5</v>
      </c>
      <c r="G371" s="8">
        <v>0.5</v>
      </c>
      <c r="H371" s="8">
        <f t="shared" si="30"/>
        <v>0.25</v>
      </c>
      <c r="I371" s="26">
        <f t="shared" si="31"/>
        <v>4.0684876360802312E-5</v>
      </c>
      <c r="J371" s="26">
        <f t="shared" si="32"/>
        <v>0.26455000385435651</v>
      </c>
      <c r="K371" s="26">
        <f t="shared" si="33"/>
        <v>1.5378898419219332E-4</v>
      </c>
      <c r="L371" s="27">
        <f t="shared" si="34"/>
        <v>1.9480081859916416E-3</v>
      </c>
      <c r="M371" s="27">
        <f t="shared" si="35"/>
        <v>7.6126901302180414</v>
      </c>
      <c r="N371" s="27"/>
      <c r="O371" s="27"/>
      <c r="P371"/>
    </row>
    <row r="372" spans="1:16" ht="15">
      <c r="A372" s="17" t="s">
        <v>543</v>
      </c>
      <c r="B372" s="14" t="s">
        <v>225</v>
      </c>
      <c r="C372" s="25">
        <f>VLOOKUP(B372,'Consensus Phospho site'!B:G,6,FALSE)</f>
        <v>1.6273950544320925E-4</v>
      </c>
      <c r="D372" s="17" t="e">
        <v>#N/A</v>
      </c>
      <c r="E372" s="8" t="e">
        <v>#N/A</v>
      </c>
      <c r="F372" s="8">
        <v>0.5</v>
      </c>
      <c r="G372" s="8">
        <v>0.5</v>
      </c>
      <c r="H372" s="8">
        <f t="shared" si="30"/>
        <v>0.25</v>
      </c>
      <c r="I372" s="26">
        <f t="shared" si="31"/>
        <v>4.0684876360802312E-5</v>
      </c>
      <c r="J372" s="26">
        <f t="shared" si="32"/>
        <v>0.26455000385435651</v>
      </c>
      <c r="K372" s="26">
        <f t="shared" si="33"/>
        <v>1.5378898419219332E-4</v>
      </c>
      <c r="L372" s="27">
        <f t="shared" si="34"/>
        <v>1.9480081859916416E-3</v>
      </c>
      <c r="M372" s="27">
        <f t="shared" si="35"/>
        <v>7.6126901302180414</v>
      </c>
      <c r="N372" s="27"/>
      <c r="O372" s="27"/>
      <c r="P372"/>
    </row>
    <row r="373" spans="1:16" ht="15">
      <c r="A373" s="17" t="s">
        <v>535</v>
      </c>
      <c r="B373" s="14" t="s">
        <v>364</v>
      </c>
      <c r="C373" s="25">
        <f>VLOOKUP(B373,'Consensus Phospho site'!B:G,6,FALSE)</f>
        <v>1.6273950544320925E-4</v>
      </c>
      <c r="D373" s="17" t="e">
        <v>#N/A</v>
      </c>
      <c r="E373" s="8" t="e">
        <v>#N/A</v>
      </c>
      <c r="F373" s="8">
        <v>0.5</v>
      </c>
      <c r="G373" s="8">
        <v>0.5</v>
      </c>
      <c r="H373" s="8">
        <f t="shared" si="30"/>
        <v>0.25</v>
      </c>
      <c r="I373" s="26">
        <f t="shared" si="31"/>
        <v>4.0684876360802312E-5</v>
      </c>
      <c r="J373" s="26">
        <f t="shared" si="32"/>
        <v>0.26455000385435651</v>
      </c>
      <c r="K373" s="26">
        <f t="shared" si="33"/>
        <v>1.5378898419219332E-4</v>
      </c>
      <c r="L373" s="27">
        <f t="shared" si="34"/>
        <v>1.9480081859916416E-3</v>
      </c>
      <c r="M373" s="27">
        <f t="shared" si="35"/>
        <v>7.6126901302180414</v>
      </c>
      <c r="N373" s="27"/>
      <c r="O373" s="27"/>
      <c r="P373"/>
    </row>
    <row r="374" spans="1:16" ht="15">
      <c r="A374" s="17" t="s">
        <v>535</v>
      </c>
      <c r="B374" s="14" t="s">
        <v>365</v>
      </c>
      <c r="C374" s="25">
        <f>VLOOKUP(B374,'Consensus Phospho site'!B:G,6,FALSE)</f>
        <v>1.6273950544320925E-4</v>
      </c>
      <c r="D374" s="17" t="e">
        <v>#N/A</v>
      </c>
      <c r="E374" s="8" t="e">
        <v>#N/A</v>
      </c>
      <c r="F374" s="8">
        <v>0.5</v>
      </c>
      <c r="G374" s="8">
        <v>0.5</v>
      </c>
      <c r="H374" s="8">
        <f t="shared" si="30"/>
        <v>0.25</v>
      </c>
      <c r="I374" s="26">
        <f t="shared" si="31"/>
        <v>4.0684876360802312E-5</v>
      </c>
      <c r="J374" s="26">
        <f t="shared" si="32"/>
        <v>0.26455000385435651</v>
      </c>
      <c r="K374" s="26">
        <f t="shared" si="33"/>
        <v>1.5378898419219332E-4</v>
      </c>
      <c r="L374" s="27">
        <f t="shared" si="34"/>
        <v>1.9480081859916416E-3</v>
      </c>
      <c r="M374" s="27">
        <f t="shared" si="35"/>
        <v>7.6126901302180414</v>
      </c>
      <c r="N374" s="27"/>
      <c r="O374" s="27"/>
      <c r="P374"/>
    </row>
    <row r="375" spans="1:16" ht="15">
      <c r="A375" s="17" t="s">
        <v>535</v>
      </c>
      <c r="B375" s="14" t="s">
        <v>366</v>
      </c>
      <c r="C375" s="25">
        <f>VLOOKUP(B375,'Consensus Phospho site'!B:G,6,FALSE)</f>
        <v>1.6273950544320925E-4</v>
      </c>
      <c r="D375" s="17" t="e">
        <v>#N/A</v>
      </c>
      <c r="E375" s="8" t="e">
        <v>#N/A</v>
      </c>
      <c r="F375" s="8">
        <v>0.5</v>
      </c>
      <c r="G375" s="8">
        <v>0.5</v>
      </c>
      <c r="H375" s="8">
        <f t="shared" si="30"/>
        <v>0.25</v>
      </c>
      <c r="I375" s="26">
        <f t="shared" si="31"/>
        <v>4.0684876360802312E-5</v>
      </c>
      <c r="J375" s="26">
        <f t="shared" si="32"/>
        <v>0.26455000385435651</v>
      </c>
      <c r="K375" s="26">
        <f t="shared" si="33"/>
        <v>1.5378898419219332E-4</v>
      </c>
      <c r="L375" s="27">
        <f t="shared" si="34"/>
        <v>1.9480081859916416E-3</v>
      </c>
      <c r="M375" s="27">
        <f t="shared" si="35"/>
        <v>7.6126901302180414</v>
      </c>
      <c r="N375" s="27"/>
      <c r="O375" s="27"/>
      <c r="P375"/>
    </row>
    <row r="376" spans="1:16" ht="15">
      <c r="A376" s="17" t="s">
        <v>535</v>
      </c>
      <c r="B376" s="14" t="s">
        <v>369</v>
      </c>
      <c r="C376" s="25">
        <f>VLOOKUP(B376,'Consensus Phospho site'!B:G,6,FALSE)</f>
        <v>1.6273950544320925E-4</v>
      </c>
      <c r="D376" s="17" t="e">
        <v>#N/A</v>
      </c>
      <c r="E376" s="8" t="e">
        <v>#N/A</v>
      </c>
      <c r="F376" s="8">
        <v>0.5</v>
      </c>
      <c r="G376" s="8">
        <v>0.5</v>
      </c>
      <c r="H376" s="8">
        <f t="shared" si="30"/>
        <v>0.25</v>
      </c>
      <c r="I376" s="26">
        <f t="shared" si="31"/>
        <v>4.0684876360802312E-5</v>
      </c>
      <c r="J376" s="26">
        <f t="shared" si="32"/>
        <v>0.26455000385435651</v>
      </c>
      <c r="K376" s="26">
        <f t="shared" si="33"/>
        <v>1.5378898419219332E-4</v>
      </c>
      <c r="L376" s="27">
        <f t="shared" si="34"/>
        <v>1.9480081859916416E-3</v>
      </c>
      <c r="M376" s="27">
        <f t="shared" si="35"/>
        <v>7.6126901302180414</v>
      </c>
      <c r="N376" s="27"/>
      <c r="O376" s="27"/>
      <c r="P376"/>
    </row>
    <row r="377" spans="1:16" ht="15">
      <c r="A377" s="17" t="s">
        <v>534</v>
      </c>
      <c r="B377" s="14" t="s">
        <v>81</v>
      </c>
      <c r="C377" s="25">
        <f>VLOOKUP(B377,'Consensus Phospho site'!B:G,6,FALSE)</f>
        <v>1.6273950544320925E-4</v>
      </c>
      <c r="D377" s="17" t="e">
        <v>#N/A</v>
      </c>
      <c r="E377" s="8" t="e">
        <v>#N/A</v>
      </c>
      <c r="F377" s="8">
        <v>0.5</v>
      </c>
      <c r="G377" s="8">
        <v>0.5</v>
      </c>
      <c r="H377" s="8">
        <f t="shared" si="30"/>
        <v>0.25</v>
      </c>
      <c r="I377" s="26">
        <f t="shared" si="31"/>
        <v>4.0684876360802312E-5</v>
      </c>
      <c r="J377" s="26">
        <f t="shared" si="32"/>
        <v>0.26455000385435651</v>
      </c>
      <c r="K377" s="26">
        <f t="shared" si="33"/>
        <v>1.5378898419219332E-4</v>
      </c>
      <c r="L377" s="27">
        <f t="shared" si="34"/>
        <v>1.9480081859916416E-3</v>
      </c>
      <c r="M377" s="27">
        <f t="shared" si="35"/>
        <v>7.6126901302180414</v>
      </c>
      <c r="N377" s="27"/>
      <c r="O377" s="27"/>
      <c r="P377"/>
    </row>
    <row r="378" spans="1:16" ht="15">
      <c r="A378" s="17" t="s">
        <v>535</v>
      </c>
      <c r="B378" s="14" t="s">
        <v>370</v>
      </c>
      <c r="C378" s="25">
        <f>VLOOKUP(B378,'Consensus Phospho site'!B:G,6,FALSE)</f>
        <v>1.6273950544320925E-4</v>
      </c>
      <c r="D378" s="17" t="e">
        <v>#N/A</v>
      </c>
      <c r="E378" s="8" t="e">
        <v>#N/A</v>
      </c>
      <c r="F378" s="8">
        <v>0.5</v>
      </c>
      <c r="G378" s="8">
        <v>0.5</v>
      </c>
      <c r="H378" s="8">
        <f t="shared" si="30"/>
        <v>0.25</v>
      </c>
      <c r="I378" s="26">
        <f t="shared" si="31"/>
        <v>4.0684876360802312E-5</v>
      </c>
      <c r="J378" s="26">
        <f t="shared" si="32"/>
        <v>0.26455000385435651</v>
      </c>
      <c r="K378" s="26">
        <f t="shared" si="33"/>
        <v>1.5378898419219332E-4</v>
      </c>
      <c r="L378" s="27">
        <f t="shared" si="34"/>
        <v>1.9480081859916416E-3</v>
      </c>
      <c r="M378" s="27">
        <f t="shared" si="35"/>
        <v>7.6126901302180414</v>
      </c>
      <c r="N378" s="27"/>
      <c r="O378" s="27"/>
      <c r="P378"/>
    </row>
    <row r="379" spans="1:16" ht="15">
      <c r="A379" s="17" t="s">
        <v>535</v>
      </c>
      <c r="B379" s="14" t="s">
        <v>371</v>
      </c>
      <c r="C379" s="25">
        <f>VLOOKUP(B379,'Consensus Phospho site'!B:G,6,FALSE)</f>
        <v>1.6273950544320925E-4</v>
      </c>
      <c r="D379" s="17" t="e">
        <v>#N/A</v>
      </c>
      <c r="E379" s="8" t="e">
        <v>#N/A</v>
      </c>
      <c r="F379" s="8">
        <v>0.5</v>
      </c>
      <c r="G379" s="8">
        <v>0.5</v>
      </c>
      <c r="H379" s="8">
        <f t="shared" si="30"/>
        <v>0.25</v>
      </c>
      <c r="I379" s="26">
        <f t="shared" si="31"/>
        <v>4.0684876360802312E-5</v>
      </c>
      <c r="J379" s="26">
        <f t="shared" si="32"/>
        <v>0.26455000385435651</v>
      </c>
      <c r="K379" s="26">
        <f t="shared" si="33"/>
        <v>1.5378898419219332E-4</v>
      </c>
      <c r="L379" s="27">
        <f t="shared" si="34"/>
        <v>1.9480081859916416E-3</v>
      </c>
      <c r="M379" s="27">
        <f t="shared" si="35"/>
        <v>7.6126901302180414</v>
      </c>
      <c r="N379" s="27"/>
      <c r="O379" s="27"/>
      <c r="P379"/>
    </row>
    <row r="380" spans="1:16" ht="15">
      <c r="A380" s="17" t="s">
        <v>524</v>
      </c>
      <c r="B380" s="14" t="s">
        <v>15</v>
      </c>
      <c r="C380" s="25">
        <f>VLOOKUP(B380,'Consensus Phospho site'!B:G,6,FALSE)</f>
        <v>1.6273950544320925E-4</v>
      </c>
      <c r="D380" s="17" t="e">
        <v>#N/A</v>
      </c>
      <c r="E380" s="8" t="e">
        <v>#N/A</v>
      </c>
      <c r="F380" s="8">
        <v>0.5</v>
      </c>
      <c r="G380" s="8">
        <v>0.5</v>
      </c>
      <c r="H380" s="8">
        <f t="shared" si="30"/>
        <v>0.25</v>
      </c>
      <c r="I380" s="26">
        <f t="shared" si="31"/>
        <v>4.0684876360802312E-5</v>
      </c>
      <c r="J380" s="26">
        <f t="shared" si="32"/>
        <v>0.26455000385435651</v>
      </c>
      <c r="K380" s="26">
        <f t="shared" si="33"/>
        <v>1.5378898419219332E-4</v>
      </c>
      <c r="L380" s="27">
        <f t="shared" si="34"/>
        <v>1.9480081859916416E-3</v>
      </c>
      <c r="M380" s="27">
        <f t="shared" si="35"/>
        <v>7.6126901302180414</v>
      </c>
      <c r="N380" s="27"/>
      <c r="O380" s="27"/>
      <c r="P380"/>
    </row>
    <row r="381" spans="1:16" ht="15">
      <c r="A381" s="17" t="s">
        <v>535</v>
      </c>
      <c r="B381" s="14" t="s">
        <v>372</v>
      </c>
      <c r="C381" s="25">
        <f>VLOOKUP(B381,'Consensus Phospho site'!B:G,6,FALSE)</f>
        <v>1.6273950544320925E-4</v>
      </c>
      <c r="D381" s="17" t="e">
        <v>#N/A</v>
      </c>
      <c r="E381" s="8" t="e">
        <v>#N/A</v>
      </c>
      <c r="F381" s="8">
        <v>0.5</v>
      </c>
      <c r="G381" s="8">
        <v>0.5</v>
      </c>
      <c r="H381" s="8">
        <f t="shared" si="30"/>
        <v>0.25</v>
      </c>
      <c r="I381" s="26">
        <f t="shared" si="31"/>
        <v>4.0684876360802312E-5</v>
      </c>
      <c r="J381" s="26">
        <f t="shared" si="32"/>
        <v>0.26455000385435651</v>
      </c>
      <c r="K381" s="26">
        <f t="shared" si="33"/>
        <v>1.5378898419219332E-4</v>
      </c>
      <c r="L381" s="27">
        <f t="shared" si="34"/>
        <v>1.9480081859916416E-3</v>
      </c>
      <c r="M381" s="27">
        <f t="shared" si="35"/>
        <v>7.6126901302180414</v>
      </c>
      <c r="N381" s="27"/>
      <c r="O381" s="27"/>
      <c r="P381"/>
    </row>
    <row r="382" spans="1:16" ht="15">
      <c r="A382" s="17" t="s">
        <v>535</v>
      </c>
      <c r="B382" s="14" t="s">
        <v>375</v>
      </c>
      <c r="C382" s="25">
        <f>VLOOKUP(B382,'Consensus Phospho site'!B:G,6,FALSE)</f>
        <v>1.6273950544320925E-4</v>
      </c>
      <c r="D382" s="17" t="e">
        <v>#N/A</v>
      </c>
      <c r="E382" s="8" t="e">
        <v>#N/A</v>
      </c>
      <c r="F382" s="8">
        <v>0.5</v>
      </c>
      <c r="G382" s="8">
        <v>0.5</v>
      </c>
      <c r="H382" s="8">
        <f t="shared" si="30"/>
        <v>0.25</v>
      </c>
      <c r="I382" s="26">
        <f t="shared" si="31"/>
        <v>4.0684876360802312E-5</v>
      </c>
      <c r="J382" s="26">
        <f t="shared" si="32"/>
        <v>0.26455000385435651</v>
      </c>
      <c r="K382" s="26">
        <f t="shared" si="33"/>
        <v>1.5378898419219332E-4</v>
      </c>
      <c r="L382" s="27">
        <f t="shared" si="34"/>
        <v>1.9480081859916416E-3</v>
      </c>
      <c r="M382" s="27">
        <f t="shared" si="35"/>
        <v>7.6126901302180414</v>
      </c>
      <c r="N382" s="27"/>
      <c r="O382" s="27"/>
      <c r="P382"/>
    </row>
    <row r="383" spans="1:16" ht="15">
      <c r="A383" s="17" t="s">
        <v>535</v>
      </c>
      <c r="B383" s="14" t="s">
        <v>376</v>
      </c>
      <c r="C383" s="25">
        <f>VLOOKUP(B383,'Consensus Phospho site'!B:G,6,FALSE)</f>
        <v>1.6273950544320925E-4</v>
      </c>
      <c r="D383" s="17" t="e">
        <v>#N/A</v>
      </c>
      <c r="E383" s="8" t="e">
        <v>#N/A</v>
      </c>
      <c r="F383" s="8">
        <v>0.5</v>
      </c>
      <c r="G383" s="8">
        <v>0.5</v>
      </c>
      <c r="H383" s="8">
        <f t="shared" si="30"/>
        <v>0.25</v>
      </c>
      <c r="I383" s="26">
        <f t="shared" si="31"/>
        <v>4.0684876360802312E-5</v>
      </c>
      <c r="J383" s="26">
        <f t="shared" si="32"/>
        <v>0.26455000385435651</v>
      </c>
      <c r="K383" s="26">
        <f t="shared" si="33"/>
        <v>1.5378898419219332E-4</v>
      </c>
      <c r="L383" s="27">
        <f t="shared" si="34"/>
        <v>1.9480081859916416E-3</v>
      </c>
      <c r="M383" s="27">
        <f t="shared" si="35"/>
        <v>7.6126901302180414</v>
      </c>
      <c r="N383" s="27"/>
      <c r="O383" s="27"/>
      <c r="P383"/>
    </row>
    <row r="384" spans="1:16" ht="15">
      <c r="A384" s="17" t="s">
        <v>534</v>
      </c>
      <c r="B384" s="14" t="s">
        <v>83</v>
      </c>
      <c r="C384" s="25">
        <f>VLOOKUP(B384,'Consensus Phospho site'!B:G,6,FALSE)</f>
        <v>1.6273950544320925E-4</v>
      </c>
      <c r="D384" s="17" t="e">
        <v>#N/A</v>
      </c>
      <c r="E384" s="8" t="e">
        <v>#N/A</v>
      </c>
      <c r="F384" s="8">
        <v>0.5</v>
      </c>
      <c r="G384" s="8">
        <v>0.5</v>
      </c>
      <c r="H384" s="8">
        <f t="shared" si="30"/>
        <v>0.25</v>
      </c>
      <c r="I384" s="26">
        <f t="shared" si="31"/>
        <v>4.0684876360802312E-5</v>
      </c>
      <c r="J384" s="26">
        <f t="shared" si="32"/>
        <v>0.26455000385435651</v>
      </c>
      <c r="K384" s="26">
        <f t="shared" si="33"/>
        <v>1.5378898419219332E-4</v>
      </c>
      <c r="L384" s="27">
        <f t="shared" si="34"/>
        <v>1.9480081859916416E-3</v>
      </c>
      <c r="M384" s="27">
        <f t="shared" si="35"/>
        <v>7.6126901302180414</v>
      </c>
      <c r="N384" s="27"/>
      <c r="O384" s="27"/>
      <c r="P384"/>
    </row>
    <row r="385" spans="1:16" ht="15">
      <c r="A385" s="17" t="s">
        <v>534</v>
      </c>
      <c r="B385" s="14" t="s">
        <v>85</v>
      </c>
      <c r="C385" s="25">
        <f>VLOOKUP(B385,'Consensus Phospho site'!B:G,6,FALSE)</f>
        <v>1.6273950544320925E-4</v>
      </c>
      <c r="D385" s="17" t="e">
        <v>#N/A</v>
      </c>
      <c r="E385" s="8" t="e">
        <v>#N/A</v>
      </c>
      <c r="F385" s="8">
        <v>0.5</v>
      </c>
      <c r="G385" s="8">
        <v>0.5</v>
      </c>
      <c r="H385" s="8">
        <f t="shared" si="30"/>
        <v>0.25</v>
      </c>
      <c r="I385" s="26">
        <f t="shared" si="31"/>
        <v>4.0684876360802312E-5</v>
      </c>
      <c r="J385" s="26">
        <f t="shared" si="32"/>
        <v>0.26455000385435651</v>
      </c>
      <c r="K385" s="26">
        <f t="shared" si="33"/>
        <v>1.5378898419219332E-4</v>
      </c>
      <c r="L385" s="27">
        <f t="shared" si="34"/>
        <v>1.9480081859916416E-3</v>
      </c>
      <c r="M385" s="27">
        <f t="shared" si="35"/>
        <v>7.6126901302180414</v>
      </c>
      <c r="N385" s="27"/>
      <c r="O385" s="27"/>
      <c r="P385"/>
    </row>
    <row r="386" spans="1:16" ht="15">
      <c r="A386" s="17" t="s">
        <v>534</v>
      </c>
      <c r="B386" s="14" t="s">
        <v>88</v>
      </c>
      <c r="C386" s="25">
        <f>VLOOKUP(B386,'Consensus Phospho site'!B:G,6,FALSE)</f>
        <v>1.6273950544320925E-4</v>
      </c>
      <c r="D386" s="17" t="e">
        <v>#N/A</v>
      </c>
      <c r="E386" s="8" t="e">
        <v>#N/A</v>
      </c>
      <c r="F386" s="8">
        <v>0.5</v>
      </c>
      <c r="G386" s="8">
        <v>0.5</v>
      </c>
      <c r="H386" s="8">
        <f t="shared" ref="H386:H449" si="36">F386*G386</f>
        <v>0.25</v>
      </c>
      <c r="I386" s="26">
        <f t="shared" ref="I386:I449" si="37">H386*C386</f>
        <v>4.0684876360802312E-5</v>
      </c>
      <c r="J386" s="26">
        <f t="shared" ref="J386:J449" si="38">SUM($I$2:$I$522)</f>
        <v>0.26455000385435651</v>
      </c>
      <c r="K386" s="26">
        <f t="shared" ref="K386:K449" si="39">I386/J386</f>
        <v>1.5378898419219332E-4</v>
      </c>
      <c r="L386" s="27">
        <f t="shared" ref="L386:L449" si="40">K386*-LOG(K386,2)</f>
        <v>1.9480081859916416E-3</v>
      </c>
      <c r="M386" s="27">
        <f t="shared" ref="M386:M449" si="41">SUM($L$2:$L$522)</f>
        <v>7.6126901302180414</v>
      </c>
      <c r="N386" s="27"/>
      <c r="O386" s="27"/>
      <c r="P386"/>
    </row>
    <row r="387" spans="1:16" ht="15">
      <c r="A387" s="17" t="s">
        <v>524</v>
      </c>
      <c r="B387" s="14" t="s">
        <v>19</v>
      </c>
      <c r="C387" s="25">
        <f>VLOOKUP(B387,'Consensus Phospho site'!B:G,6,FALSE)</f>
        <v>1.6273950544320925E-4</v>
      </c>
      <c r="D387" s="17" t="e">
        <v>#N/A</v>
      </c>
      <c r="E387" s="8" t="e">
        <v>#N/A</v>
      </c>
      <c r="F387" s="8">
        <v>0.5</v>
      </c>
      <c r="G387" s="8">
        <v>0.5</v>
      </c>
      <c r="H387" s="8">
        <f t="shared" si="36"/>
        <v>0.25</v>
      </c>
      <c r="I387" s="26">
        <f t="shared" si="37"/>
        <v>4.0684876360802312E-5</v>
      </c>
      <c r="J387" s="26">
        <f t="shared" si="38"/>
        <v>0.26455000385435651</v>
      </c>
      <c r="K387" s="26">
        <f t="shared" si="39"/>
        <v>1.5378898419219332E-4</v>
      </c>
      <c r="L387" s="27">
        <f t="shared" si="40"/>
        <v>1.9480081859916416E-3</v>
      </c>
      <c r="M387" s="27">
        <f t="shared" si="41"/>
        <v>7.6126901302180414</v>
      </c>
      <c r="N387" s="27"/>
      <c r="O387" s="27"/>
      <c r="P387"/>
    </row>
    <row r="388" spans="1:16" ht="15">
      <c r="A388" s="17" t="s">
        <v>524</v>
      </c>
      <c r="B388" s="14" t="s">
        <v>21</v>
      </c>
      <c r="C388" s="25">
        <f>VLOOKUP(B388,'Consensus Phospho site'!B:G,6,FALSE)</f>
        <v>1.6273950544320925E-4</v>
      </c>
      <c r="D388" s="17" t="e">
        <v>#N/A</v>
      </c>
      <c r="E388" s="8" t="e">
        <v>#N/A</v>
      </c>
      <c r="F388" s="8">
        <v>0.5</v>
      </c>
      <c r="G388" s="8">
        <v>0.5</v>
      </c>
      <c r="H388" s="8">
        <f t="shared" si="36"/>
        <v>0.25</v>
      </c>
      <c r="I388" s="26">
        <f t="shared" si="37"/>
        <v>4.0684876360802312E-5</v>
      </c>
      <c r="J388" s="26">
        <f t="shared" si="38"/>
        <v>0.26455000385435651</v>
      </c>
      <c r="K388" s="26">
        <f t="shared" si="39"/>
        <v>1.5378898419219332E-4</v>
      </c>
      <c r="L388" s="27">
        <f t="shared" si="40"/>
        <v>1.9480081859916416E-3</v>
      </c>
      <c r="M388" s="27">
        <f t="shared" si="41"/>
        <v>7.6126901302180414</v>
      </c>
      <c r="N388" s="27"/>
      <c r="O388" s="27"/>
      <c r="P388"/>
    </row>
    <row r="389" spans="1:16" ht="15">
      <c r="A389" s="17" t="s">
        <v>535</v>
      </c>
      <c r="B389" s="14" t="s">
        <v>377</v>
      </c>
      <c r="C389" s="25">
        <f>VLOOKUP(B389,'Consensus Phospho site'!B:G,6,FALSE)</f>
        <v>1.6273950544320925E-4</v>
      </c>
      <c r="D389" s="17" t="e">
        <v>#N/A</v>
      </c>
      <c r="E389" s="8" t="e">
        <v>#N/A</v>
      </c>
      <c r="F389" s="8">
        <v>0.5</v>
      </c>
      <c r="G389" s="8">
        <v>0.5</v>
      </c>
      <c r="H389" s="8">
        <f t="shared" si="36"/>
        <v>0.25</v>
      </c>
      <c r="I389" s="26">
        <f t="shared" si="37"/>
        <v>4.0684876360802312E-5</v>
      </c>
      <c r="J389" s="26">
        <f t="shared" si="38"/>
        <v>0.26455000385435651</v>
      </c>
      <c r="K389" s="26">
        <f t="shared" si="39"/>
        <v>1.5378898419219332E-4</v>
      </c>
      <c r="L389" s="27">
        <f t="shared" si="40"/>
        <v>1.9480081859916416E-3</v>
      </c>
      <c r="M389" s="27">
        <f t="shared" si="41"/>
        <v>7.6126901302180414</v>
      </c>
      <c r="N389" s="27"/>
      <c r="O389" s="27"/>
      <c r="P389"/>
    </row>
    <row r="390" spans="1:16" ht="15">
      <c r="A390" s="17" t="s">
        <v>535</v>
      </c>
      <c r="B390" s="14" t="s">
        <v>378</v>
      </c>
      <c r="C390" s="25">
        <f>VLOOKUP(B390,'Consensus Phospho site'!B:G,6,FALSE)</f>
        <v>1.6273950544320925E-4</v>
      </c>
      <c r="D390" s="17" t="e">
        <v>#N/A</v>
      </c>
      <c r="E390" s="8" t="e">
        <v>#N/A</v>
      </c>
      <c r="F390" s="8">
        <v>0.5</v>
      </c>
      <c r="G390" s="8">
        <v>0.5</v>
      </c>
      <c r="H390" s="8">
        <f t="shared" si="36"/>
        <v>0.25</v>
      </c>
      <c r="I390" s="26">
        <f t="shared" si="37"/>
        <v>4.0684876360802312E-5</v>
      </c>
      <c r="J390" s="26">
        <f t="shared" si="38"/>
        <v>0.26455000385435651</v>
      </c>
      <c r="K390" s="26">
        <f t="shared" si="39"/>
        <v>1.5378898419219332E-4</v>
      </c>
      <c r="L390" s="27">
        <f t="shared" si="40"/>
        <v>1.9480081859916416E-3</v>
      </c>
      <c r="M390" s="27">
        <f t="shared" si="41"/>
        <v>7.6126901302180414</v>
      </c>
      <c r="N390" s="27"/>
      <c r="O390" s="27"/>
      <c r="P390"/>
    </row>
    <row r="391" spans="1:16" ht="15">
      <c r="A391" s="17" t="s">
        <v>535</v>
      </c>
      <c r="B391" s="14" t="s">
        <v>379</v>
      </c>
      <c r="C391" s="25">
        <f>VLOOKUP(B391,'Consensus Phospho site'!B:G,6,FALSE)</f>
        <v>1.6273950544320925E-4</v>
      </c>
      <c r="D391" s="17" t="e">
        <v>#N/A</v>
      </c>
      <c r="E391" s="8" t="e">
        <v>#N/A</v>
      </c>
      <c r="F391" s="8">
        <v>0.5</v>
      </c>
      <c r="G391" s="8">
        <v>0.5</v>
      </c>
      <c r="H391" s="8">
        <f t="shared" si="36"/>
        <v>0.25</v>
      </c>
      <c r="I391" s="26">
        <f t="shared" si="37"/>
        <v>4.0684876360802312E-5</v>
      </c>
      <c r="J391" s="26">
        <f t="shared" si="38"/>
        <v>0.26455000385435651</v>
      </c>
      <c r="K391" s="26">
        <f t="shared" si="39"/>
        <v>1.5378898419219332E-4</v>
      </c>
      <c r="L391" s="27">
        <f t="shared" si="40"/>
        <v>1.9480081859916416E-3</v>
      </c>
      <c r="M391" s="27">
        <f t="shared" si="41"/>
        <v>7.6126901302180414</v>
      </c>
      <c r="N391" s="27"/>
      <c r="O391" s="27"/>
      <c r="P391"/>
    </row>
    <row r="392" spans="1:16" ht="15">
      <c r="A392" s="17" t="s">
        <v>535</v>
      </c>
      <c r="B392" s="14" t="s">
        <v>380</v>
      </c>
      <c r="C392" s="25">
        <f>VLOOKUP(B392,'Consensus Phospho site'!B:G,6,FALSE)</f>
        <v>1.6273950544320925E-4</v>
      </c>
      <c r="D392" s="17" t="e">
        <v>#N/A</v>
      </c>
      <c r="E392" s="8" t="e">
        <v>#N/A</v>
      </c>
      <c r="F392" s="8">
        <v>0.5</v>
      </c>
      <c r="G392" s="8">
        <v>0.5</v>
      </c>
      <c r="H392" s="8">
        <f t="shared" si="36"/>
        <v>0.25</v>
      </c>
      <c r="I392" s="26">
        <f t="shared" si="37"/>
        <v>4.0684876360802312E-5</v>
      </c>
      <c r="J392" s="26">
        <f t="shared" si="38"/>
        <v>0.26455000385435651</v>
      </c>
      <c r="K392" s="26">
        <f t="shared" si="39"/>
        <v>1.5378898419219332E-4</v>
      </c>
      <c r="L392" s="27">
        <f t="shared" si="40"/>
        <v>1.9480081859916416E-3</v>
      </c>
      <c r="M392" s="27">
        <f t="shared" si="41"/>
        <v>7.6126901302180414</v>
      </c>
      <c r="N392" s="27"/>
      <c r="O392" s="27"/>
      <c r="P392"/>
    </row>
    <row r="393" spans="1:16" ht="15">
      <c r="A393" s="17" t="s">
        <v>535</v>
      </c>
      <c r="B393" s="14" t="s">
        <v>381</v>
      </c>
      <c r="C393" s="25">
        <f>VLOOKUP(B393,'Consensus Phospho site'!B:G,6,FALSE)</f>
        <v>1.6273950544320925E-4</v>
      </c>
      <c r="D393" s="17" t="e">
        <v>#N/A</v>
      </c>
      <c r="E393" s="8" t="e">
        <v>#N/A</v>
      </c>
      <c r="F393" s="8">
        <v>0.5</v>
      </c>
      <c r="G393" s="8">
        <v>0.5</v>
      </c>
      <c r="H393" s="8">
        <f t="shared" si="36"/>
        <v>0.25</v>
      </c>
      <c r="I393" s="26">
        <f t="shared" si="37"/>
        <v>4.0684876360802312E-5</v>
      </c>
      <c r="J393" s="26">
        <f t="shared" si="38"/>
        <v>0.26455000385435651</v>
      </c>
      <c r="K393" s="26">
        <f t="shared" si="39"/>
        <v>1.5378898419219332E-4</v>
      </c>
      <c r="L393" s="27">
        <f t="shared" si="40"/>
        <v>1.9480081859916416E-3</v>
      </c>
      <c r="M393" s="27">
        <f t="shared" si="41"/>
        <v>7.6126901302180414</v>
      </c>
      <c r="N393" s="27"/>
      <c r="O393" s="27"/>
      <c r="P393"/>
    </row>
    <row r="394" spans="1:16" ht="15">
      <c r="A394" s="17" t="s">
        <v>543</v>
      </c>
      <c r="B394" s="14" t="s">
        <v>228</v>
      </c>
      <c r="C394" s="25">
        <f>VLOOKUP(B394,'Consensus Phospho site'!B:G,6,FALSE)</f>
        <v>1.6273950544320925E-4</v>
      </c>
      <c r="D394" s="17" t="e">
        <v>#N/A</v>
      </c>
      <c r="E394" s="8" t="e">
        <v>#N/A</v>
      </c>
      <c r="F394" s="8">
        <v>0.5</v>
      </c>
      <c r="G394" s="8">
        <v>0.5</v>
      </c>
      <c r="H394" s="8">
        <f t="shared" si="36"/>
        <v>0.25</v>
      </c>
      <c r="I394" s="26">
        <f t="shared" si="37"/>
        <v>4.0684876360802312E-5</v>
      </c>
      <c r="J394" s="26">
        <f t="shared" si="38"/>
        <v>0.26455000385435651</v>
      </c>
      <c r="K394" s="26">
        <f t="shared" si="39"/>
        <v>1.5378898419219332E-4</v>
      </c>
      <c r="L394" s="27">
        <f t="shared" si="40"/>
        <v>1.9480081859916416E-3</v>
      </c>
      <c r="M394" s="27">
        <f t="shared" si="41"/>
        <v>7.6126901302180414</v>
      </c>
      <c r="N394" s="27"/>
      <c r="O394" s="27"/>
      <c r="P394"/>
    </row>
    <row r="395" spans="1:16" ht="15">
      <c r="A395" s="17" t="s">
        <v>534</v>
      </c>
      <c r="B395" s="14" t="s">
        <v>97</v>
      </c>
      <c r="C395" s="25">
        <f>VLOOKUP(B395,'Consensus Phospho site'!B:G,6,FALSE)</f>
        <v>1.6273950544320925E-4</v>
      </c>
      <c r="D395" s="17" t="e">
        <v>#N/A</v>
      </c>
      <c r="E395" s="8" t="e">
        <v>#N/A</v>
      </c>
      <c r="F395" s="8">
        <v>0.5</v>
      </c>
      <c r="G395" s="8">
        <v>0.5</v>
      </c>
      <c r="H395" s="8">
        <f t="shared" si="36"/>
        <v>0.25</v>
      </c>
      <c r="I395" s="26">
        <f t="shared" si="37"/>
        <v>4.0684876360802312E-5</v>
      </c>
      <c r="J395" s="26">
        <f t="shared" si="38"/>
        <v>0.26455000385435651</v>
      </c>
      <c r="K395" s="26">
        <f t="shared" si="39"/>
        <v>1.5378898419219332E-4</v>
      </c>
      <c r="L395" s="27">
        <f t="shared" si="40"/>
        <v>1.9480081859916416E-3</v>
      </c>
      <c r="M395" s="27">
        <f t="shared" si="41"/>
        <v>7.6126901302180414</v>
      </c>
      <c r="N395" s="27"/>
      <c r="O395" s="27"/>
      <c r="P395"/>
    </row>
    <row r="396" spans="1:16" ht="15">
      <c r="A396" s="17" t="s">
        <v>534</v>
      </c>
      <c r="B396" s="14" t="s">
        <v>100</v>
      </c>
      <c r="C396" s="25">
        <f>VLOOKUP(B396,'Consensus Phospho site'!B:G,6,FALSE)</f>
        <v>1.6273950544320925E-4</v>
      </c>
      <c r="D396" s="17" t="e">
        <v>#N/A</v>
      </c>
      <c r="E396" s="8" t="e">
        <v>#N/A</v>
      </c>
      <c r="F396" s="8">
        <v>0.5</v>
      </c>
      <c r="G396" s="8">
        <v>0.5</v>
      </c>
      <c r="H396" s="8">
        <f t="shared" si="36"/>
        <v>0.25</v>
      </c>
      <c r="I396" s="26">
        <f t="shared" si="37"/>
        <v>4.0684876360802312E-5</v>
      </c>
      <c r="J396" s="26">
        <f t="shared" si="38"/>
        <v>0.26455000385435651</v>
      </c>
      <c r="K396" s="26">
        <f t="shared" si="39"/>
        <v>1.5378898419219332E-4</v>
      </c>
      <c r="L396" s="27">
        <f t="shared" si="40"/>
        <v>1.9480081859916416E-3</v>
      </c>
      <c r="M396" s="27">
        <f t="shared" si="41"/>
        <v>7.6126901302180414</v>
      </c>
      <c r="N396" s="27"/>
      <c r="O396" s="27"/>
      <c r="P396"/>
    </row>
    <row r="397" spans="1:16" ht="15">
      <c r="A397" s="17" t="s">
        <v>535</v>
      </c>
      <c r="B397" s="14" t="s">
        <v>385</v>
      </c>
      <c r="C397" s="25">
        <f>VLOOKUP(B397,'Consensus Phospho site'!B:G,6,FALSE)</f>
        <v>1.6273950544320925E-4</v>
      </c>
      <c r="D397" s="17" t="e">
        <v>#N/A</v>
      </c>
      <c r="E397" s="8" t="e">
        <v>#N/A</v>
      </c>
      <c r="F397" s="8">
        <v>0.5</v>
      </c>
      <c r="G397" s="8">
        <v>0.5</v>
      </c>
      <c r="H397" s="8">
        <f t="shared" si="36"/>
        <v>0.25</v>
      </c>
      <c r="I397" s="26">
        <f t="shared" si="37"/>
        <v>4.0684876360802312E-5</v>
      </c>
      <c r="J397" s="26">
        <f t="shared" si="38"/>
        <v>0.26455000385435651</v>
      </c>
      <c r="K397" s="26">
        <f t="shared" si="39"/>
        <v>1.5378898419219332E-4</v>
      </c>
      <c r="L397" s="27">
        <f t="shared" si="40"/>
        <v>1.9480081859916416E-3</v>
      </c>
      <c r="M397" s="27">
        <f t="shared" si="41"/>
        <v>7.6126901302180414</v>
      </c>
      <c r="N397" s="27"/>
      <c r="O397" s="27"/>
      <c r="P397"/>
    </row>
    <row r="398" spans="1:16" ht="15">
      <c r="A398" s="17" t="s">
        <v>535</v>
      </c>
      <c r="B398" s="14" t="s">
        <v>386</v>
      </c>
      <c r="C398" s="25">
        <f>VLOOKUP(B398,'Consensus Phospho site'!B:G,6,FALSE)</f>
        <v>1.6273950544320925E-4</v>
      </c>
      <c r="D398" s="17" t="e">
        <v>#N/A</v>
      </c>
      <c r="E398" s="8" t="e">
        <v>#N/A</v>
      </c>
      <c r="F398" s="8">
        <v>0.5</v>
      </c>
      <c r="G398" s="8">
        <v>0.5</v>
      </c>
      <c r="H398" s="8">
        <f t="shared" si="36"/>
        <v>0.25</v>
      </c>
      <c r="I398" s="26">
        <f t="shared" si="37"/>
        <v>4.0684876360802312E-5</v>
      </c>
      <c r="J398" s="26">
        <f t="shared" si="38"/>
        <v>0.26455000385435651</v>
      </c>
      <c r="K398" s="26">
        <f t="shared" si="39"/>
        <v>1.5378898419219332E-4</v>
      </c>
      <c r="L398" s="27">
        <f t="shared" si="40"/>
        <v>1.9480081859916416E-3</v>
      </c>
      <c r="M398" s="27">
        <f t="shared" si="41"/>
        <v>7.6126901302180414</v>
      </c>
      <c r="N398" s="27"/>
      <c r="O398" s="27"/>
      <c r="P398"/>
    </row>
    <row r="399" spans="1:16" ht="15">
      <c r="A399" s="17" t="s">
        <v>534</v>
      </c>
      <c r="B399" s="14" t="s">
        <v>104</v>
      </c>
      <c r="C399" s="25">
        <f>VLOOKUP(B399,'Consensus Phospho site'!B:G,6,FALSE)</f>
        <v>1.6273950544320925E-4</v>
      </c>
      <c r="D399" s="17" t="e">
        <v>#N/A</v>
      </c>
      <c r="E399" s="8" t="e">
        <v>#N/A</v>
      </c>
      <c r="F399" s="8">
        <v>0.5</v>
      </c>
      <c r="G399" s="8">
        <v>0.5</v>
      </c>
      <c r="H399" s="8">
        <f t="shared" si="36"/>
        <v>0.25</v>
      </c>
      <c r="I399" s="26">
        <f t="shared" si="37"/>
        <v>4.0684876360802312E-5</v>
      </c>
      <c r="J399" s="26">
        <f t="shared" si="38"/>
        <v>0.26455000385435651</v>
      </c>
      <c r="K399" s="26">
        <f t="shared" si="39"/>
        <v>1.5378898419219332E-4</v>
      </c>
      <c r="L399" s="27">
        <f t="shared" si="40"/>
        <v>1.9480081859916416E-3</v>
      </c>
      <c r="M399" s="27">
        <f t="shared" si="41"/>
        <v>7.6126901302180414</v>
      </c>
      <c r="N399" s="27"/>
      <c r="O399" s="27"/>
      <c r="P399"/>
    </row>
    <row r="400" spans="1:16" ht="15">
      <c r="A400" s="17" t="s">
        <v>524</v>
      </c>
      <c r="B400" s="14" t="s">
        <v>24</v>
      </c>
      <c r="C400" s="25">
        <f>VLOOKUP(B400,'Consensus Phospho site'!B:G,6,FALSE)</f>
        <v>1.6273950544320925E-4</v>
      </c>
      <c r="D400" s="17" t="e">
        <v>#N/A</v>
      </c>
      <c r="E400" s="8" t="e">
        <v>#N/A</v>
      </c>
      <c r="F400" s="8">
        <v>0.5</v>
      </c>
      <c r="G400" s="8">
        <v>0.5</v>
      </c>
      <c r="H400" s="8">
        <f t="shared" si="36"/>
        <v>0.25</v>
      </c>
      <c r="I400" s="26">
        <f t="shared" si="37"/>
        <v>4.0684876360802312E-5</v>
      </c>
      <c r="J400" s="26">
        <f t="shared" si="38"/>
        <v>0.26455000385435651</v>
      </c>
      <c r="K400" s="26">
        <f t="shared" si="39"/>
        <v>1.5378898419219332E-4</v>
      </c>
      <c r="L400" s="27">
        <f t="shared" si="40"/>
        <v>1.9480081859916416E-3</v>
      </c>
      <c r="M400" s="27">
        <f t="shared" si="41"/>
        <v>7.6126901302180414</v>
      </c>
      <c r="N400" s="27"/>
      <c r="O400" s="27"/>
      <c r="P400"/>
    </row>
    <row r="401" spans="1:16" ht="15">
      <c r="A401" s="17" t="s">
        <v>524</v>
      </c>
      <c r="B401" s="14" t="s">
        <v>26</v>
      </c>
      <c r="C401" s="25">
        <f>VLOOKUP(B401,'Consensus Phospho site'!B:G,6,FALSE)</f>
        <v>1.6273950544320925E-4</v>
      </c>
      <c r="D401" s="17" t="e">
        <v>#N/A</v>
      </c>
      <c r="E401" s="8" t="e">
        <v>#N/A</v>
      </c>
      <c r="F401" s="8">
        <v>0.5</v>
      </c>
      <c r="G401" s="8">
        <v>0.5</v>
      </c>
      <c r="H401" s="8">
        <f t="shared" si="36"/>
        <v>0.25</v>
      </c>
      <c r="I401" s="26">
        <f t="shared" si="37"/>
        <v>4.0684876360802312E-5</v>
      </c>
      <c r="J401" s="26">
        <f t="shared" si="38"/>
        <v>0.26455000385435651</v>
      </c>
      <c r="K401" s="26">
        <f t="shared" si="39"/>
        <v>1.5378898419219332E-4</v>
      </c>
      <c r="L401" s="27">
        <f t="shared" si="40"/>
        <v>1.9480081859916416E-3</v>
      </c>
      <c r="M401" s="27">
        <f t="shared" si="41"/>
        <v>7.6126901302180414</v>
      </c>
      <c r="N401" s="27"/>
      <c r="O401" s="27"/>
      <c r="P401"/>
    </row>
    <row r="402" spans="1:16" ht="15">
      <c r="A402" s="17" t="s">
        <v>534</v>
      </c>
      <c r="B402" s="14" t="s">
        <v>107</v>
      </c>
      <c r="C402" s="25">
        <f>VLOOKUP(B402,'Consensus Phospho site'!B:G,6,FALSE)</f>
        <v>1.6273950544320925E-4</v>
      </c>
      <c r="D402" s="17" t="e">
        <v>#N/A</v>
      </c>
      <c r="E402" s="8" t="e">
        <v>#N/A</v>
      </c>
      <c r="F402" s="8">
        <v>0.5</v>
      </c>
      <c r="G402" s="8">
        <v>0.5</v>
      </c>
      <c r="H402" s="8">
        <f t="shared" si="36"/>
        <v>0.25</v>
      </c>
      <c r="I402" s="26">
        <f t="shared" si="37"/>
        <v>4.0684876360802312E-5</v>
      </c>
      <c r="J402" s="26">
        <f t="shared" si="38"/>
        <v>0.26455000385435651</v>
      </c>
      <c r="K402" s="26">
        <f t="shared" si="39"/>
        <v>1.5378898419219332E-4</v>
      </c>
      <c r="L402" s="27">
        <f t="shared" si="40"/>
        <v>1.9480081859916416E-3</v>
      </c>
      <c r="M402" s="27">
        <f t="shared" si="41"/>
        <v>7.6126901302180414</v>
      </c>
      <c r="N402" s="27"/>
      <c r="O402" s="27"/>
      <c r="P402"/>
    </row>
    <row r="403" spans="1:16" ht="15">
      <c r="A403" s="17" t="s">
        <v>534</v>
      </c>
      <c r="B403" s="14" t="s">
        <v>108</v>
      </c>
      <c r="C403" s="25">
        <f>VLOOKUP(B403,'Consensus Phospho site'!B:G,6,FALSE)</f>
        <v>1.6273950544320925E-4</v>
      </c>
      <c r="D403" s="17" t="e">
        <v>#N/A</v>
      </c>
      <c r="E403" s="8" t="e">
        <v>#N/A</v>
      </c>
      <c r="F403" s="8">
        <v>0.5</v>
      </c>
      <c r="G403" s="8">
        <v>0.5</v>
      </c>
      <c r="H403" s="8">
        <f t="shared" si="36"/>
        <v>0.25</v>
      </c>
      <c r="I403" s="26">
        <f t="shared" si="37"/>
        <v>4.0684876360802312E-5</v>
      </c>
      <c r="J403" s="26">
        <f t="shared" si="38"/>
        <v>0.26455000385435651</v>
      </c>
      <c r="K403" s="26">
        <f t="shared" si="39"/>
        <v>1.5378898419219332E-4</v>
      </c>
      <c r="L403" s="27">
        <f t="shared" si="40"/>
        <v>1.9480081859916416E-3</v>
      </c>
      <c r="M403" s="27">
        <f t="shared" si="41"/>
        <v>7.6126901302180414</v>
      </c>
      <c r="N403" s="27"/>
      <c r="O403" s="27"/>
      <c r="P403"/>
    </row>
    <row r="404" spans="1:16" ht="15">
      <c r="A404" s="17" t="s">
        <v>524</v>
      </c>
      <c r="B404" s="14" t="s">
        <v>33</v>
      </c>
      <c r="C404" s="25">
        <f>VLOOKUP(B404,'Consensus Phospho site'!B:G,6,FALSE)</f>
        <v>1.6273950544320925E-4</v>
      </c>
      <c r="D404" s="17" t="e">
        <v>#N/A</v>
      </c>
      <c r="E404" s="8" t="e">
        <v>#N/A</v>
      </c>
      <c r="F404" s="8">
        <v>0.5</v>
      </c>
      <c r="G404" s="8">
        <v>0.5</v>
      </c>
      <c r="H404" s="8">
        <f t="shared" si="36"/>
        <v>0.25</v>
      </c>
      <c r="I404" s="26">
        <f t="shared" si="37"/>
        <v>4.0684876360802312E-5</v>
      </c>
      <c r="J404" s="26">
        <f t="shared" si="38"/>
        <v>0.26455000385435651</v>
      </c>
      <c r="K404" s="26">
        <f t="shared" si="39"/>
        <v>1.5378898419219332E-4</v>
      </c>
      <c r="L404" s="27">
        <f t="shared" si="40"/>
        <v>1.9480081859916416E-3</v>
      </c>
      <c r="M404" s="27">
        <f t="shared" si="41"/>
        <v>7.6126901302180414</v>
      </c>
      <c r="N404" s="27"/>
      <c r="O404" s="27"/>
      <c r="P404"/>
    </row>
    <row r="405" spans="1:16" ht="15">
      <c r="A405" s="17" t="s">
        <v>524</v>
      </c>
      <c r="B405" s="14" t="s">
        <v>35</v>
      </c>
      <c r="C405" s="25">
        <f>VLOOKUP(B405,'Consensus Phospho site'!B:G,6,FALSE)</f>
        <v>1.6273950544320925E-4</v>
      </c>
      <c r="D405" s="17" t="e">
        <v>#N/A</v>
      </c>
      <c r="E405" s="8" t="e">
        <v>#N/A</v>
      </c>
      <c r="F405" s="8">
        <v>0.5</v>
      </c>
      <c r="G405" s="8">
        <v>0.5</v>
      </c>
      <c r="H405" s="8">
        <f t="shared" si="36"/>
        <v>0.25</v>
      </c>
      <c r="I405" s="26">
        <f t="shared" si="37"/>
        <v>4.0684876360802312E-5</v>
      </c>
      <c r="J405" s="26">
        <f t="shared" si="38"/>
        <v>0.26455000385435651</v>
      </c>
      <c r="K405" s="26">
        <f t="shared" si="39"/>
        <v>1.5378898419219332E-4</v>
      </c>
      <c r="L405" s="27">
        <f t="shared" si="40"/>
        <v>1.9480081859916416E-3</v>
      </c>
      <c r="M405" s="27">
        <f t="shared" si="41"/>
        <v>7.6126901302180414</v>
      </c>
      <c r="N405" s="27"/>
      <c r="O405" s="27"/>
      <c r="P405"/>
    </row>
    <row r="406" spans="1:16" ht="15">
      <c r="A406" s="17" t="s">
        <v>524</v>
      </c>
      <c r="B406" s="14" t="s">
        <v>37</v>
      </c>
      <c r="C406" s="25">
        <f>VLOOKUP(B406,'Consensus Phospho site'!B:G,6,FALSE)</f>
        <v>1.6273950544320925E-4</v>
      </c>
      <c r="D406" s="17" t="e">
        <v>#N/A</v>
      </c>
      <c r="E406" s="8" t="e">
        <v>#N/A</v>
      </c>
      <c r="F406" s="8">
        <v>0.5</v>
      </c>
      <c r="G406" s="8">
        <v>0.5</v>
      </c>
      <c r="H406" s="8">
        <f t="shared" si="36"/>
        <v>0.25</v>
      </c>
      <c r="I406" s="26">
        <f t="shared" si="37"/>
        <v>4.0684876360802312E-5</v>
      </c>
      <c r="J406" s="26">
        <f t="shared" si="38"/>
        <v>0.26455000385435651</v>
      </c>
      <c r="K406" s="26">
        <f t="shared" si="39"/>
        <v>1.5378898419219332E-4</v>
      </c>
      <c r="L406" s="27">
        <f t="shared" si="40"/>
        <v>1.9480081859916416E-3</v>
      </c>
      <c r="M406" s="27">
        <f t="shared" si="41"/>
        <v>7.6126901302180414</v>
      </c>
      <c r="N406" s="27"/>
      <c r="O406" s="27"/>
      <c r="P406"/>
    </row>
    <row r="407" spans="1:16" ht="15">
      <c r="A407" s="17" t="s">
        <v>524</v>
      </c>
      <c r="B407" s="14" t="s">
        <v>38</v>
      </c>
      <c r="C407" s="25">
        <f>VLOOKUP(B407,'Consensus Phospho site'!B:G,6,FALSE)</f>
        <v>1.6273950544320925E-4</v>
      </c>
      <c r="D407" s="17" t="e">
        <v>#N/A</v>
      </c>
      <c r="E407" s="8" t="e">
        <v>#N/A</v>
      </c>
      <c r="F407" s="8">
        <v>0.5</v>
      </c>
      <c r="G407" s="8">
        <v>0.5</v>
      </c>
      <c r="H407" s="8">
        <f t="shared" si="36"/>
        <v>0.25</v>
      </c>
      <c r="I407" s="26">
        <f t="shared" si="37"/>
        <v>4.0684876360802312E-5</v>
      </c>
      <c r="J407" s="26">
        <f t="shared" si="38"/>
        <v>0.26455000385435651</v>
      </c>
      <c r="K407" s="26">
        <f t="shared" si="39"/>
        <v>1.5378898419219332E-4</v>
      </c>
      <c r="L407" s="27">
        <f t="shared" si="40"/>
        <v>1.9480081859916416E-3</v>
      </c>
      <c r="M407" s="27">
        <f t="shared" si="41"/>
        <v>7.6126901302180414</v>
      </c>
      <c r="N407" s="27"/>
      <c r="O407" s="27"/>
      <c r="P407"/>
    </row>
    <row r="408" spans="1:16" ht="15">
      <c r="A408" s="17" t="s">
        <v>534</v>
      </c>
      <c r="B408" s="14" t="s">
        <v>110</v>
      </c>
      <c r="C408" s="25">
        <f>VLOOKUP(B408,'Consensus Phospho site'!B:G,6,FALSE)</f>
        <v>1.6273950544320925E-4</v>
      </c>
      <c r="D408" s="17" t="e">
        <v>#N/A</v>
      </c>
      <c r="E408" s="8" t="e">
        <v>#N/A</v>
      </c>
      <c r="F408" s="8">
        <v>0.5</v>
      </c>
      <c r="G408" s="8">
        <v>0.5</v>
      </c>
      <c r="H408" s="8">
        <f t="shared" si="36"/>
        <v>0.25</v>
      </c>
      <c r="I408" s="26">
        <f t="shared" si="37"/>
        <v>4.0684876360802312E-5</v>
      </c>
      <c r="J408" s="26">
        <f t="shared" si="38"/>
        <v>0.26455000385435651</v>
      </c>
      <c r="K408" s="26">
        <f t="shared" si="39"/>
        <v>1.5378898419219332E-4</v>
      </c>
      <c r="L408" s="27">
        <f t="shared" si="40"/>
        <v>1.9480081859916416E-3</v>
      </c>
      <c r="M408" s="27">
        <f t="shared" si="41"/>
        <v>7.6126901302180414</v>
      </c>
      <c r="N408" s="27"/>
      <c r="O408" s="27"/>
      <c r="P408"/>
    </row>
    <row r="409" spans="1:16" ht="15">
      <c r="A409" s="17" t="s">
        <v>534</v>
      </c>
      <c r="B409" s="14" t="s">
        <v>111</v>
      </c>
      <c r="C409" s="25">
        <f>VLOOKUP(B409,'Consensus Phospho site'!B:G,6,FALSE)</f>
        <v>1.6273950544320925E-4</v>
      </c>
      <c r="D409" s="17" t="e">
        <v>#N/A</v>
      </c>
      <c r="E409" s="8" t="e">
        <v>#N/A</v>
      </c>
      <c r="F409" s="8">
        <v>0.5</v>
      </c>
      <c r="G409" s="8">
        <v>0.5</v>
      </c>
      <c r="H409" s="8">
        <f t="shared" si="36"/>
        <v>0.25</v>
      </c>
      <c r="I409" s="26">
        <f t="shared" si="37"/>
        <v>4.0684876360802312E-5</v>
      </c>
      <c r="J409" s="26">
        <f t="shared" si="38"/>
        <v>0.26455000385435651</v>
      </c>
      <c r="K409" s="26">
        <f t="shared" si="39"/>
        <v>1.5378898419219332E-4</v>
      </c>
      <c r="L409" s="27">
        <f t="shared" si="40"/>
        <v>1.9480081859916416E-3</v>
      </c>
      <c r="M409" s="27">
        <f t="shared" si="41"/>
        <v>7.6126901302180414</v>
      </c>
      <c r="N409" s="27"/>
      <c r="O409" s="27"/>
      <c r="P409"/>
    </row>
    <row r="410" spans="1:16" ht="15">
      <c r="A410" s="17" t="s">
        <v>524</v>
      </c>
      <c r="B410" s="14" t="s">
        <v>40</v>
      </c>
      <c r="C410" s="25">
        <f>VLOOKUP(B410,'Consensus Phospho site'!B:G,6,FALSE)</f>
        <v>1.6273950544320925E-4</v>
      </c>
      <c r="D410" s="17" t="e">
        <v>#N/A</v>
      </c>
      <c r="E410" s="8" t="e">
        <v>#N/A</v>
      </c>
      <c r="F410" s="8">
        <v>0.5</v>
      </c>
      <c r="G410" s="8">
        <v>0.5</v>
      </c>
      <c r="H410" s="8">
        <f t="shared" si="36"/>
        <v>0.25</v>
      </c>
      <c r="I410" s="26">
        <f t="shared" si="37"/>
        <v>4.0684876360802312E-5</v>
      </c>
      <c r="J410" s="26">
        <f t="shared" si="38"/>
        <v>0.26455000385435651</v>
      </c>
      <c r="K410" s="26">
        <f t="shared" si="39"/>
        <v>1.5378898419219332E-4</v>
      </c>
      <c r="L410" s="27">
        <f t="shared" si="40"/>
        <v>1.9480081859916416E-3</v>
      </c>
      <c r="M410" s="27">
        <f t="shared" si="41"/>
        <v>7.6126901302180414</v>
      </c>
      <c r="N410" s="27"/>
      <c r="O410" s="27"/>
      <c r="P410"/>
    </row>
    <row r="411" spans="1:16" ht="15">
      <c r="A411" s="17" t="s">
        <v>535</v>
      </c>
      <c r="B411" s="14" t="s">
        <v>388</v>
      </c>
      <c r="C411" s="25">
        <f>VLOOKUP(B411,'Consensus Phospho site'!B:G,6,FALSE)</f>
        <v>1.6273950544320925E-4</v>
      </c>
      <c r="D411" s="17" t="e">
        <v>#N/A</v>
      </c>
      <c r="E411" s="8" t="e">
        <v>#N/A</v>
      </c>
      <c r="F411" s="8">
        <v>0.5</v>
      </c>
      <c r="G411" s="8">
        <v>0.5</v>
      </c>
      <c r="H411" s="8">
        <f t="shared" si="36"/>
        <v>0.25</v>
      </c>
      <c r="I411" s="26">
        <f t="shared" si="37"/>
        <v>4.0684876360802312E-5</v>
      </c>
      <c r="J411" s="26">
        <f t="shared" si="38"/>
        <v>0.26455000385435651</v>
      </c>
      <c r="K411" s="26">
        <f t="shared" si="39"/>
        <v>1.5378898419219332E-4</v>
      </c>
      <c r="L411" s="27">
        <f t="shared" si="40"/>
        <v>1.9480081859916416E-3</v>
      </c>
      <c r="M411" s="27">
        <f t="shared" si="41"/>
        <v>7.6126901302180414</v>
      </c>
      <c r="N411" s="27"/>
      <c r="O411" s="27"/>
      <c r="P411"/>
    </row>
    <row r="412" spans="1:16" ht="15">
      <c r="A412" s="17" t="s">
        <v>535</v>
      </c>
      <c r="B412" s="14" t="s">
        <v>389</v>
      </c>
      <c r="C412" s="25">
        <f>VLOOKUP(B412,'Consensus Phospho site'!B:G,6,FALSE)</f>
        <v>1.6273950544320925E-4</v>
      </c>
      <c r="D412" s="17" t="e">
        <v>#N/A</v>
      </c>
      <c r="E412" s="8" t="e">
        <v>#N/A</v>
      </c>
      <c r="F412" s="8">
        <v>0.5</v>
      </c>
      <c r="G412" s="8">
        <v>0.5</v>
      </c>
      <c r="H412" s="8">
        <f t="shared" si="36"/>
        <v>0.25</v>
      </c>
      <c r="I412" s="26">
        <f t="shared" si="37"/>
        <v>4.0684876360802312E-5</v>
      </c>
      <c r="J412" s="26">
        <f t="shared" si="38"/>
        <v>0.26455000385435651</v>
      </c>
      <c r="K412" s="26">
        <f t="shared" si="39"/>
        <v>1.5378898419219332E-4</v>
      </c>
      <c r="L412" s="27">
        <f t="shared" si="40"/>
        <v>1.9480081859916416E-3</v>
      </c>
      <c r="M412" s="27">
        <f t="shared" si="41"/>
        <v>7.6126901302180414</v>
      </c>
      <c r="N412" s="27"/>
      <c r="O412" s="27"/>
      <c r="P412"/>
    </row>
    <row r="413" spans="1:16" ht="15">
      <c r="A413" s="17" t="s">
        <v>535</v>
      </c>
      <c r="B413" s="14" t="s">
        <v>390</v>
      </c>
      <c r="C413" s="25">
        <f>VLOOKUP(B413,'Consensus Phospho site'!B:G,6,FALSE)</f>
        <v>1.6273950544320925E-4</v>
      </c>
      <c r="D413" s="17" t="e">
        <v>#N/A</v>
      </c>
      <c r="E413" s="8" t="e">
        <v>#N/A</v>
      </c>
      <c r="F413" s="8">
        <v>0.5</v>
      </c>
      <c r="G413" s="8">
        <v>0.5</v>
      </c>
      <c r="H413" s="8">
        <f t="shared" si="36"/>
        <v>0.25</v>
      </c>
      <c r="I413" s="26">
        <f t="shared" si="37"/>
        <v>4.0684876360802312E-5</v>
      </c>
      <c r="J413" s="26">
        <f t="shared" si="38"/>
        <v>0.26455000385435651</v>
      </c>
      <c r="K413" s="26">
        <f t="shared" si="39"/>
        <v>1.5378898419219332E-4</v>
      </c>
      <c r="L413" s="27">
        <f t="shared" si="40"/>
        <v>1.9480081859916416E-3</v>
      </c>
      <c r="M413" s="27">
        <f t="shared" si="41"/>
        <v>7.6126901302180414</v>
      </c>
      <c r="N413" s="27"/>
      <c r="O413" s="27"/>
      <c r="P413"/>
    </row>
    <row r="414" spans="1:16" ht="15">
      <c r="A414" s="17" t="s">
        <v>535</v>
      </c>
      <c r="B414" s="14" t="s">
        <v>391</v>
      </c>
      <c r="C414" s="25">
        <f>VLOOKUP(B414,'Consensus Phospho site'!B:G,6,FALSE)</f>
        <v>1.6273950544320925E-4</v>
      </c>
      <c r="D414" s="17" t="e">
        <v>#N/A</v>
      </c>
      <c r="E414" s="8" t="e">
        <v>#N/A</v>
      </c>
      <c r="F414" s="8">
        <v>0.5</v>
      </c>
      <c r="G414" s="8">
        <v>0.5</v>
      </c>
      <c r="H414" s="8">
        <f t="shared" si="36"/>
        <v>0.25</v>
      </c>
      <c r="I414" s="26">
        <f t="shared" si="37"/>
        <v>4.0684876360802312E-5</v>
      </c>
      <c r="J414" s="26">
        <f t="shared" si="38"/>
        <v>0.26455000385435651</v>
      </c>
      <c r="K414" s="26">
        <f t="shared" si="39"/>
        <v>1.5378898419219332E-4</v>
      </c>
      <c r="L414" s="27">
        <f t="shared" si="40"/>
        <v>1.9480081859916416E-3</v>
      </c>
      <c r="M414" s="27">
        <f t="shared" si="41"/>
        <v>7.6126901302180414</v>
      </c>
      <c r="N414" s="27"/>
      <c r="O414" s="27"/>
      <c r="P414"/>
    </row>
    <row r="415" spans="1:16" ht="15">
      <c r="A415" s="17" t="s">
        <v>535</v>
      </c>
      <c r="B415" s="14" t="s">
        <v>392</v>
      </c>
      <c r="C415" s="25">
        <f>VLOOKUP(B415,'Consensus Phospho site'!B:G,6,FALSE)</f>
        <v>1.6273950544320925E-4</v>
      </c>
      <c r="D415" s="17" t="e">
        <v>#N/A</v>
      </c>
      <c r="E415" s="8" t="e">
        <v>#N/A</v>
      </c>
      <c r="F415" s="8">
        <v>0.5</v>
      </c>
      <c r="G415" s="8">
        <v>0.5</v>
      </c>
      <c r="H415" s="8">
        <f t="shared" si="36"/>
        <v>0.25</v>
      </c>
      <c r="I415" s="26">
        <f t="shared" si="37"/>
        <v>4.0684876360802312E-5</v>
      </c>
      <c r="J415" s="26">
        <f t="shared" si="38"/>
        <v>0.26455000385435651</v>
      </c>
      <c r="K415" s="26">
        <f t="shared" si="39"/>
        <v>1.5378898419219332E-4</v>
      </c>
      <c r="L415" s="27">
        <f t="shared" si="40"/>
        <v>1.9480081859916416E-3</v>
      </c>
      <c r="M415" s="27">
        <f t="shared" si="41"/>
        <v>7.6126901302180414</v>
      </c>
      <c r="N415" s="27"/>
      <c r="O415" s="27"/>
      <c r="P415"/>
    </row>
    <row r="416" spans="1:16" ht="15">
      <c r="A416" s="17" t="s">
        <v>524</v>
      </c>
      <c r="B416" s="14" t="s">
        <v>46</v>
      </c>
      <c r="C416" s="25">
        <f>VLOOKUP(B416,'Consensus Phospho site'!B:G,6,FALSE)</f>
        <v>1.6273950544320925E-4</v>
      </c>
      <c r="D416" s="17" t="e">
        <v>#N/A</v>
      </c>
      <c r="E416" s="8" t="e">
        <v>#N/A</v>
      </c>
      <c r="F416" s="8">
        <v>0.5</v>
      </c>
      <c r="G416" s="8">
        <v>0.5</v>
      </c>
      <c r="H416" s="8">
        <f t="shared" si="36"/>
        <v>0.25</v>
      </c>
      <c r="I416" s="26">
        <f t="shared" si="37"/>
        <v>4.0684876360802312E-5</v>
      </c>
      <c r="J416" s="26">
        <f t="shared" si="38"/>
        <v>0.26455000385435651</v>
      </c>
      <c r="K416" s="26">
        <f t="shared" si="39"/>
        <v>1.5378898419219332E-4</v>
      </c>
      <c r="L416" s="27">
        <f t="shared" si="40"/>
        <v>1.9480081859916416E-3</v>
      </c>
      <c r="M416" s="27">
        <f t="shared" si="41"/>
        <v>7.6126901302180414</v>
      </c>
      <c r="N416" s="27"/>
      <c r="O416" s="27"/>
      <c r="P416"/>
    </row>
    <row r="417" spans="1:16" ht="15">
      <c r="A417" s="17" t="s">
        <v>524</v>
      </c>
      <c r="B417" s="14" t="s">
        <v>47</v>
      </c>
      <c r="C417" s="25">
        <f>VLOOKUP(B417,'Consensus Phospho site'!B:G,6,FALSE)</f>
        <v>1.6273950544320925E-4</v>
      </c>
      <c r="D417" s="17" t="e">
        <v>#N/A</v>
      </c>
      <c r="E417" s="8" t="e">
        <v>#N/A</v>
      </c>
      <c r="F417" s="8">
        <v>0.5</v>
      </c>
      <c r="G417" s="8">
        <v>0.5</v>
      </c>
      <c r="H417" s="8">
        <f t="shared" si="36"/>
        <v>0.25</v>
      </c>
      <c r="I417" s="26">
        <f t="shared" si="37"/>
        <v>4.0684876360802312E-5</v>
      </c>
      <c r="J417" s="26">
        <f t="shared" si="38"/>
        <v>0.26455000385435651</v>
      </c>
      <c r="K417" s="26">
        <f t="shared" si="39"/>
        <v>1.5378898419219332E-4</v>
      </c>
      <c r="L417" s="27">
        <f t="shared" si="40"/>
        <v>1.9480081859916416E-3</v>
      </c>
      <c r="M417" s="27">
        <f t="shared" si="41"/>
        <v>7.6126901302180414</v>
      </c>
      <c r="N417" s="27"/>
      <c r="O417" s="27"/>
      <c r="P417"/>
    </row>
    <row r="418" spans="1:16" ht="15">
      <c r="A418" s="17" t="s">
        <v>524</v>
      </c>
      <c r="B418" s="14" t="s">
        <v>49</v>
      </c>
      <c r="C418" s="25">
        <f>VLOOKUP(B418,'Consensus Phospho site'!B:G,6,FALSE)</f>
        <v>1.6273950544320925E-4</v>
      </c>
      <c r="D418" s="17" t="e">
        <v>#N/A</v>
      </c>
      <c r="E418" s="8" t="e">
        <v>#N/A</v>
      </c>
      <c r="F418" s="8">
        <v>0.5</v>
      </c>
      <c r="G418" s="8">
        <v>0.5</v>
      </c>
      <c r="H418" s="8">
        <f t="shared" si="36"/>
        <v>0.25</v>
      </c>
      <c r="I418" s="26">
        <f t="shared" si="37"/>
        <v>4.0684876360802312E-5</v>
      </c>
      <c r="J418" s="26">
        <f t="shared" si="38"/>
        <v>0.26455000385435651</v>
      </c>
      <c r="K418" s="26">
        <f t="shared" si="39"/>
        <v>1.5378898419219332E-4</v>
      </c>
      <c r="L418" s="27">
        <f t="shared" si="40"/>
        <v>1.9480081859916416E-3</v>
      </c>
      <c r="M418" s="27">
        <f t="shared" si="41"/>
        <v>7.6126901302180414</v>
      </c>
      <c r="N418" s="27"/>
      <c r="O418" s="27"/>
      <c r="P418"/>
    </row>
    <row r="419" spans="1:16" ht="15">
      <c r="A419" s="17" t="s">
        <v>524</v>
      </c>
      <c r="B419" s="14" t="s">
        <v>50</v>
      </c>
      <c r="C419" s="25">
        <f>VLOOKUP(B419,'Consensus Phospho site'!B:G,6,FALSE)</f>
        <v>1.6273950544320925E-4</v>
      </c>
      <c r="D419" s="17" t="e">
        <v>#N/A</v>
      </c>
      <c r="E419" s="8" t="e">
        <v>#N/A</v>
      </c>
      <c r="F419" s="8">
        <v>0.5</v>
      </c>
      <c r="G419" s="8">
        <v>0.5</v>
      </c>
      <c r="H419" s="8">
        <f t="shared" si="36"/>
        <v>0.25</v>
      </c>
      <c r="I419" s="26">
        <f t="shared" si="37"/>
        <v>4.0684876360802312E-5</v>
      </c>
      <c r="J419" s="26">
        <f t="shared" si="38"/>
        <v>0.26455000385435651</v>
      </c>
      <c r="K419" s="26">
        <f t="shared" si="39"/>
        <v>1.5378898419219332E-4</v>
      </c>
      <c r="L419" s="27">
        <f t="shared" si="40"/>
        <v>1.9480081859916416E-3</v>
      </c>
      <c r="M419" s="27">
        <f t="shared" si="41"/>
        <v>7.6126901302180414</v>
      </c>
      <c r="N419" s="27"/>
      <c r="O419" s="27"/>
      <c r="P419"/>
    </row>
    <row r="420" spans="1:16" ht="15">
      <c r="A420" s="17" t="s">
        <v>524</v>
      </c>
      <c r="B420" s="14" t="s">
        <v>52</v>
      </c>
      <c r="C420" s="25">
        <f>VLOOKUP(B420,'Consensus Phospho site'!B:G,6,FALSE)</f>
        <v>1.6273950544320925E-4</v>
      </c>
      <c r="D420" s="17" t="e">
        <v>#N/A</v>
      </c>
      <c r="E420" s="8" t="e">
        <v>#N/A</v>
      </c>
      <c r="F420" s="8">
        <v>0.5</v>
      </c>
      <c r="G420" s="8">
        <v>0.5</v>
      </c>
      <c r="H420" s="8">
        <f t="shared" si="36"/>
        <v>0.25</v>
      </c>
      <c r="I420" s="26">
        <f t="shared" si="37"/>
        <v>4.0684876360802312E-5</v>
      </c>
      <c r="J420" s="26">
        <f t="shared" si="38"/>
        <v>0.26455000385435651</v>
      </c>
      <c r="K420" s="26">
        <f t="shared" si="39"/>
        <v>1.5378898419219332E-4</v>
      </c>
      <c r="L420" s="27">
        <f t="shared" si="40"/>
        <v>1.9480081859916416E-3</v>
      </c>
      <c r="M420" s="27">
        <f t="shared" si="41"/>
        <v>7.6126901302180414</v>
      </c>
      <c r="N420" s="27"/>
      <c r="O420" s="27"/>
      <c r="P420"/>
    </row>
    <row r="421" spans="1:16" ht="15">
      <c r="A421" s="17" t="s">
        <v>524</v>
      </c>
      <c r="B421" s="14" t="s">
        <v>530</v>
      </c>
      <c r="C421" s="25">
        <f>VLOOKUP(B421,'Consensus Phospho site'!B:G,6,FALSE)</f>
        <v>1.6273950544320925E-4</v>
      </c>
      <c r="D421" s="17" t="e">
        <v>#N/A</v>
      </c>
      <c r="E421" s="8" t="e">
        <v>#N/A</v>
      </c>
      <c r="F421" s="8">
        <v>0.5</v>
      </c>
      <c r="G421" s="8">
        <v>0.5</v>
      </c>
      <c r="H421" s="8">
        <f t="shared" si="36"/>
        <v>0.25</v>
      </c>
      <c r="I421" s="26">
        <f t="shared" si="37"/>
        <v>4.0684876360802312E-5</v>
      </c>
      <c r="J421" s="26">
        <f t="shared" si="38"/>
        <v>0.26455000385435651</v>
      </c>
      <c r="K421" s="26">
        <f t="shared" si="39"/>
        <v>1.5378898419219332E-4</v>
      </c>
      <c r="L421" s="27">
        <f t="shared" si="40"/>
        <v>1.9480081859916416E-3</v>
      </c>
      <c r="M421" s="27">
        <f t="shared" si="41"/>
        <v>7.6126901302180414</v>
      </c>
      <c r="N421" s="27"/>
      <c r="O421" s="27"/>
      <c r="P421"/>
    </row>
    <row r="422" spans="1:16" ht="15">
      <c r="A422" s="17" t="s">
        <v>534</v>
      </c>
      <c r="B422" s="14" t="s">
        <v>115</v>
      </c>
      <c r="C422" s="25">
        <f>VLOOKUP(B422,'Consensus Phospho site'!B:G,6,FALSE)</f>
        <v>1.6273950544320925E-4</v>
      </c>
      <c r="D422" s="17" t="e">
        <v>#N/A</v>
      </c>
      <c r="E422" s="8" t="e">
        <v>#N/A</v>
      </c>
      <c r="F422" s="8">
        <v>0.5</v>
      </c>
      <c r="G422" s="8">
        <v>0.5</v>
      </c>
      <c r="H422" s="8">
        <f t="shared" si="36"/>
        <v>0.25</v>
      </c>
      <c r="I422" s="26">
        <f t="shared" si="37"/>
        <v>4.0684876360802312E-5</v>
      </c>
      <c r="J422" s="26">
        <f t="shared" si="38"/>
        <v>0.26455000385435651</v>
      </c>
      <c r="K422" s="26">
        <f t="shared" si="39"/>
        <v>1.5378898419219332E-4</v>
      </c>
      <c r="L422" s="27">
        <f t="shared" si="40"/>
        <v>1.9480081859916416E-3</v>
      </c>
      <c r="M422" s="27">
        <f t="shared" si="41"/>
        <v>7.6126901302180414</v>
      </c>
      <c r="N422" s="27"/>
      <c r="O422" s="27"/>
      <c r="P422"/>
    </row>
    <row r="423" spans="1:16" ht="15">
      <c r="A423" s="17" t="s">
        <v>534</v>
      </c>
      <c r="B423" s="14" t="s">
        <v>116</v>
      </c>
      <c r="C423" s="25">
        <f>VLOOKUP(B423,'Consensus Phospho site'!B:G,6,FALSE)</f>
        <v>1.6273950544320925E-4</v>
      </c>
      <c r="D423" s="17" t="e">
        <v>#N/A</v>
      </c>
      <c r="E423" s="8" t="e">
        <v>#N/A</v>
      </c>
      <c r="F423" s="8">
        <v>0.5</v>
      </c>
      <c r="G423" s="8">
        <v>0.5</v>
      </c>
      <c r="H423" s="8">
        <f t="shared" si="36"/>
        <v>0.25</v>
      </c>
      <c r="I423" s="26">
        <f t="shared" si="37"/>
        <v>4.0684876360802312E-5</v>
      </c>
      <c r="J423" s="26">
        <f t="shared" si="38"/>
        <v>0.26455000385435651</v>
      </c>
      <c r="K423" s="26">
        <f t="shared" si="39"/>
        <v>1.5378898419219332E-4</v>
      </c>
      <c r="L423" s="27">
        <f t="shared" si="40"/>
        <v>1.9480081859916416E-3</v>
      </c>
      <c r="M423" s="27">
        <f t="shared" si="41"/>
        <v>7.6126901302180414</v>
      </c>
      <c r="N423" s="27"/>
      <c r="O423" s="27"/>
      <c r="P423"/>
    </row>
    <row r="424" spans="1:16" ht="15">
      <c r="A424" s="17" t="s">
        <v>534</v>
      </c>
      <c r="B424" s="14" t="s">
        <v>118</v>
      </c>
      <c r="C424" s="25">
        <f>VLOOKUP(B424,'Consensus Phospho site'!B:G,6,FALSE)</f>
        <v>1.6273950544320925E-4</v>
      </c>
      <c r="D424" s="17" t="e">
        <v>#N/A</v>
      </c>
      <c r="E424" s="8" t="e">
        <v>#N/A</v>
      </c>
      <c r="F424" s="8">
        <v>0.5</v>
      </c>
      <c r="G424" s="8">
        <v>0.5</v>
      </c>
      <c r="H424" s="8">
        <f t="shared" si="36"/>
        <v>0.25</v>
      </c>
      <c r="I424" s="26">
        <f t="shared" si="37"/>
        <v>4.0684876360802312E-5</v>
      </c>
      <c r="J424" s="26">
        <f t="shared" si="38"/>
        <v>0.26455000385435651</v>
      </c>
      <c r="K424" s="26">
        <f t="shared" si="39"/>
        <v>1.5378898419219332E-4</v>
      </c>
      <c r="L424" s="27">
        <f t="shared" si="40"/>
        <v>1.9480081859916416E-3</v>
      </c>
      <c r="M424" s="27">
        <f t="shared" si="41"/>
        <v>7.6126901302180414</v>
      </c>
      <c r="N424" s="27"/>
      <c r="O424" s="27"/>
      <c r="P424"/>
    </row>
    <row r="425" spans="1:16" ht="15">
      <c r="A425" s="17" t="s">
        <v>535</v>
      </c>
      <c r="B425" s="14" t="s">
        <v>396</v>
      </c>
      <c r="C425" s="25">
        <f>VLOOKUP(B425,'Consensus Phospho site'!B:G,6,FALSE)</f>
        <v>1.6273950544320925E-4</v>
      </c>
      <c r="D425" s="17" t="e">
        <v>#N/A</v>
      </c>
      <c r="E425" s="8" t="e">
        <v>#N/A</v>
      </c>
      <c r="F425" s="8">
        <v>0.5</v>
      </c>
      <c r="G425" s="8">
        <v>0.5</v>
      </c>
      <c r="H425" s="8">
        <f t="shared" si="36"/>
        <v>0.25</v>
      </c>
      <c r="I425" s="26">
        <f t="shared" si="37"/>
        <v>4.0684876360802312E-5</v>
      </c>
      <c r="J425" s="26">
        <f t="shared" si="38"/>
        <v>0.26455000385435651</v>
      </c>
      <c r="K425" s="26">
        <f t="shared" si="39"/>
        <v>1.5378898419219332E-4</v>
      </c>
      <c r="L425" s="27">
        <f t="shared" si="40"/>
        <v>1.9480081859916416E-3</v>
      </c>
      <c r="M425" s="27">
        <f t="shared" si="41"/>
        <v>7.6126901302180414</v>
      </c>
      <c r="N425" s="27"/>
      <c r="O425" s="27"/>
      <c r="P425"/>
    </row>
    <row r="426" spans="1:16" ht="15">
      <c r="A426" s="17" t="s">
        <v>535</v>
      </c>
      <c r="B426" s="14" t="s">
        <v>397</v>
      </c>
      <c r="C426" s="25">
        <f>VLOOKUP(B426,'Consensus Phospho site'!B:G,6,FALSE)</f>
        <v>1.6273950544320925E-4</v>
      </c>
      <c r="D426" s="17" t="e">
        <v>#N/A</v>
      </c>
      <c r="E426" s="8" t="e">
        <v>#N/A</v>
      </c>
      <c r="F426" s="8">
        <v>0.5</v>
      </c>
      <c r="G426" s="8">
        <v>0.5</v>
      </c>
      <c r="H426" s="8">
        <f t="shared" si="36"/>
        <v>0.25</v>
      </c>
      <c r="I426" s="26">
        <f t="shared" si="37"/>
        <v>4.0684876360802312E-5</v>
      </c>
      <c r="J426" s="26">
        <f t="shared" si="38"/>
        <v>0.26455000385435651</v>
      </c>
      <c r="K426" s="26">
        <f t="shared" si="39"/>
        <v>1.5378898419219332E-4</v>
      </c>
      <c r="L426" s="27">
        <f t="shared" si="40"/>
        <v>1.9480081859916416E-3</v>
      </c>
      <c r="M426" s="27">
        <f t="shared" si="41"/>
        <v>7.6126901302180414</v>
      </c>
      <c r="N426" s="27"/>
      <c r="O426" s="27"/>
      <c r="P426"/>
    </row>
    <row r="427" spans="1:16" ht="15">
      <c r="A427" s="17" t="s">
        <v>524</v>
      </c>
      <c r="B427" s="14" t="s">
        <v>56</v>
      </c>
      <c r="C427" s="25">
        <f>VLOOKUP(B427,'Consensus Phospho site'!B:G,6,FALSE)</f>
        <v>1.6273950544320925E-4</v>
      </c>
      <c r="D427" s="17" t="e">
        <v>#N/A</v>
      </c>
      <c r="E427" s="8" t="e">
        <v>#N/A</v>
      </c>
      <c r="F427" s="8">
        <v>0.5</v>
      </c>
      <c r="G427" s="8">
        <v>0.5</v>
      </c>
      <c r="H427" s="8">
        <f t="shared" si="36"/>
        <v>0.25</v>
      </c>
      <c r="I427" s="26">
        <f t="shared" si="37"/>
        <v>4.0684876360802312E-5</v>
      </c>
      <c r="J427" s="26">
        <f t="shared" si="38"/>
        <v>0.26455000385435651</v>
      </c>
      <c r="K427" s="26">
        <f t="shared" si="39"/>
        <v>1.5378898419219332E-4</v>
      </c>
      <c r="L427" s="27">
        <f t="shared" si="40"/>
        <v>1.9480081859916416E-3</v>
      </c>
      <c r="M427" s="27">
        <f t="shared" si="41"/>
        <v>7.6126901302180414</v>
      </c>
      <c r="N427" s="27"/>
      <c r="O427" s="27"/>
      <c r="P427"/>
    </row>
    <row r="428" spans="1:16" ht="15">
      <c r="A428" s="17" t="s">
        <v>535</v>
      </c>
      <c r="B428" s="14" t="s">
        <v>398</v>
      </c>
      <c r="C428" s="25">
        <f>VLOOKUP(B428,'Consensus Phospho site'!B:G,6,FALSE)</f>
        <v>1.6273950544320925E-4</v>
      </c>
      <c r="D428" s="17" t="e">
        <v>#N/A</v>
      </c>
      <c r="E428" s="8" t="e">
        <v>#N/A</v>
      </c>
      <c r="F428" s="8">
        <v>0.5</v>
      </c>
      <c r="G428" s="8">
        <v>0.5</v>
      </c>
      <c r="H428" s="8">
        <f t="shared" si="36"/>
        <v>0.25</v>
      </c>
      <c r="I428" s="26">
        <f t="shared" si="37"/>
        <v>4.0684876360802312E-5</v>
      </c>
      <c r="J428" s="26">
        <f t="shared" si="38"/>
        <v>0.26455000385435651</v>
      </c>
      <c r="K428" s="26">
        <f t="shared" si="39"/>
        <v>1.5378898419219332E-4</v>
      </c>
      <c r="L428" s="27">
        <f t="shared" si="40"/>
        <v>1.9480081859916416E-3</v>
      </c>
      <c r="M428" s="27">
        <f t="shared" si="41"/>
        <v>7.6126901302180414</v>
      </c>
      <c r="N428" s="27"/>
      <c r="O428" s="27"/>
      <c r="P428"/>
    </row>
    <row r="429" spans="1:16" ht="15">
      <c r="A429" s="17" t="s">
        <v>535</v>
      </c>
      <c r="B429" s="14" t="s">
        <v>399</v>
      </c>
      <c r="C429" s="25">
        <f>VLOOKUP(B429,'Consensus Phospho site'!B:G,6,FALSE)</f>
        <v>1.6273950544320925E-4</v>
      </c>
      <c r="D429" s="17" t="e">
        <v>#N/A</v>
      </c>
      <c r="E429" s="8" t="e">
        <v>#N/A</v>
      </c>
      <c r="F429" s="8">
        <v>0.5</v>
      </c>
      <c r="G429" s="8">
        <v>0.5</v>
      </c>
      <c r="H429" s="8">
        <f t="shared" si="36"/>
        <v>0.25</v>
      </c>
      <c r="I429" s="26">
        <f t="shared" si="37"/>
        <v>4.0684876360802312E-5</v>
      </c>
      <c r="J429" s="26">
        <f t="shared" si="38"/>
        <v>0.26455000385435651</v>
      </c>
      <c r="K429" s="26">
        <f t="shared" si="39"/>
        <v>1.5378898419219332E-4</v>
      </c>
      <c r="L429" s="27">
        <f t="shared" si="40"/>
        <v>1.9480081859916416E-3</v>
      </c>
      <c r="M429" s="27">
        <f t="shared" si="41"/>
        <v>7.6126901302180414</v>
      </c>
      <c r="N429" s="27"/>
      <c r="O429" s="27"/>
      <c r="P429"/>
    </row>
    <row r="430" spans="1:16" ht="15">
      <c r="A430" s="17" t="s">
        <v>535</v>
      </c>
      <c r="B430" s="14" t="s">
        <v>403</v>
      </c>
      <c r="C430" s="25">
        <f>VLOOKUP(B430,'Consensus Phospho site'!B:G,6,FALSE)</f>
        <v>1.6273950544320925E-4</v>
      </c>
      <c r="D430" s="17" t="e">
        <v>#N/A</v>
      </c>
      <c r="E430" s="8" t="e">
        <v>#N/A</v>
      </c>
      <c r="F430" s="8">
        <v>0.5</v>
      </c>
      <c r="G430" s="8">
        <v>0.5</v>
      </c>
      <c r="H430" s="8">
        <f t="shared" si="36"/>
        <v>0.25</v>
      </c>
      <c r="I430" s="26">
        <f t="shared" si="37"/>
        <v>4.0684876360802312E-5</v>
      </c>
      <c r="J430" s="26">
        <f t="shared" si="38"/>
        <v>0.26455000385435651</v>
      </c>
      <c r="K430" s="26">
        <f t="shared" si="39"/>
        <v>1.5378898419219332E-4</v>
      </c>
      <c r="L430" s="27">
        <f t="shared" si="40"/>
        <v>1.9480081859916416E-3</v>
      </c>
      <c r="M430" s="27">
        <f t="shared" si="41"/>
        <v>7.6126901302180414</v>
      </c>
      <c r="N430" s="27"/>
      <c r="O430" s="27"/>
      <c r="P430"/>
    </row>
    <row r="431" spans="1:16" ht="15">
      <c r="A431" s="17" t="s">
        <v>535</v>
      </c>
      <c r="B431" s="14" t="s">
        <v>404</v>
      </c>
      <c r="C431" s="25">
        <f>VLOOKUP(B431,'Consensus Phospho site'!B:G,6,FALSE)</f>
        <v>1.6273950544320925E-4</v>
      </c>
      <c r="D431" s="17" t="e">
        <v>#N/A</v>
      </c>
      <c r="E431" s="8" t="e">
        <v>#N/A</v>
      </c>
      <c r="F431" s="8">
        <v>0.5</v>
      </c>
      <c r="G431" s="8">
        <v>0.5</v>
      </c>
      <c r="H431" s="8">
        <f t="shared" si="36"/>
        <v>0.25</v>
      </c>
      <c r="I431" s="26">
        <f t="shared" si="37"/>
        <v>4.0684876360802312E-5</v>
      </c>
      <c r="J431" s="26">
        <f t="shared" si="38"/>
        <v>0.26455000385435651</v>
      </c>
      <c r="K431" s="26">
        <f t="shared" si="39"/>
        <v>1.5378898419219332E-4</v>
      </c>
      <c r="L431" s="27">
        <f t="shared" si="40"/>
        <v>1.9480081859916416E-3</v>
      </c>
      <c r="M431" s="27">
        <f t="shared" si="41"/>
        <v>7.6126901302180414</v>
      </c>
      <c r="N431" s="27"/>
      <c r="O431" s="27"/>
      <c r="P431"/>
    </row>
    <row r="432" spans="1:16" ht="15">
      <c r="A432" s="17" t="s">
        <v>535</v>
      </c>
      <c r="B432" s="14" t="s">
        <v>405</v>
      </c>
      <c r="C432" s="25">
        <f>VLOOKUP(B432,'Consensus Phospho site'!B:G,6,FALSE)</f>
        <v>1.6273950544320925E-4</v>
      </c>
      <c r="D432" s="17" t="e">
        <v>#N/A</v>
      </c>
      <c r="E432" s="8" t="e">
        <v>#N/A</v>
      </c>
      <c r="F432" s="8">
        <v>0.5</v>
      </c>
      <c r="G432" s="8">
        <v>0.5</v>
      </c>
      <c r="H432" s="8">
        <f t="shared" si="36"/>
        <v>0.25</v>
      </c>
      <c r="I432" s="26">
        <f t="shared" si="37"/>
        <v>4.0684876360802312E-5</v>
      </c>
      <c r="J432" s="26">
        <f t="shared" si="38"/>
        <v>0.26455000385435651</v>
      </c>
      <c r="K432" s="26">
        <f t="shared" si="39"/>
        <v>1.5378898419219332E-4</v>
      </c>
      <c r="L432" s="27">
        <f t="shared" si="40"/>
        <v>1.9480081859916416E-3</v>
      </c>
      <c r="M432" s="27">
        <f t="shared" si="41"/>
        <v>7.6126901302180414</v>
      </c>
      <c r="N432" s="27"/>
      <c r="O432" s="27"/>
      <c r="P432"/>
    </row>
    <row r="433" spans="1:16" ht="15">
      <c r="A433" s="17" t="s">
        <v>534</v>
      </c>
      <c r="B433" s="14" t="s">
        <v>129</v>
      </c>
      <c r="C433" s="25">
        <f>VLOOKUP(B433,'Consensus Phospho site'!B:G,6,FALSE)</f>
        <v>1.6273950544320925E-4</v>
      </c>
      <c r="D433" s="17" t="e">
        <v>#N/A</v>
      </c>
      <c r="E433" s="8" t="e">
        <v>#N/A</v>
      </c>
      <c r="F433" s="8">
        <v>0.5</v>
      </c>
      <c r="G433" s="8">
        <v>0.5</v>
      </c>
      <c r="H433" s="8">
        <f t="shared" si="36"/>
        <v>0.25</v>
      </c>
      <c r="I433" s="26">
        <f t="shared" si="37"/>
        <v>4.0684876360802312E-5</v>
      </c>
      <c r="J433" s="26">
        <f t="shared" si="38"/>
        <v>0.26455000385435651</v>
      </c>
      <c r="K433" s="26">
        <f t="shared" si="39"/>
        <v>1.5378898419219332E-4</v>
      </c>
      <c r="L433" s="27">
        <f t="shared" si="40"/>
        <v>1.9480081859916416E-3</v>
      </c>
      <c r="M433" s="27">
        <f t="shared" si="41"/>
        <v>7.6126901302180414</v>
      </c>
      <c r="N433" s="27"/>
      <c r="O433" s="27"/>
      <c r="P433"/>
    </row>
    <row r="434" spans="1:16" ht="15">
      <c r="A434" s="17" t="s">
        <v>534</v>
      </c>
      <c r="B434" s="14" t="s">
        <v>135</v>
      </c>
      <c r="C434" s="25">
        <f>VLOOKUP(B434,'Consensus Phospho site'!B:G,6,FALSE)</f>
        <v>1.6273950544320925E-4</v>
      </c>
      <c r="D434" s="17" t="e">
        <v>#N/A</v>
      </c>
      <c r="E434" s="8" t="e">
        <v>#N/A</v>
      </c>
      <c r="F434" s="8">
        <v>0.5</v>
      </c>
      <c r="G434" s="8">
        <v>0.5</v>
      </c>
      <c r="H434" s="8">
        <f t="shared" si="36"/>
        <v>0.25</v>
      </c>
      <c r="I434" s="26">
        <f t="shared" si="37"/>
        <v>4.0684876360802312E-5</v>
      </c>
      <c r="J434" s="26">
        <f t="shared" si="38"/>
        <v>0.26455000385435651</v>
      </c>
      <c r="K434" s="26">
        <f t="shared" si="39"/>
        <v>1.5378898419219332E-4</v>
      </c>
      <c r="L434" s="27">
        <f t="shared" si="40"/>
        <v>1.9480081859916416E-3</v>
      </c>
      <c r="M434" s="27">
        <f t="shared" si="41"/>
        <v>7.6126901302180414</v>
      </c>
      <c r="N434" s="27"/>
      <c r="O434" s="27"/>
      <c r="P434"/>
    </row>
    <row r="435" spans="1:16" ht="15">
      <c r="A435" s="17" t="s">
        <v>534</v>
      </c>
      <c r="B435" s="14" t="s">
        <v>136</v>
      </c>
      <c r="C435" s="25">
        <f>VLOOKUP(B435,'Consensus Phospho site'!B:G,6,FALSE)</f>
        <v>1.6273950544320925E-4</v>
      </c>
      <c r="D435" s="17" t="e">
        <v>#N/A</v>
      </c>
      <c r="E435" s="8" t="e">
        <v>#N/A</v>
      </c>
      <c r="F435" s="8">
        <v>0.5</v>
      </c>
      <c r="G435" s="8">
        <v>0.5</v>
      </c>
      <c r="H435" s="8">
        <f t="shared" si="36"/>
        <v>0.25</v>
      </c>
      <c r="I435" s="26">
        <f t="shared" si="37"/>
        <v>4.0684876360802312E-5</v>
      </c>
      <c r="J435" s="26">
        <f t="shared" si="38"/>
        <v>0.26455000385435651</v>
      </c>
      <c r="K435" s="26">
        <f t="shared" si="39"/>
        <v>1.5378898419219332E-4</v>
      </c>
      <c r="L435" s="27">
        <f t="shared" si="40"/>
        <v>1.9480081859916416E-3</v>
      </c>
      <c r="M435" s="27">
        <f t="shared" si="41"/>
        <v>7.6126901302180414</v>
      </c>
      <c r="N435" s="27"/>
      <c r="O435" s="27"/>
      <c r="P435"/>
    </row>
    <row r="436" spans="1:16" ht="15">
      <c r="A436" s="17" t="s">
        <v>535</v>
      </c>
      <c r="B436" s="14" t="s">
        <v>409</v>
      </c>
      <c r="C436" s="25">
        <f>VLOOKUP(B436,'Consensus Phospho site'!B:G,6,FALSE)</f>
        <v>1.6273950544320925E-4</v>
      </c>
      <c r="D436" s="17" t="e">
        <v>#N/A</v>
      </c>
      <c r="E436" s="8" t="e">
        <v>#N/A</v>
      </c>
      <c r="F436" s="8">
        <v>0.5</v>
      </c>
      <c r="G436" s="8">
        <v>0.5</v>
      </c>
      <c r="H436" s="8">
        <f t="shared" si="36"/>
        <v>0.25</v>
      </c>
      <c r="I436" s="26">
        <f t="shared" si="37"/>
        <v>4.0684876360802312E-5</v>
      </c>
      <c r="J436" s="26">
        <f t="shared" si="38"/>
        <v>0.26455000385435651</v>
      </c>
      <c r="K436" s="26">
        <f t="shared" si="39"/>
        <v>1.5378898419219332E-4</v>
      </c>
      <c r="L436" s="27">
        <f t="shared" si="40"/>
        <v>1.9480081859916416E-3</v>
      </c>
      <c r="M436" s="27">
        <f t="shared" si="41"/>
        <v>7.6126901302180414</v>
      </c>
      <c r="N436" s="27"/>
      <c r="O436" s="27"/>
      <c r="P436"/>
    </row>
    <row r="437" spans="1:16" ht="15">
      <c r="A437" s="17" t="s">
        <v>535</v>
      </c>
      <c r="B437" s="14" t="s">
        <v>411</v>
      </c>
      <c r="C437" s="25">
        <f>VLOOKUP(B437,'Consensus Phospho site'!B:G,6,FALSE)</f>
        <v>1.6273950544320925E-4</v>
      </c>
      <c r="D437" s="17" t="e">
        <v>#N/A</v>
      </c>
      <c r="E437" s="8" t="e">
        <v>#N/A</v>
      </c>
      <c r="F437" s="8">
        <v>0.5</v>
      </c>
      <c r="G437" s="8">
        <v>0.5</v>
      </c>
      <c r="H437" s="8">
        <f t="shared" si="36"/>
        <v>0.25</v>
      </c>
      <c r="I437" s="26">
        <f t="shared" si="37"/>
        <v>4.0684876360802312E-5</v>
      </c>
      <c r="J437" s="26">
        <f t="shared" si="38"/>
        <v>0.26455000385435651</v>
      </c>
      <c r="K437" s="26">
        <f t="shared" si="39"/>
        <v>1.5378898419219332E-4</v>
      </c>
      <c r="L437" s="27">
        <f t="shared" si="40"/>
        <v>1.9480081859916416E-3</v>
      </c>
      <c r="M437" s="27">
        <f t="shared" si="41"/>
        <v>7.6126901302180414</v>
      </c>
      <c r="N437" s="27"/>
      <c r="O437" s="27"/>
      <c r="P437"/>
    </row>
    <row r="438" spans="1:16" ht="15">
      <c r="A438" s="17" t="s">
        <v>542</v>
      </c>
      <c r="B438" s="14" t="s">
        <v>501</v>
      </c>
      <c r="C438" s="25">
        <f>VLOOKUP(B438,'Consensus Phospho site'!B:G,6,FALSE)</f>
        <v>8.1369752721604616E-4</v>
      </c>
      <c r="D438" s="17" t="e">
        <v>#N/A</v>
      </c>
      <c r="E438" s="8" t="e">
        <v>#N/A</v>
      </c>
      <c r="F438" s="8">
        <v>0.5</v>
      </c>
      <c r="G438" s="8">
        <v>9.9999999999999978E-2</v>
      </c>
      <c r="H438" s="8">
        <f t="shared" si="36"/>
        <v>4.9999999999999989E-2</v>
      </c>
      <c r="I438" s="26">
        <f t="shared" si="37"/>
        <v>4.0684876360802298E-5</v>
      </c>
      <c r="J438" s="26">
        <f t="shared" si="38"/>
        <v>0.26455000385435651</v>
      </c>
      <c r="K438" s="26">
        <f t="shared" si="39"/>
        <v>1.5378898419219326E-4</v>
      </c>
      <c r="L438" s="27">
        <f t="shared" si="40"/>
        <v>1.9480081859916409E-3</v>
      </c>
      <c r="M438" s="27">
        <f t="shared" si="41"/>
        <v>7.6126901302180414</v>
      </c>
      <c r="N438" s="27"/>
      <c r="O438" s="27"/>
      <c r="P438"/>
    </row>
    <row r="439" spans="1:16" ht="42">
      <c r="A439" s="17" t="s">
        <v>534</v>
      </c>
      <c r="B439" s="14" t="s">
        <v>63</v>
      </c>
      <c r="C439" s="25">
        <f>VLOOKUP(B439,'Consensus Phospho site'!B:G,6,FALSE)</f>
        <v>1.5460253017104872E-3</v>
      </c>
      <c r="D439" s="17" t="s">
        <v>633</v>
      </c>
      <c r="E439" s="8" t="s">
        <v>923</v>
      </c>
      <c r="F439" s="8">
        <v>0.2</v>
      </c>
      <c r="G439" s="8">
        <v>9.9999999999999978E-2</v>
      </c>
      <c r="H439" s="8">
        <f t="shared" si="36"/>
        <v>1.9999999999999997E-2</v>
      </c>
      <c r="I439" s="26">
        <f t="shared" si="37"/>
        <v>3.0920506034209743E-5</v>
      </c>
      <c r="J439" s="26">
        <f t="shared" si="38"/>
        <v>0.26455000385435651</v>
      </c>
      <c r="K439" s="26">
        <f t="shared" si="39"/>
        <v>1.1687962798606687E-4</v>
      </c>
      <c r="L439" s="27">
        <f t="shared" si="40"/>
        <v>1.5267622177522464E-3</v>
      </c>
      <c r="M439" s="27">
        <f t="shared" si="41"/>
        <v>7.6126901302180414</v>
      </c>
      <c r="N439" s="27"/>
      <c r="O439" s="27"/>
      <c r="P439"/>
    </row>
    <row r="440" spans="1:16" ht="15">
      <c r="A440" s="17" t="s">
        <v>534</v>
      </c>
      <c r="B440" s="14" t="s">
        <v>102</v>
      </c>
      <c r="C440" s="25">
        <f>VLOOKUP(B440,'Consensus Phospho site'!B:G,6,FALSE)</f>
        <v>5.9956659900129697E-4</v>
      </c>
      <c r="D440" s="17" t="e">
        <v>#N/A</v>
      </c>
      <c r="E440" s="8" t="e">
        <v>#N/A</v>
      </c>
      <c r="F440" s="8">
        <v>0.5</v>
      </c>
      <c r="G440" s="8">
        <v>9.9999999999999978E-2</v>
      </c>
      <c r="H440" s="8">
        <f t="shared" si="36"/>
        <v>4.9999999999999989E-2</v>
      </c>
      <c r="I440" s="26">
        <f t="shared" si="37"/>
        <v>2.9978329950064842E-5</v>
      </c>
      <c r="J440" s="26">
        <f t="shared" si="38"/>
        <v>0.26455000385435651</v>
      </c>
      <c r="K440" s="26">
        <f t="shared" si="39"/>
        <v>1.1331819887845815E-4</v>
      </c>
      <c r="L440" s="27">
        <f t="shared" si="40"/>
        <v>1.48529934536702E-3</v>
      </c>
      <c r="M440" s="27">
        <f t="shared" si="41"/>
        <v>7.6126901302180414</v>
      </c>
      <c r="N440" s="27"/>
      <c r="O440" s="27"/>
      <c r="P440"/>
    </row>
    <row r="441" spans="1:16" ht="42">
      <c r="A441" s="17" t="s">
        <v>534</v>
      </c>
      <c r="B441" s="14" t="s">
        <v>64</v>
      </c>
      <c r="C441" s="25">
        <f>VLOOKUP(B441,'Consensus Phospho site'!B:G,6,FALSE)</f>
        <v>1.1391765381024643E-3</v>
      </c>
      <c r="D441" s="17" t="s">
        <v>587</v>
      </c>
      <c r="E441" s="8" t="s">
        <v>923</v>
      </c>
      <c r="F441" s="8">
        <v>0.2</v>
      </c>
      <c r="G441" s="8">
        <v>9.9999999999999978E-2</v>
      </c>
      <c r="H441" s="8">
        <f t="shared" si="36"/>
        <v>1.9999999999999997E-2</v>
      </c>
      <c r="I441" s="26">
        <f t="shared" si="37"/>
        <v>2.2783530762049283E-5</v>
      </c>
      <c r="J441" s="26">
        <f t="shared" si="38"/>
        <v>0.26455000385435651</v>
      </c>
      <c r="K441" s="26">
        <f t="shared" si="39"/>
        <v>8.6121831147628204E-5</v>
      </c>
      <c r="L441" s="27">
        <f t="shared" si="40"/>
        <v>1.1629256050884294E-3</v>
      </c>
      <c r="M441" s="27">
        <f t="shared" si="41"/>
        <v>7.6126901302180414</v>
      </c>
      <c r="N441" s="27"/>
      <c r="O441" s="27"/>
      <c r="P441"/>
    </row>
    <row r="442" spans="1:16" ht="15">
      <c r="A442" s="17" t="s">
        <v>535</v>
      </c>
      <c r="B442" s="14" t="s">
        <v>320</v>
      </c>
      <c r="C442" s="25">
        <f>VLOOKUP(B442,'Consensus Phospho site'!B:G,6,FALSE)</f>
        <v>8.5652371285899594E-5</v>
      </c>
      <c r="D442" s="17" t="e">
        <v>#N/A</v>
      </c>
      <c r="E442" s="8" t="e">
        <v>#N/A</v>
      </c>
      <c r="F442" s="8">
        <v>0.5</v>
      </c>
      <c r="G442" s="8">
        <v>0.5</v>
      </c>
      <c r="H442" s="8">
        <f t="shared" si="36"/>
        <v>0.25</v>
      </c>
      <c r="I442" s="26">
        <f t="shared" si="37"/>
        <v>2.1413092821474898E-5</v>
      </c>
      <c r="J442" s="26">
        <f t="shared" si="38"/>
        <v>0.26455000385435651</v>
      </c>
      <c r="K442" s="26">
        <f t="shared" si="39"/>
        <v>8.0941570627470158E-5</v>
      </c>
      <c r="L442" s="27">
        <f t="shared" si="40"/>
        <v>1.1002193136494551E-3</v>
      </c>
      <c r="M442" s="27">
        <f t="shared" si="41"/>
        <v>7.6126901302180414</v>
      </c>
      <c r="N442" s="27"/>
      <c r="O442" s="27"/>
      <c r="P442"/>
    </row>
    <row r="443" spans="1:16" ht="15">
      <c r="A443" s="17" t="s">
        <v>535</v>
      </c>
      <c r="B443" s="14" t="s">
        <v>324</v>
      </c>
      <c r="C443" s="25">
        <f>VLOOKUP(B443,'Consensus Phospho site'!B:G,6,FALSE)</f>
        <v>8.5652371285899594E-5</v>
      </c>
      <c r="D443" s="17" t="e">
        <v>#N/A</v>
      </c>
      <c r="E443" s="8" t="e">
        <v>#N/A</v>
      </c>
      <c r="F443" s="8">
        <v>0.5</v>
      </c>
      <c r="G443" s="8">
        <v>0.5</v>
      </c>
      <c r="H443" s="8">
        <f t="shared" si="36"/>
        <v>0.25</v>
      </c>
      <c r="I443" s="26">
        <f t="shared" si="37"/>
        <v>2.1413092821474898E-5</v>
      </c>
      <c r="J443" s="26">
        <f t="shared" si="38"/>
        <v>0.26455000385435651</v>
      </c>
      <c r="K443" s="26">
        <f t="shared" si="39"/>
        <v>8.0941570627470158E-5</v>
      </c>
      <c r="L443" s="27">
        <f t="shared" si="40"/>
        <v>1.1002193136494551E-3</v>
      </c>
      <c r="M443" s="27">
        <f t="shared" si="41"/>
        <v>7.6126901302180414</v>
      </c>
      <c r="N443" s="27"/>
      <c r="O443" s="27"/>
      <c r="P443"/>
    </row>
    <row r="444" spans="1:16" ht="15">
      <c r="A444" s="17" t="s">
        <v>534</v>
      </c>
      <c r="B444" s="14" t="s">
        <v>58</v>
      </c>
      <c r="C444" s="25">
        <f>VLOOKUP(B444,'Consensus Phospho site'!B:G,6,FALSE)</f>
        <v>8.5652371285899594E-5</v>
      </c>
      <c r="D444" s="17" t="e">
        <v>#N/A</v>
      </c>
      <c r="E444" s="8" t="e">
        <v>#N/A</v>
      </c>
      <c r="F444" s="8">
        <v>0.5</v>
      </c>
      <c r="G444" s="8">
        <v>0.5</v>
      </c>
      <c r="H444" s="8">
        <f t="shared" si="36"/>
        <v>0.25</v>
      </c>
      <c r="I444" s="26">
        <f t="shared" si="37"/>
        <v>2.1413092821474898E-5</v>
      </c>
      <c r="J444" s="26">
        <f t="shared" si="38"/>
        <v>0.26455000385435651</v>
      </c>
      <c r="K444" s="26">
        <f t="shared" si="39"/>
        <v>8.0941570627470158E-5</v>
      </c>
      <c r="L444" s="27">
        <f t="shared" si="40"/>
        <v>1.1002193136494551E-3</v>
      </c>
      <c r="M444" s="27">
        <f t="shared" si="41"/>
        <v>7.6126901302180414</v>
      </c>
      <c r="N444" s="27"/>
      <c r="O444" s="27"/>
      <c r="P444"/>
    </row>
    <row r="445" spans="1:16" ht="15">
      <c r="A445" s="17" t="s">
        <v>535</v>
      </c>
      <c r="B445" s="14" t="s">
        <v>327</v>
      </c>
      <c r="C445" s="25">
        <f>VLOOKUP(B445,'Consensus Phospho site'!B:G,6,FALSE)</f>
        <v>8.5652371285899594E-5</v>
      </c>
      <c r="D445" s="17" t="e">
        <v>#N/A</v>
      </c>
      <c r="E445" s="8" t="e">
        <v>#N/A</v>
      </c>
      <c r="F445" s="8">
        <v>0.5</v>
      </c>
      <c r="G445" s="8">
        <v>0.5</v>
      </c>
      <c r="H445" s="8">
        <f t="shared" si="36"/>
        <v>0.25</v>
      </c>
      <c r="I445" s="26">
        <f t="shared" si="37"/>
        <v>2.1413092821474898E-5</v>
      </c>
      <c r="J445" s="26">
        <f t="shared" si="38"/>
        <v>0.26455000385435651</v>
      </c>
      <c r="K445" s="26">
        <f t="shared" si="39"/>
        <v>8.0941570627470158E-5</v>
      </c>
      <c r="L445" s="27">
        <f t="shared" si="40"/>
        <v>1.1002193136494551E-3</v>
      </c>
      <c r="M445" s="27">
        <f t="shared" si="41"/>
        <v>7.6126901302180414</v>
      </c>
      <c r="N445" s="27"/>
      <c r="O445" s="27"/>
      <c r="P445"/>
    </row>
    <row r="446" spans="1:16" ht="15">
      <c r="A446" s="17" t="s">
        <v>534</v>
      </c>
      <c r="B446" s="14" t="s">
        <v>71</v>
      </c>
      <c r="C446" s="25">
        <f>VLOOKUP(B446,'Consensus Phospho site'!B:G,6,FALSE)</f>
        <v>8.5652371285899594E-5</v>
      </c>
      <c r="D446" s="17" t="e">
        <v>#N/A</v>
      </c>
      <c r="E446" s="8" t="e">
        <v>#N/A</v>
      </c>
      <c r="F446" s="8">
        <v>0.5</v>
      </c>
      <c r="G446" s="8">
        <v>0.5</v>
      </c>
      <c r="H446" s="8">
        <f t="shared" si="36"/>
        <v>0.25</v>
      </c>
      <c r="I446" s="26">
        <f t="shared" si="37"/>
        <v>2.1413092821474898E-5</v>
      </c>
      <c r="J446" s="26">
        <f t="shared" si="38"/>
        <v>0.26455000385435651</v>
      </c>
      <c r="K446" s="26">
        <f t="shared" si="39"/>
        <v>8.0941570627470158E-5</v>
      </c>
      <c r="L446" s="27">
        <f t="shared" si="40"/>
        <v>1.1002193136494551E-3</v>
      </c>
      <c r="M446" s="27">
        <f t="shared" si="41"/>
        <v>7.6126901302180414</v>
      </c>
      <c r="N446" s="27"/>
      <c r="O446" s="27"/>
      <c r="P446"/>
    </row>
    <row r="447" spans="1:16" ht="15">
      <c r="A447" s="17" t="s">
        <v>534</v>
      </c>
      <c r="B447" s="14" t="s">
        <v>72</v>
      </c>
      <c r="C447" s="25">
        <f>VLOOKUP(B447,'Consensus Phospho site'!B:G,6,FALSE)</f>
        <v>8.5652371285899594E-5</v>
      </c>
      <c r="D447" s="17" t="e">
        <v>#N/A</v>
      </c>
      <c r="E447" s="8" t="e">
        <v>#N/A</v>
      </c>
      <c r="F447" s="8">
        <v>0.5</v>
      </c>
      <c r="G447" s="8">
        <v>0.5</v>
      </c>
      <c r="H447" s="8">
        <f t="shared" si="36"/>
        <v>0.25</v>
      </c>
      <c r="I447" s="26">
        <f t="shared" si="37"/>
        <v>2.1413092821474898E-5</v>
      </c>
      <c r="J447" s="26">
        <f t="shared" si="38"/>
        <v>0.26455000385435651</v>
      </c>
      <c r="K447" s="26">
        <f t="shared" si="39"/>
        <v>8.0941570627470158E-5</v>
      </c>
      <c r="L447" s="27">
        <f t="shared" si="40"/>
        <v>1.1002193136494551E-3</v>
      </c>
      <c r="M447" s="27">
        <f t="shared" si="41"/>
        <v>7.6126901302180414</v>
      </c>
      <c r="N447" s="27"/>
      <c r="O447" s="27"/>
      <c r="P447"/>
    </row>
    <row r="448" spans="1:16" ht="15">
      <c r="A448" s="17" t="s">
        <v>534</v>
      </c>
      <c r="B448" s="14" t="s">
        <v>74</v>
      </c>
      <c r="C448" s="25">
        <f>VLOOKUP(B448,'Consensus Phospho site'!B:G,6,FALSE)</f>
        <v>8.5652371285899594E-5</v>
      </c>
      <c r="D448" s="17" t="e">
        <v>#N/A</v>
      </c>
      <c r="E448" s="8" t="e">
        <v>#N/A</v>
      </c>
      <c r="F448" s="8">
        <v>0.5</v>
      </c>
      <c r="G448" s="8">
        <v>0.5</v>
      </c>
      <c r="H448" s="8">
        <f t="shared" si="36"/>
        <v>0.25</v>
      </c>
      <c r="I448" s="26">
        <f t="shared" si="37"/>
        <v>2.1413092821474898E-5</v>
      </c>
      <c r="J448" s="26">
        <f t="shared" si="38"/>
        <v>0.26455000385435651</v>
      </c>
      <c r="K448" s="26">
        <f t="shared" si="39"/>
        <v>8.0941570627470158E-5</v>
      </c>
      <c r="L448" s="27">
        <f t="shared" si="40"/>
        <v>1.1002193136494551E-3</v>
      </c>
      <c r="M448" s="27">
        <f t="shared" si="41"/>
        <v>7.6126901302180414</v>
      </c>
      <c r="N448" s="27"/>
      <c r="O448" s="27"/>
      <c r="P448"/>
    </row>
    <row r="449" spans="1:16" ht="15">
      <c r="A449" s="17" t="s">
        <v>535</v>
      </c>
      <c r="B449" s="14" t="s">
        <v>331</v>
      </c>
      <c r="C449" s="25">
        <f>VLOOKUP(B449,'Consensus Phospho site'!B:G,6,FALSE)</f>
        <v>8.5652371285899594E-5</v>
      </c>
      <c r="D449" s="17" t="e">
        <v>#N/A</v>
      </c>
      <c r="E449" s="8" t="e">
        <v>#N/A</v>
      </c>
      <c r="F449" s="8">
        <v>0.5</v>
      </c>
      <c r="G449" s="8">
        <v>0.5</v>
      </c>
      <c r="H449" s="8">
        <f t="shared" si="36"/>
        <v>0.25</v>
      </c>
      <c r="I449" s="26">
        <f t="shared" si="37"/>
        <v>2.1413092821474898E-5</v>
      </c>
      <c r="J449" s="26">
        <f t="shared" si="38"/>
        <v>0.26455000385435651</v>
      </c>
      <c r="K449" s="26">
        <f t="shared" si="39"/>
        <v>8.0941570627470158E-5</v>
      </c>
      <c r="L449" s="27">
        <f t="shared" si="40"/>
        <v>1.1002193136494551E-3</v>
      </c>
      <c r="M449" s="27">
        <f t="shared" si="41"/>
        <v>7.6126901302180414</v>
      </c>
      <c r="N449" s="27"/>
      <c r="O449" s="27"/>
      <c r="P449"/>
    </row>
    <row r="450" spans="1:16" ht="15">
      <c r="A450" s="17" t="s">
        <v>524</v>
      </c>
      <c r="B450" s="14" t="s">
        <v>9</v>
      </c>
      <c r="C450" s="25">
        <f>VLOOKUP(B450,'Consensus Phospho site'!B:G,6,FALSE)</f>
        <v>8.5652371285899594E-5</v>
      </c>
      <c r="D450" s="17" t="e">
        <v>#N/A</v>
      </c>
      <c r="E450" s="8" t="e">
        <v>#N/A</v>
      </c>
      <c r="F450" s="8">
        <v>0.5</v>
      </c>
      <c r="G450" s="8">
        <v>0.5</v>
      </c>
      <c r="H450" s="8">
        <f t="shared" ref="H450:H513" si="42">F450*G450</f>
        <v>0.25</v>
      </c>
      <c r="I450" s="26">
        <f t="shared" ref="I450:I513" si="43">H450*C450</f>
        <v>2.1413092821474898E-5</v>
      </c>
      <c r="J450" s="26">
        <f t="shared" ref="J450:J513" si="44">SUM($I$2:$I$522)</f>
        <v>0.26455000385435651</v>
      </c>
      <c r="K450" s="26">
        <f t="shared" ref="K450:K513" si="45">I450/J450</f>
        <v>8.0941570627470158E-5</v>
      </c>
      <c r="L450" s="27">
        <f t="shared" ref="L450:L513" si="46">K450*-LOG(K450,2)</f>
        <v>1.1002193136494551E-3</v>
      </c>
      <c r="M450" s="27">
        <f t="shared" ref="M450:M513" si="47">SUM($L$2:$L$522)</f>
        <v>7.6126901302180414</v>
      </c>
      <c r="N450" s="27"/>
      <c r="O450" s="27"/>
      <c r="P450"/>
    </row>
    <row r="451" spans="1:16" ht="15">
      <c r="A451" s="17" t="s">
        <v>535</v>
      </c>
      <c r="B451" s="14" t="s">
        <v>334</v>
      </c>
      <c r="C451" s="25">
        <f>VLOOKUP(B451,'Consensus Phospho site'!B:G,6,FALSE)</f>
        <v>8.5652371285899594E-5</v>
      </c>
      <c r="D451" s="17" t="e">
        <v>#N/A</v>
      </c>
      <c r="E451" s="8" t="e">
        <v>#N/A</v>
      </c>
      <c r="F451" s="8">
        <v>0.5</v>
      </c>
      <c r="G451" s="8">
        <v>0.5</v>
      </c>
      <c r="H451" s="8">
        <f t="shared" si="42"/>
        <v>0.25</v>
      </c>
      <c r="I451" s="26">
        <f t="shared" si="43"/>
        <v>2.1413092821474898E-5</v>
      </c>
      <c r="J451" s="26">
        <f t="shared" si="44"/>
        <v>0.26455000385435651</v>
      </c>
      <c r="K451" s="26">
        <f t="shared" si="45"/>
        <v>8.0941570627470158E-5</v>
      </c>
      <c r="L451" s="27">
        <f t="shared" si="46"/>
        <v>1.1002193136494551E-3</v>
      </c>
      <c r="M451" s="27">
        <f t="shared" si="47"/>
        <v>7.6126901302180414</v>
      </c>
      <c r="N451" s="27"/>
      <c r="O451" s="27"/>
      <c r="P451"/>
    </row>
    <row r="452" spans="1:16" ht="15">
      <c r="A452" s="17" t="s">
        <v>535</v>
      </c>
      <c r="B452" s="14" t="s">
        <v>338</v>
      </c>
      <c r="C452" s="25">
        <f>VLOOKUP(B452,'Consensus Phospho site'!B:G,6,FALSE)</f>
        <v>8.5652371285899594E-5</v>
      </c>
      <c r="D452" s="17" t="e">
        <v>#N/A</v>
      </c>
      <c r="E452" s="8" t="e">
        <v>#N/A</v>
      </c>
      <c r="F452" s="8">
        <v>0.5</v>
      </c>
      <c r="G452" s="8">
        <v>0.5</v>
      </c>
      <c r="H452" s="8">
        <f t="shared" si="42"/>
        <v>0.25</v>
      </c>
      <c r="I452" s="26">
        <f t="shared" si="43"/>
        <v>2.1413092821474898E-5</v>
      </c>
      <c r="J452" s="26">
        <f t="shared" si="44"/>
        <v>0.26455000385435651</v>
      </c>
      <c r="K452" s="26">
        <f t="shared" si="45"/>
        <v>8.0941570627470158E-5</v>
      </c>
      <c r="L452" s="27">
        <f t="shared" si="46"/>
        <v>1.1002193136494551E-3</v>
      </c>
      <c r="M452" s="27">
        <f t="shared" si="47"/>
        <v>7.6126901302180414</v>
      </c>
      <c r="N452" s="27"/>
      <c r="O452" s="27"/>
      <c r="P452"/>
    </row>
    <row r="453" spans="1:16" ht="15">
      <c r="A453" s="17" t="s">
        <v>535</v>
      </c>
      <c r="B453" s="14" t="s">
        <v>341</v>
      </c>
      <c r="C453" s="25">
        <f>VLOOKUP(B453,'Consensus Phospho site'!B:G,6,FALSE)</f>
        <v>8.5652371285899594E-5</v>
      </c>
      <c r="D453" s="17" t="e">
        <v>#N/A</v>
      </c>
      <c r="E453" s="8" t="e">
        <v>#N/A</v>
      </c>
      <c r="F453" s="8">
        <v>0.5</v>
      </c>
      <c r="G453" s="8">
        <v>0.5</v>
      </c>
      <c r="H453" s="8">
        <f t="shared" si="42"/>
        <v>0.25</v>
      </c>
      <c r="I453" s="26">
        <f t="shared" si="43"/>
        <v>2.1413092821474898E-5</v>
      </c>
      <c r="J453" s="26">
        <f t="shared" si="44"/>
        <v>0.26455000385435651</v>
      </c>
      <c r="K453" s="26">
        <f t="shared" si="45"/>
        <v>8.0941570627470158E-5</v>
      </c>
      <c r="L453" s="27">
        <f t="shared" si="46"/>
        <v>1.1002193136494551E-3</v>
      </c>
      <c r="M453" s="27">
        <f t="shared" si="47"/>
        <v>7.6126901302180414</v>
      </c>
      <c r="N453" s="27"/>
      <c r="O453" s="27"/>
      <c r="P453"/>
    </row>
    <row r="454" spans="1:16" ht="15">
      <c r="A454" s="17" t="s">
        <v>535</v>
      </c>
      <c r="B454" s="14" t="s">
        <v>350</v>
      </c>
      <c r="C454" s="25">
        <f>VLOOKUP(B454,'Consensus Phospho site'!B:G,6,FALSE)</f>
        <v>8.5652371285899594E-5</v>
      </c>
      <c r="D454" s="17" t="e">
        <v>#N/A</v>
      </c>
      <c r="E454" s="8" t="e">
        <v>#N/A</v>
      </c>
      <c r="F454" s="8">
        <v>0.5</v>
      </c>
      <c r="G454" s="8">
        <v>0.5</v>
      </c>
      <c r="H454" s="8">
        <f t="shared" si="42"/>
        <v>0.25</v>
      </c>
      <c r="I454" s="26">
        <f t="shared" si="43"/>
        <v>2.1413092821474898E-5</v>
      </c>
      <c r="J454" s="26">
        <f t="shared" si="44"/>
        <v>0.26455000385435651</v>
      </c>
      <c r="K454" s="26">
        <f t="shared" si="45"/>
        <v>8.0941570627470158E-5</v>
      </c>
      <c r="L454" s="27">
        <f t="shared" si="46"/>
        <v>1.1002193136494551E-3</v>
      </c>
      <c r="M454" s="27">
        <f t="shared" si="47"/>
        <v>7.6126901302180414</v>
      </c>
      <c r="N454" s="27"/>
      <c r="O454" s="27"/>
      <c r="P454"/>
    </row>
    <row r="455" spans="1:16" ht="15">
      <c r="A455" s="17" t="s">
        <v>535</v>
      </c>
      <c r="B455" s="14" t="s">
        <v>351</v>
      </c>
      <c r="C455" s="25">
        <f>VLOOKUP(B455,'Consensus Phospho site'!B:G,6,FALSE)</f>
        <v>8.5652371285899594E-5</v>
      </c>
      <c r="D455" s="17" t="e">
        <v>#N/A</v>
      </c>
      <c r="E455" s="8" t="e">
        <v>#N/A</v>
      </c>
      <c r="F455" s="8">
        <v>0.5</v>
      </c>
      <c r="G455" s="8">
        <v>0.5</v>
      </c>
      <c r="H455" s="8">
        <f t="shared" si="42"/>
        <v>0.25</v>
      </c>
      <c r="I455" s="26">
        <f t="shared" si="43"/>
        <v>2.1413092821474898E-5</v>
      </c>
      <c r="J455" s="26">
        <f t="shared" si="44"/>
        <v>0.26455000385435651</v>
      </c>
      <c r="K455" s="26">
        <f t="shared" si="45"/>
        <v>8.0941570627470158E-5</v>
      </c>
      <c r="L455" s="27">
        <f t="shared" si="46"/>
        <v>1.1002193136494551E-3</v>
      </c>
      <c r="M455" s="27">
        <f t="shared" si="47"/>
        <v>7.6126901302180414</v>
      </c>
      <c r="N455" s="27"/>
      <c r="O455" s="27"/>
      <c r="P455"/>
    </row>
    <row r="456" spans="1:16">
      <c r="A456" s="17" t="s">
        <v>534</v>
      </c>
      <c r="B456" s="15" t="s">
        <v>77</v>
      </c>
      <c r="C456" s="25">
        <f>VLOOKUP(B456,'Consensus Phospho site'!B:G,6,FALSE)</f>
        <v>8.5652371285899594E-5</v>
      </c>
      <c r="D456" s="17" t="e">
        <v>#N/A</v>
      </c>
      <c r="E456" s="8" t="e">
        <v>#N/A</v>
      </c>
      <c r="F456" s="8">
        <v>0.5</v>
      </c>
      <c r="G456" s="8">
        <v>0.5</v>
      </c>
      <c r="H456" s="8">
        <f t="shared" si="42"/>
        <v>0.25</v>
      </c>
      <c r="I456" s="26">
        <f t="shared" si="43"/>
        <v>2.1413092821474898E-5</v>
      </c>
      <c r="J456" s="26">
        <f t="shared" si="44"/>
        <v>0.26455000385435651</v>
      </c>
      <c r="K456" s="26">
        <f t="shared" si="45"/>
        <v>8.0941570627470158E-5</v>
      </c>
      <c r="L456" s="27">
        <f t="shared" si="46"/>
        <v>1.1002193136494551E-3</v>
      </c>
      <c r="M456" s="27">
        <f t="shared" si="47"/>
        <v>7.6126901302180414</v>
      </c>
      <c r="N456" s="27"/>
      <c r="O456" s="27"/>
      <c r="P456"/>
    </row>
    <row r="457" spans="1:16">
      <c r="A457" s="17" t="s">
        <v>534</v>
      </c>
      <c r="B457" s="15" t="s">
        <v>78</v>
      </c>
      <c r="C457" s="25">
        <f>VLOOKUP(B457,'Consensus Phospho site'!B:G,6,FALSE)</f>
        <v>8.5652371285899594E-5</v>
      </c>
      <c r="D457" s="17" t="e">
        <v>#N/A</v>
      </c>
      <c r="E457" s="8" t="e">
        <v>#N/A</v>
      </c>
      <c r="F457" s="8">
        <v>0.5</v>
      </c>
      <c r="G457" s="8">
        <v>0.5</v>
      </c>
      <c r="H457" s="8">
        <f t="shared" si="42"/>
        <v>0.25</v>
      </c>
      <c r="I457" s="26">
        <f t="shared" si="43"/>
        <v>2.1413092821474898E-5</v>
      </c>
      <c r="J457" s="26">
        <f t="shared" si="44"/>
        <v>0.26455000385435651</v>
      </c>
      <c r="K457" s="26">
        <f t="shared" si="45"/>
        <v>8.0941570627470158E-5</v>
      </c>
      <c r="L457" s="27">
        <f t="shared" si="46"/>
        <v>1.1002193136494551E-3</v>
      </c>
      <c r="M457" s="27">
        <f t="shared" si="47"/>
        <v>7.6126901302180414</v>
      </c>
      <c r="N457" s="27"/>
      <c r="O457" s="27"/>
      <c r="P457"/>
    </row>
    <row r="458" spans="1:16">
      <c r="A458" s="17" t="s">
        <v>534</v>
      </c>
      <c r="B458" s="15" t="s">
        <v>79</v>
      </c>
      <c r="C458" s="25">
        <f>VLOOKUP(B458,'Consensus Phospho site'!B:G,6,FALSE)</f>
        <v>8.5652371285899594E-5</v>
      </c>
      <c r="D458" s="17" t="e">
        <v>#N/A</v>
      </c>
      <c r="E458" s="8" t="e">
        <v>#N/A</v>
      </c>
      <c r="F458" s="8">
        <v>0.5</v>
      </c>
      <c r="G458" s="8">
        <v>0.5</v>
      </c>
      <c r="H458" s="8">
        <f t="shared" si="42"/>
        <v>0.25</v>
      </c>
      <c r="I458" s="26">
        <f t="shared" si="43"/>
        <v>2.1413092821474898E-5</v>
      </c>
      <c r="J458" s="26">
        <f t="shared" si="44"/>
        <v>0.26455000385435651</v>
      </c>
      <c r="K458" s="26">
        <f t="shared" si="45"/>
        <v>8.0941570627470158E-5</v>
      </c>
      <c r="L458" s="27">
        <f t="shared" si="46"/>
        <v>1.1002193136494551E-3</v>
      </c>
      <c r="M458" s="27">
        <f t="shared" si="47"/>
        <v>7.6126901302180414</v>
      </c>
      <c r="N458" s="27"/>
      <c r="O458" s="27"/>
      <c r="P458"/>
    </row>
    <row r="459" spans="1:16" ht="15">
      <c r="A459" s="17" t="s">
        <v>524</v>
      </c>
      <c r="B459" s="14" t="s">
        <v>10</v>
      </c>
      <c r="C459" s="25">
        <f>VLOOKUP(B459,'Consensus Phospho site'!B:G,6,FALSE)</f>
        <v>8.5652371285899594E-5</v>
      </c>
      <c r="D459" s="17" t="e">
        <v>#N/A</v>
      </c>
      <c r="E459" s="8" t="e">
        <v>#N/A</v>
      </c>
      <c r="F459" s="8">
        <v>0.5</v>
      </c>
      <c r="G459" s="8">
        <v>0.5</v>
      </c>
      <c r="H459" s="8">
        <f t="shared" si="42"/>
        <v>0.25</v>
      </c>
      <c r="I459" s="26">
        <f t="shared" si="43"/>
        <v>2.1413092821474898E-5</v>
      </c>
      <c r="J459" s="26">
        <f t="shared" si="44"/>
        <v>0.26455000385435651</v>
      </c>
      <c r="K459" s="26">
        <f t="shared" si="45"/>
        <v>8.0941570627470158E-5</v>
      </c>
      <c r="L459" s="27">
        <f t="shared" si="46"/>
        <v>1.1002193136494551E-3</v>
      </c>
      <c r="M459" s="27">
        <f t="shared" si="47"/>
        <v>7.6126901302180414</v>
      </c>
      <c r="N459" s="27"/>
      <c r="O459" s="27"/>
      <c r="P459"/>
    </row>
    <row r="460" spans="1:16" ht="15">
      <c r="A460" s="17" t="s">
        <v>524</v>
      </c>
      <c r="B460" s="14" t="s">
        <v>13</v>
      </c>
      <c r="C460" s="25">
        <f>VLOOKUP(B460,'Consensus Phospho site'!B:G,6,FALSE)</f>
        <v>8.5652371285899594E-5</v>
      </c>
      <c r="D460" s="17" t="e">
        <v>#N/A</v>
      </c>
      <c r="E460" s="8" t="e">
        <v>#N/A</v>
      </c>
      <c r="F460" s="8">
        <v>0.5</v>
      </c>
      <c r="G460" s="8">
        <v>0.5</v>
      </c>
      <c r="H460" s="8">
        <f t="shared" si="42"/>
        <v>0.25</v>
      </c>
      <c r="I460" s="26">
        <f t="shared" si="43"/>
        <v>2.1413092821474898E-5</v>
      </c>
      <c r="J460" s="26">
        <f t="shared" si="44"/>
        <v>0.26455000385435651</v>
      </c>
      <c r="K460" s="26">
        <f t="shared" si="45"/>
        <v>8.0941570627470158E-5</v>
      </c>
      <c r="L460" s="27">
        <f t="shared" si="46"/>
        <v>1.1002193136494551E-3</v>
      </c>
      <c r="M460" s="27">
        <f t="shared" si="47"/>
        <v>7.6126901302180414</v>
      </c>
      <c r="N460" s="27"/>
      <c r="O460" s="27"/>
      <c r="P460"/>
    </row>
    <row r="461" spans="1:16">
      <c r="A461" s="17" t="s">
        <v>524</v>
      </c>
      <c r="B461" s="15" t="s">
        <v>14</v>
      </c>
      <c r="C461" s="25">
        <f>VLOOKUP(B461,'Consensus Phospho site'!B:G,6,FALSE)</f>
        <v>8.5652371285899594E-5</v>
      </c>
      <c r="D461" s="17" t="e">
        <v>#N/A</v>
      </c>
      <c r="E461" s="8" t="e">
        <v>#N/A</v>
      </c>
      <c r="F461" s="8">
        <v>0.5</v>
      </c>
      <c r="G461" s="8">
        <v>0.5</v>
      </c>
      <c r="H461" s="8">
        <f t="shared" si="42"/>
        <v>0.25</v>
      </c>
      <c r="I461" s="26">
        <f t="shared" si="43"/>
        <v>2.1413092821474898E-5</v>
      </c>
      <c r="J461" s="26">
        <f t="shared" si="44"/>
        <v>0.26455000385435651</v>
      </c>
      <c r="K461" s="26">
        <f t="shared" si="45"/>
        <v>8.0941570627470158E-5</v>
      </c>
      <c r="L461" s="27">
        <f t="shared" si="46"/>
        <v>1.1002193136494551E-3</v>
      </c>
      <c r="M461" s="27">
        <f t="shared" si="47"/>
        <v>7.6126901302180414</v>
      </c>
      <c r="N461" s="27"/>
      <c r="O461" s="27"/>
      <c r="P461"/>
    </row>
    <row r="462" spans="1:16" ht="15">
      <c r="A462" s="17" t="s">
        <v>543</v>
      </c>
      <c r="B462" s="14" t="s">
        <v>223</v>
      </c>
      <c r="C462" s="25">
        <f>VLOOKUP(B462,'Consensus Phospho site'!B:G,6,FALSE)</f>
        <v>8.5652371285899594E-5</v>
      </c>
      <c r="D462" s="17" t="e">
        <v>#N/A</v>
      </c>
      <c r="E462" s="8" t="e">
        <v>#N/A</v>
      </c>
      <c r="F462" s="8">
        <v>0.5</v>
      </c>
      <c r="G462" s="8">
        <v>0.5</v>
      </c>
      <c r="H462" s="8">
        <f t="shared" si="42"/>
        <v>0.25</v>
      </c>
      <c r="I462" s="26">
        <f t="shared" si="43"/>
        <v>2.1413092821474898E-5</v>
      </c>
      <c r="J462" s="26">
        <f t="shared" si="44"/>
        <v>0.26455000385435651</v>
      </c>
      <c r="K462" s="26">
        <f t="shared" si="45"/>
        <v>8.0941570627470158E-5</v>
      </c>
      <c r="L462" s="27">
        <f t="shared" si="46"/>
        <v>1.1002193136494551E-3</v>
      </c>
      <c r="M462" s="27">
        <f t="shared" si="47"/>
        <v>7.6126901302180414</v>
      </c>
      <c r="N462" s="27"/>
      <c r="O462" s="27"/>
      <c r="P462"/>
    </row>
    <row r="463" spans="1:16">
      <c r="A463" s="17" t="s">
        <v>543</v>
      </c>
      <c r="B463" s="15" t="s">
        <v>226</v>
      </c>
      <c r="C463" s="25">
        <f>VLOOKUP(B463,'Consensus Phospho site'!B:G,6,FALSE)</f>
        <v>8.5652371285899594E-5</v>
      </c>
      <c r="D463" s="17" t="e">
        <v>#N/A</v>
      </c>
      <c r="E463" s="8" t="e">
        <v>#N/A</v>
      </c>
      <c r="F463" s="8">
        <v>0.5</v>
      </c>
      <c r="G463" s="8">
        <v>0.5</v>
      </c>
      <c r="H463" s="8">
        <f t="shared" si="42"/>
        <v>0.25</v>
      </c>
      <c r="I463" s="26">
        <f t="shared" si="43"/>
        <v>2.1413092821474898E-5</v>
      </c>
      <c r="J463" s="26">
        <f t="shared" si="44"/>
        <v>0.26455000385435651</v>
      </c>
      <c r="K463" s="26">
        <f t="shared" si="45"/>
        <v>8.0941570627470158E-5</v>
      </c>
      <c r="L463" s="27">
        <f t="shared" si="46"/>
        <v>1.1002193136494551E-3</v>
      </c>
      <c r="M463" s="27">
        <f t="shared" si="47"/>
        <v>7.6126901302180414</v>
      </c>
      <c r="N463" s="27"/>
      <c r="O463" s="27"/>
      <c r="P463"/>
    </row>
    <row r="464" spans="1:16">
      <c r="A464" s="17" t="s">
        <v>543</v>
      </c>
      <c r="B464" s="15" t="s">
        <v>227</v>
      </c>
      <c r="C464" s="25">
        <f>VLOOKUP(B464,'Consensus Phospho site'!B:G,6,FALSE)</f>
        <v>8.5652371285899594E-5</v>
      </c>
      <c r="D464" s="17" t="e">
        <v>#N/A</v>
      </c>
      <c r="E464" s="8" t="e">
        <v>#N/A</v>
      </c>
      <c r="F464" s="8">
        <v>0.5</v>
      </c>
      <c r="G464" s="8">
        <v>0.5</v>
      </c>
      <c r="H464" s="8">
        <f t="shared" si="42"/>
        <v>0.25</v>
      </c>
      <c r="I464" s="26">
        <f t="shared" si="43"/>
        <v>2.1413092821474898E-5</v>
      </c>
      <c r="J464" s="26">
        <f t="shared" si="44"/>
        <v>0.26455000385435651</v>
      </c>
      <c r="K464" s="26">
        <f t="shared" si="45"/>
        <v>8.0941570627470158E-5</v>
      </c>
      <c r="L464" s="27">
        <f t="shared" si="46"/>
        <v>1.1002193136494551E-3</v>
      </c>
      <c r="M464" s="27">
        <f t="shared" si="47"/>
        <v>7.6126901302180414</v>
      </c>
      <c r="N464" s="27"/>
      <c r="O464" s="27"/>
      <c r="P464"/>
    </row>
    <row r="465" spans="1:16" ht="15">
      <c r="A465" s="17" t="s">
        <v>534</v>
      </c>
      <c r="B465" s="14" t="s">
        <v>80</v>
      </c>
      <c r="C465" s="25">
        <f>VLOOKUP(B465,'Consensus Phospho site'!B:G,6,FALSE)</f>
        <v>8.5652371285899594E-5</v>
      </c>
      <c r="D465" s="17" t="e">
        <v>#N/A</v>
      </c>
      <c r="E465" s="8" t="e">
        <v>#N/A</v>
      </c>
      <c r="F465" s="8">
        <v>0.5</v>
      </c>
      <c r="G465" s="8">
        <v>0.5</v>
      </c>
      <c r="H465" s="8">
        <f t="shared" si="42"/>
        <v>0.25</v>
      </c>
      <c r="I465" s="26">
        <f t="shared" si="43"/>
        <v>2.1413092821474898E-5</v>
      </c>
      <c r="J465" s="26">
        <f t="shared" si="44"/>
        <v>0.26455000385435651</v>
      </c>
      <c r="K465" s="26">
        <f t="shared" si="45"/>
        <v>8.0941570627470158E-5</v>
      </c>
      <c r="L465" s="27">
        <f t="shared" si="46"/>
        <v>1.1002193136494551E-3</v>
      </c>
      <c r="M465" s="27">
        <f t="shared" si="47"/>
        <v>7.6126901302180414</v>
      </c>
      <c r="N465" s="27"/>
      <c r="O465" s="27"/>
      <c r="P465"/>
    </row>
    <row r="466" spans="1:16" ht="15">
      <c r="A466" s="17" t="s">
        <v>524</v>
      </c>
      <c r="B466" s="14" t="s">
        <v>16</v>
      </c>
      <c r="C466" s="25">
        <f>VLOOKUP(B466,'Consensus Phospho site'!B:G,6,FALSE)</f>
        <v>8.5652371285899594E-5</v>
      </c>
      <c r="D466" s="17" t="e">
        <v>#N/A</v>
      </c>
      <c r="E466" s="8" t="e">
        <v>#N/A</v>
      </c>
      <c r="F466" s="8">
        <v>0.5</v>
      </c>
      <c r="G466" s="8">
        <v>0.5</v>
      </c>
      <c r="H466" s="8">
        <f t="shared" si="42"/>
        <v>0.25</v>
      </c>
      <c r="I466" s="26">
        <f t="shared" si="43"/>
        <v>2.1413092821474898E-5</v>
      </c>
      <c r="J466" s="26">
        <f t="shared" si="44"/>
        <v>0.26455000385435651</v>
      </c>
      <c r="K466" s="26">
        <f t="shared" si="45"/>
        <v>8.0941570627470158E-5</v>
      </c>
      <c r="L466" s="27">
        <f t="shared" si="46"/>
        <v>1.1002193136494551E-3</v>
      </c>
      <c r="M466" s="27">
        <f t="shared" si="47"/>
        <v>7.6126901302180414</v>
      </c>
      <c r="N466" s="27"/>
      <c r="O466" s="27"/>
      <c r="P466"/>
    </row>
    <row r="467" spans="1:16" ht="15">
      <c r="A467" s="17" t="s">
        <v>535</v>
      </c>
      <c r="B467" s="14" t="s">
        <v>374</v>
      </c>
      <c r="C467" s="25">
        <f>VLOOKUP(B467,'Consensus Phospho site'!B:G,6,FALSE)</f>
        <v>8.5652371285899594E-5</v>
      </c>
      <c r="D467" s="17" t="e">
        <v>#N/A</v>
      </c>
      <c r="E467" s="8" t="e">
        <v>#N/A</v>
      </c>
      <c r="F467" s="8">
        <v>0.5</v>
      </c>
      <c r="G467" s="8">
        <v>0.5</v>
      </c>
      <c r="H467" s="8">
        <f t="shared" si="42"/>
        <v>0.25</v>
      </c>
      <c r="I467" s="26">
        <f t="shared" si="43"/>
        <v>2.1413092821474898E-5</v>
      </c>
      <c r="J467" s="26">
        <f t="shared" si="44"/>
        <v>0.26455000385435651</v>
      </c>
      <c r="K467" s="26">
        <f t="shared" si="45"/>
        <v>8.0941570627470158E-5</v>
      </c>
      <c r="L467" s="27">
        <f t="shared" si="46"/>
        <v>1.1002193136494551E-3</v>
      </c>
      <c r="M467" s="27">
        <f t="shared" si="47"/>
        <v>7.6126901302180414</v>
      </c>
      <c r="N467" s="27"/>
      <c r="O467" s="27"/>
      <c r="P467"/>
    </row>
    <row r="468" spans="1:16" ht="15">
      <c r="A468" s="17" t="s">
        <v>524</v>
      </c>
      <c r="B468" s="14" t="s">
        <v>17</v>
      </c>
      <c r="C468" s="25">
        <f>VLOOKUP(B468,'Consensus Phospho site'!B:G,6,FALSE)</f>
        <v>8.5652371285899594E-5</v>
      </c>
      <c r="D468" s="17" t="e">
        <v>#N/A</v>
      </c>
      <c r="E468" s="8" t="e">
        <v>#N/A</v>
      </c>
      <c r="F468" s="8">
        <v>0.5</v>
      </c>
      <c r="G468" s="8">
        <v>0.5</v>
      </c>
      <c r="H468" s="8">
        <f t="shared" si="42"/>
        <v>0.25</v>
      </c>
      <c r="I468" s="26">
        <f t="shared" si="43"/>
        <v>2.1413092821474898E-5</v>
      </c>
      <c r="J468" s="26">
        <f t="shared" si="44"/>
        <v>0.26455000385435651</v>
      </c>
      <c r="K468" s="26">
        <f t="shared" si="45"/>
        <v>8.0941570627470158E-5</v>
      </c>
      <c r="L468" s="27">
        <f t="shared" si="46"/>
        <v>1.1002193136494551E-3</v>
      </c>
      <c r="M468" s="27">
        <f t="shared" si="47"/>
        <v>7.6126901302180414</v>
      </c>
      <c r="N468" s="27"/>
      <c r="O468" s="27"/>
      <c r="P468"/>
    </row>
    <row r="469" spans="1:16" ht="15">
      <c r="A469" s="17" t="s">
        <v>524</v>
      </c>
      <c r="B469" s="14" t="s">
        <v>20</v>
      </c>
      <c r="C469" s="25">
        <f>VLOOKUP(B469,'Consensus Phospho site'!B:G,6,FALSE)</f>
        <v>8.5652371285899594E-5</v>
      </c>
      <c r="D469" s="17" t="e">
        <v>#N/A</v>
      </c>
      <c r="E469" s="8" t="e">
        <v>#N/A</v>
      </c>
      <c r="F469" s="8">
        <v>0.5</v>
      </c>
      <c r="G469" s="8">
        <v>0.5</v>
      </c>
      <c r="H469" s="8">
        <f t="shared" si="42"/>
        <v>0.25</v>
      </c>
      <c r="I469" s="26">
        <f t="shared" si="43"/>
        <v>2.1413092821474898E-5</v>
      </c>
      <c r="J469" s="26">
        <f t="shared" si="44"/>
        <v>0.26455000385435651</v>
      </c>
      <c r="K469" s="26">
        <f t="shared" si="45"/>
        <v>8.0941570627470158E-5</v>
      </c>
      <c r="L469" s="27">
        <f t="shared" si="46"/>
        <v>1.1002193136494551E-3</v>
      </c>
      <c r="M469" s="27">
        <f t="shared" si="47"/>
        <v>7.6126901302180414</v>
      </c>
      <c r="N469" s="27"/>
      <c r="O469" s="27"/>
      <c r="P469"/>
    </row>
    <row r="470" spans="1:16" ht="15">
      <c r="A470" s="17" t="s">
        <v>534</v>
      </c>
      <c r="B470" s="14" t="s">
        <v>90</v>
      </c>
      <c r="C470" s="25">
        <f>VLOOKUP(B470,'Consensus Phospho site'!B:G,6,FALSE)</f>
        <v>8.5652371285899594E-5</v>
      </c>
      <c r="D470" s="17" t="e">
        <v>#N/A</v>
      </c>
      <c r="E470" s="8" t="e">
        <v>#N/A</v>
      </c>
      <c r="F470" s="8">
        <v>0.5</v>
      </c>
      <c r="G470" s="8">
        <v>0.5</v>
      </c>
      <c r="H470" s="8">
        <f t="shared" si="42"/>
        <v>0.25</v>
      </c>
      <c r="I470" s="26">
        <f t="shared" si="43"/>
        <v>2.1413092821474898E-5</v>
      </c>
      <c r="J470" s="26">
        <f t="shared" si="44"/>
        <v>0.26455000385435651</v>
      </c>
      <c r="K470" s="26">
        <f t="shared" si="45"/>
        <v>8.0941570627470158E-5</v>
      </c>
      <c r="L470" s="27">
        <f t="shared" si="46"/>
        <v>1.1002193136494551E-3</v>
      </c>
      <c r="M470" s="27">
        <f t="shared" si="47"/>
        <v>7.6126901302180414</v>
      </c>
      <c r="N470" s="27"/>
      <c r="O470" s="27"/>
      <c r="P470"/>
    </row>
    <row r="471" spans="1:16" ht="15">
      <c r="A471" s="17" t="s">
        <v>534</v>
      </c>
      <c r="B471" s="14" t="s">
        <v>96</v>
      </c>
      <c r="C471" s="25">
        <f>VLOOKUP(B471,'Consensus Phospho site'!B:G,6,FALSE)</f>
        <v>8.5652371285899594E-5</v>
      </c>
      <c r="D471" s="17" t="e">
        <v>#N/A</v>
      </c>
      <c r="E471" s="8" t="e">
        <v>#N/A</v>
      </c>
      <c r="F471" s="8">
        <v>0.5</v>
      </c>
      <c r="G471" s="8">
        <v>0.5</v>
      </c>
      <c r="H471" s="8">
        <f t="shared" si="42"/>
        <v>0.25</v>
      </c>
      <c r="I471" s="26">
        <f t="shared" si="43"/>
        <v>2.1413092821474898E-5</v>
      </c>
      <c r="J471" s="26">
        <f t="shared" si="44"/>
        <v>0.26455000385435651</v>
      </c>
      <c r="K471" s="26">
        <f t="shared" si="45"/>
        <v>8.0941570627470158E-5</v>
      </c>
      <c r="L471" s="27">
        <f t="shared" si="46"/>
        <v>1.1002193136494551E-3</v>
      </c>
      <c r="M471" s="27">
        <f t="shared" si="47"/>
        <v>7.6126901302180414</v>
      </c>
      <c r="N471" s="27"/>
      <c r="O471" s="27"/>
      <c r="P471"/>
    </row>
    <row r="472" spans="1:16" ht="15">
      <c r="A472" s="17" t="s">
        <v>543</v>
      </c>
      <c r="B472" s="14" t="s">
        <v>229</v>
      </c>
      <c r="C472" s="25">
        <f>VLOOKUP(B472,'Consensus Phospho site'!B:G,6,FALSE)</f>
        <v>8.5652371285899594E-5</v>
      </c>
      <c r="D472" s="17" t="e">
        <v>#N/A</v>
      </c>
      <c r="E472" s="8" t="e">
        <v>#N/A</v>
      </c>
      <c r="F472" s="8">
        <v>0.5</v>
      </c>
      <c r="G472" s="8">
        <v>0.5</v>
      </c>
      <c r="H472" s="8">
        <f t="shared" si="42"/>
        <v>0.25</v>
      </c>
      <c r="I472" s="26">
        <f t="shared" si="43"/>
        <v>2.1413092821474898E-5</v>
      </c>
      <c r="J472" s="26">
        <f t="shared" si="44"/>
        <v>0.26455000385435651</v>
      </c>
      <c r="K472" s="26">
        <f t="shared" si="45"/>
        <v>8.0941570627470158E-5</v>
      </c>
      <c r="L472" s="27">
        <f t="shared" si="46"/>
        <v>1.1002193136494551E-3</v>
      </c>
      <c r="M472" s="27">
        <f t="shared" si="47"/>
        <v>7.6126901302180414</v>
      </c>
      <c r="N472" s="27"/>
      <c r="O472" s="27"/>
      <c r="P472"/>
    </row>
    <row r="473" spans="1:16" ht="15">
      <c r="A473" s="17" t="s">
        <v>535</v>
      </c>
      <c r="B473" s="14" t="s">
        <v>382</v>
      </c>
      <c r="C473" s="25">
        <f>VLOOKUP(B473,'Consensus Phospho site'!B:G,6,FALSE)</f>
        <v>8.5652371285899594E-5</v>
      </c>
      <c r="D473" s="17" t="e">
        <v>#N/A</v>
      </c>
      <c r="E473" s="8" t="e">
        <v>#N/A</v>
      </c>
      <c r="F473" s="8">
        <v>0.5</v>
      </c>
      <c r="G473" s="8">
        <v>0.5</v>
      </c>
      <c r="H473" s="8">
        <f t="shared" si="42"/>
        <v>0.25</v>
      </c>
      <c r="I473" s="26">
        <f t="shared" si="43"/>
        <v>2.1413092821474898E-5</v>
      </c>
      <c r="J473" s="26">
        <f t="shared" si="44"/>
        <v>0.26455000385435651</v>
      </c>
      <c r="K473" s="26">
        <f t="shared" si="45"/>
        <v>8.0941570627470158E-5</v>
      </c>
      <c r="L473" s="27">
        <f t="shared" si="46"/>
        <v>1.1002193136494551E-3</v>
      </c>
      <c r="M473" s="27">
        <f t="shared" si="47"/>
        <v>7.6126901302180414</v>
      </c>
      <c r="N473" s="27"/>
      <c r="O473" s="27"/>
      <c r="P473"/>
    </row>
    <row r="474" spans="1:16" ht="15">
      <c r="A474" s="17" t="s">
        <v>535</v>
      </c>
      <c r="B474" s="14" t="s">
        <v>383</v>
      </c>
      <c r="C474" s="25">
        <f>VLOOKUP(B474,'Consensus Phospho site'!B:G,6,FALSE)</f>
        <v>8.5652371285899594E-5</v>
      </c>
      <c r="D474" s="17" t="e">
        <v>#N/A</v>
      </c>
      <c r="E474" s="8" t="e">
        <v>#N/A</v>
      </c>
      <c r="F474" s="8">
        <v>0.5</v>
      </c>
      <c r="G474" s="8">
        <v>0.5</v>
      </c>
      <c r="H474" s="8">
        <f t="shared" si="42"/>
        <v>0.25</v>
      </c>
      <c r="I474" s="26">
        <f t="shared" si="43"/>
        <v>2.1413092821474898E-5</v>
      </c>
      <c r="J474" s="26">
        <f t="shared" si="44"/>
        <v>0.26455000385435651</v>
      </c>
      <c r="K474" s="26">
        <f t="shared" si="45"/>
        <v>8.0941570627470158E-5</v>
      </c>
      <c r="L474" s="27">
        <f t="shared" si="46"/>
        <v>1.1002193136494551E-3</v>
      </c>
      <c r="M474" s="27">
        <f t="shared" si="47"/>
        <v>7.6126901302180414</v>
      </c>
      <c r="N474" s="27"/>
      <c r="O474" s="27"/>
      <c r="P474"/>
    </row>
    <row r="475" spans="1:16" ht="15">
      <c r="A475" s="17" t="s">
        <v>535</v>
      </c>
      <c r="B475" s="14" t="s">
        <v>384</v>
      </c>
      <c r="C475" s="25">
        <f>VLOOKUP(B475,'Consensus Phospho site'!B:G,6,FALSE)</f>
        <v>8.5652371285899594E-5</v>
      </c>
      <c r="D475" s="17" t="e">
        <v>#N/A</v>
      </c>
      <c r="E475" s="8" t="e">
        <v>#N/A</v>
      </c>
      <c r="F475" s="8">
        <v>0.5</v>
      </c>
      <c r="G475" s="8">
        <v>0.5</v>
      </c>
      <c r="H475" s="8">
        <f t="shared" si="42"/>
        <v>0.25</v>
      </c>
      <c r="I475" s="26">
        <f t="shared" si="43"/>
        <v>2.1413092821474898E-5</v>
      </c>
      <c r="J475" s="26">
        <f t="shared" si="44"/>
        <v>0.26455000385435651</v>
      </c>
      <c r="K475" s="26">
        <f t="shared" si="45"/>
        <v>8.0941570627470158E-5</v>
      </c>
      <c r="L475" s="27">
        <f t="shared" si="46"/>
        <v>1.1002193136494551E-3</v>
      </c>
      <c r="M475" s="27">
        <f t="shared" si="47"/>
        <v>7.6126901302180414</v>
      </c>
      <c r="N475" s="27"/>
      <c r="O475" s="27"/>
      <c r="P475"/>
    </row>
    <row r="476" spans="1:16" ht="15">
      <c r="A476" s="17" t="s">
        <v>524</v>
      </c>
      <c r="B476" s="14" t="s">
        <v>23</v>
      </c>
      <c r="C476" s="25">
        <f>VLOOKUP(B476,'Consensus Phospho site'!B:G,6,FALSE)</f>
        <v>8.5652371285899594E-5</v>
      </c>
      <c r="D476" s="17" t="e">
        <v>#N/A</v>
      </c>
      <c r="E476" s="8" t="e">
        <v>#N/A</v>
      </c>
      <c r="F476" s="8">
        <v>0.5</v>
      </c>
      <c r="G476" s="8">
        <v>0.5</v>
      </c>
      <c r="H476" s="8">
        <f t="shared" si="42"/>
        <v>0.25</v>
      </c>
      <c r="I476" s="26">
        <f t="shared" si="43"/>
        <v>2.1413092821474898E-5</v>
      </c>
      <c r="J476" s="26">
        <f t="shared" si="44"/>
        <v>0.26455000385435651</v>
      </c>
      <c r="K476" s="26">
        <f t="shared" si="45"/>
        <v>8.0941570627470158E-5</v>
      </c>
      <c r="L476" s="27">
        <f t="shared" si="46"/>
        <v>1.1002193136494551E-3</v>
      </c>
      <c r="M476" s="27">
        <f t="shared" si="47"/>
        <v>7.6126901302180414</v>
      </c>
      <c r="N476" s="27"/>
      <c r="O476" s="27"/>
      <c r="P476"/>
    </row>
    <row r="477" spans="1:16" ht="15">
      <c r="A477" s="17" t="s">
        <v>534</v>
      </c>
      <c r="B477" s="14" t="s">
        <v>106</v>
      </c>
      <c r="C477" s="25">
        <f>VLOOKUP(B477,'Consensus Phospho site'!B:G,6,FALSE)</f>
        <v>8.5652371285899594E-5</v>
      </c>
      <c r="D477" s="17" t="e">
        <v>#N/A</v>
      </c>
      <c r="E477" s="8" t="e">
        <v>#N/A</v>
      </c>
      <c r="F477" s="8">
        <v>0.5</v>
      </c>
      <c r="G477" s="8">
        <v>0.5</v>
      </c>
      <c r="H477" s="8">
        <f t="shared" si="42"/>
        <v>0.25</v>
      </c>
      <c r="I477" s="26">
        <f t="shared" si="43"/>
        <v>2.1413092821474898E-5</v>
      </c>
      <c r="J477" s="26">
        <f t="shared" si="44"/>
        <v>0.26455000385435651</v>
      </c>
      <c r="K477" s="26">
        <f t="shared" si="45"/>
        <v>8.0941570627470158E-5</v>
      </c>
      <c r="L477" s="27">
        <f t="shared" si="46"/>
        <v>1.1002193136494551E-3</v>
      </c>
      <c r="M477" s="27">
        <f t="shared" si="47"/>
        <v>7.6126901302180414</v>
      </c>
      <c r="N477" s="27"/>
      <c r="O477" s="27"/>
      <c r="P477"/>
    </row>
    <row r="478" spans="1:16" ht="15">
      <c r="A478" s="17" t="s">
        <v>534</v>
      </c>
      <c r="B478" s="14" t="s">
        <v>109</v>
      </c>
      <c r="C478" s="25">
        <f>VLOOKUP(B478,'Consensus Phospho site'!B:G,6,FALSE)</f>
        <v>8.5652371285899594E-5</v>
      </c>
      <c r="D478" s="17" t="e">
        <v>#N/A</v>
      </c>
      <c r="E478" s="8" t="e">
        <v>#N/A</v>
      </c>
      <c r="F478" s="8">
        <v>0.5</v>
      </c>
      <c r="G478" s="8">
        <v>0.5</v>
      </c>
      <c r="H478" s="8">
        <f t="shared" si="42"/>
        <v>0.25</v>
      </c>
      <c r="I478" s="26">
        <f t="shared" si="43"/>
        <v>2.1413092821474898E-5</v>
      </c>
      <c r="J478" s="26">
        <f t="shared" si="44"/>
        <v>0.26455000385435651</v>
      </c>
      <c r="K478" s="26">
        <f t="shared" si="45"/>
        <v>8.0941570627470158E-5</v>
      </c>
      <c r="L478" s="27">
        <f t="shared" si="46"/>
        <v>1.1002193136494551E-3</v>
      </c>
      <c r="M478" s="27">
        <f t="shared" si="47"/>
        <v>7.6126901302180414</v>
      </c>
      <c r="N478" s="27"/>
      <c r="O478" s="27"/>
      <c r="P478"/>
    </row>
    <row r="479" spans="1:16" ht="15">
      <c r="A479" s="17" t="s">
        <v>524</v>
      </c>
      <c r="B479" s="14" t="s">
        <v>39</v>
      </c>
      <c r="C479" s="25">
        <f>VLOOKUP(B479,'Consensus Phospho site'!B:G,6,FALSE)</f>
        <v>8.5652371285899594E-5</v>
      </c>
      <c r="D479" s="17" t="e">
        <v>#N/A</v>
      </c>
      <c r="E479" s="8" t="e">
        <v>#N/A</v>
      </c>
      <c r="F479" s="8">
        <v>0.5</v>
      </c>
      <c r="G479" s="8">
        <v>0.5</v>
      </c>
      <c r="H479" s="8">
        <f t="shared" si="42"/>
        <v>0.25</v>
      </c>
      <c r="I479" s="26">
        <f t="shared" si="43"/>
        <v>2.1413092821474898E-5</v>
      </c>
      <c r="J479" s="26">
        <f t="shared" si="44"/>
        <v>0.26455000385435651</v>
      </c>
      <c r="K479" s="26">
        <f t="shared" si="45"/>
        <v>8.0941570627470158E-5</v>
      </c>
      <c r="L479" s="27">
        <f t="shared" si="46"/>
        <v>1.1002193136494551E-3</v>
      </c>
      <c r="M479" s="27">
        <f t="shared" si="47"/>
        <v>7.6126901302180414</v>
      </c>
      <c r="N479" s="27"/>
      <c r="O479" s="27"/>
      <c r="P479"/>
    </row>
    <row r="480" spans="1:16" ht="15">
      <c r="A480" s="17" t="s">
        <v>524</v>
      </c>
      <c r="B480" s="14" t="s">
        <v>42</v>
      </c>
      <c r="C480" s="25">
        <f>VLOOKUP(B480,'Consensus Phospho site'!B:G,6,FALSE)</f>
        <v>8.5652371285899594E-5</v>
      </c>
      <c r="D480" s="17" t="e">
        <v>#N/A</v>
      </c>
      <c r="E480" s="8" t="e">
        <v>#N/A</v>
      </c>
      <c r="F480" s="8">
        <v>0.5</v>
      </c>
      <c r="G480" s="8">
        <v>0.5</v>
      </c>
      <c r="H480" s="8">
        <f t="shared" si="42"/>
        <v>0.25</v>
      </c>
      <c r="I480" s="26">
        <f t="shared" si="43"/>
        <v>2.1413092821474898E-5</v>
      </c>
      <c r="J480" s="26">
        <f t="shared" si="44"/>
        <v>0.26455000385435651</v>
      </c>
      <c r="K480" s="26">
        <f t="shared" si="45"/>
        <v>8.0941570627470158E-5</v>
      </c>
      <c r="L480" s="27">
        <f t="shared" si="46"/>
        <v>1.1002193136494551E-3</v>
      </c>
      <c r="M480" s="27">
        <f t="shared" si="47"/>
        <v>7.6126901302180414</v>
      </c>
      <c r="N480" s="27"/>
      <c r="O480" s="27"/>
      <c r="P480"/>
    </row>
    <row r="481" spans="1:16" ht="15">
      <c r="A481" s="17" t="s">
        <v>534</v>
      </c>
      <c r="B481" s="14" t="s">
        <v>112</v>
      </c>
      <c r="C481" s="25">
        <f>VLOOKUP(B481,'Consensus Phospho site'!B:G,6,FALSE)</f>
        <v>8.5652371285899594E-5</v>
      </c>
      <c r="D481" s="17" t="e">
        <v>#N/A</v>
      </c>
      <c r="E481" s="8" t="e">
        <v>#N/A</v>
      </c>
      <c r="F481" s="8">
        <v>0.5</v>
      </c>
      <c r="G481" s="8">
        <v>0.5</v>
      </c>
      <c r="H481" s="8">
        <f t="shared" si="42"/>
        <v>0.25</v>
      </c>
      <c r="I481" s="26">
        <f t="shared" si="43"/>
        <v>2.1413092821474898E-5</v>
      </c>
      <c r="J481" s="26">
        <f t="shared" si="44"/>
        <v>0.26455000385435651</v>
      </c>
      <c r="K481" s="26">
        <f t="shared" si="45"/>
        <v>8.0941570627470158E-5</v>
      </c>
      <c r="L481" s="27">
        <f t="shared" si="46"/>
        <v>1.1002193136494551E-3</v>
      </c>
      <c r="M481" s="27">
        <f t="shared" si="47"/>
        <v>7.6126901302180414</v>
      </c>
      <c r="N481" s="27"/>
      <c r="O481" s="27"/>
      <c r="P481"/>
    </row>
    <row r="482" spans="1:16">
      <c r="A482" s="17" t="s">
        <v>534</v>
      </c>
      <c r="B482" s="15" t="s">
        <v>113</v>
      </c>
      <c r="C482" s="25">
        <f>VLOOKUP(B482,'Consensus Phospho site'!B:G,6,FALSE)</f>
        <v>8.5652371285899594E-5</v>
      </c>
      <c r="D482" s="17" t="e">
        <v>#N/A</v>
      </c>
      <c r="E482" s="8" t="e">
        <v>#N/A</v>
      </c>
      <c r="F482" s="8">
        <v>0.5</v>
      </c>
      <c r="G482" s="8">
        <v>0.5</v>
      </c>
      <c r="H482" s="8">
        <f t="shared" si="42"/>
        <v>0.25</v>
      </c>
      <c r="I482" s="26">
        <f t="shared" si="43"/>
        <v>2.1413092821474898E-5</v>
      </c>
      <c r="J482" s="26">
        <f t="shared" si="44"/>
        <v>0.26455000385435651</v>
      </c>
      <c r="K482" s="26">
        <f t="shared" si="45"/>
        <v>8.0941570627470158E-5</v>
      </c>
      <c r="L482" s="27">
        <f t="shared" si="46"/>
        <v>1.1002193136494551E-3</v>
      </c>
      <c r="M482" s="27">
        <f t="shared" si="47"/>
        <v>7.6126901302180414</v>
      </c>
      <c r="N482" s="27"/>
      <c r="O482" s="27"/>
      <c r="P482"/>
    </row>
    <row r="483" spans="1:16" ht="15">
      <c r="A483" s="17" t="s">
        <v>535</v>
      </c>
      <c r="B483" s="14" t="s">
        <v>393</v>
      </c>
      <c r="C483" s="25">
        <f>VLOOKUP(B483,'Consensus Phospho site'!B:G,6,FALSE)</f>
        <v>8.5652371285899594E-5</v>
      </c>
      <c r="D483" s="17" t="e">
        <v>#N/A</v>
      </c>
      <c r="E483" s="8" t="e">
        <v>#N/A</v>
      </c>
      <c r="F483" s="8">
        <v>0.5</v>
      </c>
      <c r="G483" s="8">
        <v>0.5</v>
      </c>
      <c r="H483" s="8">
        <f t="shared" si="42"/>
        <v>0.25</v>
      </c>
      <c r="I483" s="26">
        <f t="shared" si="43"/>
        <v>2.1413092821474898E-5</v>
      </c>
      <c r="J483" s="26">
        <f t="shared" si="44"/>
        <v>0.26455000385435651</v>
      </c>
      <c r="K483" s="26">
        <f t="shared" si="45"/>
        <v>8.0941570627470158E-5</v>
      </c>
      <c r="L483" s="27">
        <f t="shared" si="46"/>
        <v>1.1002193136494551E-3</v>
      </c>
      <c r="M483" s="27">
        <f t="shared" si="47"/>
        <v>7.6126901302180414</v>
      </c>
      <c r="N483" s="27"/>
      <c r="O483" s="27"/>
      <c r="P483"/>
    </row>
    <row r="484" spans="1:16" ht="15">
      <c r="A484" s="17" t="s">
        <v>535</v>
      </c>
      <c r="B484" s="14" t="s">
        <v>394</v>
      </c>
      <c r="C484" s="25">
        <f>VLOOKUP(B484,'Consensus Phospho site'!B:G,6,FALSE)</f>
        <v>8.5652371285899594E-5</v>
      </c>
      <c r="D484" s="17" t="e">
        <v>#N/A</v>
      </c>
      <c r="E484" s="8" t="e">
        <v>#N/A</v>
      </c>
      <c r="F484" s="8">
        <v>0.5</v>
      </c>
      <c r="G484" s="8">
        <v>0.5</v>
      </c>
      <c r="H484" s="8">
        <f t="shared" si="42"/>
        <v>0.25</v>
      </c>
      <c r="I484" s="26">
        <f t="shared" si="43"/>
        <v>2.1413092821474898E-5</v>
      </c>
      <c r="J484" s="26">
        <f t="shared" si="44"/>
        <v>0.26455000385435651</v>
      </c>
      <c r="K484" s="26">
        <f t="shared" si="45"/>
        <v>8.0941570627470158E-5</v>
      </c>
      <c r="L484" s="27">
        <f t="shared" si="46"/>
        <v>1.1002193136494551E-3</v>
      </c>
      <c r="M484" s="27">
        <f t="shared" si="47"/>
        <v>7.6126901302180414</v>
      </c>
      <c r="N484" s="27"/>
      <c r="O484" s="27"/>
      <c r="P484"/>
    </row>
    <row r="485" spans="1:16" ht="15">
      <c r="A485" s="17" t="s">
        <v>524</v>
      </c>
      <c r="B485" s="14" t="s">
        <v>53</v>
      </c>
      <c r="C485" s="25">
        <f>VLOOKUP(B485,'Consensus Phospho site'!B:G,6,FALSE)</f>
        <v>8.5652371285899594E-5</v>
      </c>
      <c r="D485" s="17" t="e">
        <v>#N/A</v>
      </c>
      <c r="E485" s="8" t="e">
        <v>#N/A</v>
      </c>
      <c r="F485" s="8">
        <v>0.5</v>
      </c>
      <c r="G485" s="8">
        <v>0.5</v>
      </c>
      <c r="H485" s="8">
        <f t="shared" si="42"/>
        <v>0.25</v>
      </c>
      <c r="I485" s="26">
        <f t="shared" si="43"/>
        <v>2.1413092821474898E-5</v>
      </c>
      <c r="J485" s="26">
        <f t="shared" si="44"/>
        <v>0.26455000385435651</v>
      </c>
      <c r="K485" s="26">
        <f t="shared" si="45"/>
        <v>8.0941570627470158E-5</v>
      </c>
      <c r="L485" s="27">
        <f t="shared" si="46"/>
        <v>1.1002193136494551E-3</v>
      </c>
      <c r="M485" s="27">
        <f t="shared" si="47"/>
        <v>7.6126901302180414</v>
      </c>
      <c r="N485" s="27"/>
      <c r="O485" s="27"/>
      <c r="P485"/>
    </row>
    <row r="486" spans="1:16" ht="15">
      <c r="A486" s="17" t="s">
        <v>534</v>
      </c>
      <c r="B486" s="14" t="s">
        <v>114</v>
      </c>
      <c r="C486" s="25">
        <f>VLOOKUP(B486,'Consensus Phospho site'!B:G,6,FALSE)</f>
        <v>8.5652371285899594E-5</v>
      </c>
      <c r="D486" s="17" t="e">
        <v>#N/A</v>
      </c>
      <c r="E486" s="8" t="e">
        <v>#N/A</v>
      </c>
      <c r="F486" s="8">
        <v>0.5</v>
      </c>
      <c r="G486" s="8">
        <v>0.5</v>
      </c>
      <c r="H486" s="8">
        <f t="shared" si="42"/>
        <v>0.25</v>
      </c>
      <c r="I486" s="26">
        <f t="shared" si="43"/>
        <v>2.1413092821474898E-5</v>
      </c>
      <c r="J486" s="26">
        <f t="shared" si="44"/>
        <v>0.26455000385435651</v>
      </c>
      <c r="K486" s="26">
        <f t="shared" si="45"/>
        <v>8.0941570627470158E-5</v>
      </c>
      <c r="L486" s="27">
        <f t="shared" si="46"/>
        <v>1.1002193136494551E-3</v>
      </c>
      <c r="M486" s="27">
        <f t="shared" si="47"/>
        <v>7.6126901302180414</v>
      </c>
      <c r="N486" s="27"/>
      <c r="O486" s="27"/>
      <c r="P486"/>
    </row>
    <row r="487" spans="1:16">
      <c r="A487" s="17" t="s">
        <v>535</v>
      </c>
      <c r="B487" s="15" t="s">
        <v>400</v>
      </c>
      <c r="C487" s="25">
        <f>VLOOKUP(B487,'Consensus Phospho site'!B:G,6,FALSE)</f>
        <v>8.5652371285899594E-5</v>
      </c>
      <c r="D487" s="17" t="e">
        <v>#N/A</v>
      </c>
      <c r="E487" s="8" t="e">
        <v>#N/A</v>
      </c>
      <c r="F487" s="8">
        <v>0.5</v>
      </c>
      <c r="G487" s="8">
        <v>0.5</v>
      </c>
      <c r="H487" s="8">
        <f t="shared" si="42"/>
        <v>0.25</v>
      </c>
      <c r="I487" s="26">
        <f t="shared" si="43"/>
        <v>2.1413092821474898E-5</v>
      </c>
      <c r="J487" s="26">
        <f t="shared" si="44"/>
        <v>0.26455000385435651</v>
      </c>
      <c r="K487" s="26">
        <f t="shared" si="45"/>
        <v>8.0941570627470158E-5</v>
      </c>
      <c r="L487" s="27">
        <f t="shared" si="46"/>
        <v>1.1002193136494551E-3</v>
      </c>
      <c r="M487" s="27">
        <f t="shared" si="47"/>
        <v>7.6126901302180414</v>
      </c>
      <c r="N487" s="27"/>
      <c r="O487" s="27"/>
      <c r="P487"/>
    </row>
    <row r="488" spans="1:16">
      <c r="A488" s="17" t="s">
        <v>534</v>
      </c>
      <c r="B488" s="15" t="s">
        <v>124</v>
      </c>
      <c r="C488" s="25">
        <f>VLOOKUP(B488,'Consensus Phospho site'!B:G,6,FALSE)</f>
        <v>8.5652371285899594E-5</v>
      </c>
      <c r="D488" s="17" t="e">
        <v>#N/A</v>
      </c>
      <c r="E488" s="8" t="e">
        <v>#N/A</v>
      </c>
      <c r="F488" s="8">
        <v>0.5</v>
      </c>
      <c r="G488" s="8">
        <v>0.5</v>
      </c>
      <c r="H488" s="8">
        <f t="shared" si="42"/>
        <v>0.25</v>
      </c>
      <c r="I488" s="26">
        <f t="shared" si="43"/>
        <v>2.1413092821474898E-5</v>
      </c>
      <c r="J488" s="26">
        <f t="shared" si="44"/>
        <v>0.26455000385435651</v>
      </c>
      <c r="K488" s="26">
        <f t="shared" si="45"/>
        <v>8.0941570627470158E-5</v>
      </c>
      <c r="L488" s="27">
        <f t="shared" si="46"/>
        <v>1.1002193136494551E-3</v>
      </c>
      <c r="M488" s="27">
        <f t="shared" si="47"/>
        <v>7.6126901302180414</v>
      </c>
      <c r="N488" s="27"/>
      <c r="O488" s="27"/>
      <c r="P488"/>
    </row>
    <row r="489" spans="1:16">
      <c r="A489" s="17" t="s">
        <v>534</v>
      </c>
      <c r="B489" s="15" t="s">
        <v>125</v>
      </c>
      <c r="C489" s="25">
        <f>VLOOKUP(B489,'Consensus Phospho site'!B:G,6,FALSE)</f>
        <v>8.5652371285899594E-5</v>
      </c>
      <c r="D489" s="17" t="e">
        <v>#N/A</v>
      </c>
      <c r="E489" s="8" t="e">
        <v>#N/A</v>
      </c>
      <c r="F489" s="8">
        <v>0.5</v>
      </c>
      <c r="G489" s="8">
        <v>0.5</v>
      </c>
      <c r="H489" s="8">
        <f t="shared" si="42"/>
        <v>0.25</v>
      </c>
      <c r="I489" s="26">
        <f t="shared" si="43"/>
        <v>2.1413092821474898E-5</v>
      </c>
      <c r="J489" s="26">
        <f t="shared" si="44"/>
        <v>0.26455000385435651</v>
      </c>
      <c r="K489" s="26">
        <f t="shared" si="45"/>
        <v>8.0941570627470158E-5</v>
      </c>
      <c r="L489" s="27">
        <f t="shared" si="46"/>
        <v>1.1002193136494551E-3</v>
      </c>
      <c r="M489" s="27">
        <f t="shared" si="47"/>
        <v>7.6126901302180414</v>
      </c>
      <c r="N489" s="27"/>
      <c r="O489" s="27"/>
      <c r="P489"/>
    </row>
    <row r="490" spans="1:16">
      <c r="A490" s="17" t="s">
        <v>534</v>
      </c>
      <c r="B490" s="15" t="s">
        <v>126</v>
      </c>
      <c r="C490" s="25">
        <f>VLOOKUP(B490,'Consensus Phospho site'!B:G,6,FALSE)</f>
        <v>8.5652371285899594E-5</v>
      </c>
      <c r="D490" s="17" t="e">
        <v>#N/A</v>
      </c>
      <c r="E490" s="8" t="e">
        <v>#N/A</v>
      </c>
      <c r="F490" s="8">
        <v>0.5</v>
      </c>
      <c r="G490" s="8">
        <v>0.5</v>
      </c>
      <c r="H490" s="8">
        <f t="shared" si="42"/>
        <v>0.25</v>
      </c>
      <c r="I490" s="26">
        <f t="shared" si="43"/>
        <v>2.1413092821474898E-5</v>
      </c>
      <c r="J490" s="26">
        <f t="shared" si="44"/>
        <v>0.26455000385435651</v>
      </c>
      <c r="K490" s="26">
        <f t="shared" si="45"/>
        <v>8.0941570627470158E-5</v>
      </c>
      <c r="L490" s="27">
        <f t="shared" si="46"/>
        <v>1.1002193136494551E-3</v>
      </c>
      <c r="M490" s="27">
        <f t="shared" si="47"/>
        <v>7.6126901302180414</v>
      </c>
      <c r="N490" s="27"/>
      <c r="O490" s="27"/>
      <c r="P490"/>
    </row>
    <row r="491" spans="1:16">
      <c r="A491" s="17" t="s">
        <v>535</v>
      </c>
      <c r="B491" s="15" t="s">
        <v>401</v>
      </c>
      <c r="C491" s="25">
        <f>VLOOKUP(B491,'Consensus Phospho site'!B:G,6,FALSE)</f>
        <v>8.5652371285899594E-5</v>
      </c>
      <c r="D491" s="17" t="e">
        <v>#N/A</v>
      </c>
      <c r="E491" s="8" t="e">
        <v>#N/A</v>
      </c>
      <c r="F491" s="8">
        <v>0.5</v>
      </c>
      <c r="G491" s="8">
        <v>0.5</v>
      </c>
      <c r="H491" s="8">
        <f t="shared" si="42"/>
        <v>0.25</v>
      </c>
      <c r="I491" s="26">
        <f t="shared" si="43"/>
        <v>2.1413092821474898E-5</v>
      </c>
      <c r="J491" s="26">
        <f t="shared" si="44"/>
        <v>0.26455000385435651</v>
      </c>
      <c r="K491" s="26">
        <f t="shared" si="45"/>
        <v>8.0941570627470158E-5</v>
      </c>
      <c r="L491" s="27">
        <f t="shared" si="46"/>
        <v>1.1002193136494551E-3</v>
      </c>
      <c r="M491" s="27">
        <f t="shared" si="47"/>
        <v>7.6126901302180414</v>
      </c>
      <c r="N491" s="27"/>
      <c r="O491" s="27"/>
      <c r="P491"/>
    </row>
    <row r="492" spans="1:16">
      <c r="A492" s="17" t="s">
        <v>535</v>
      </c>
      <c r="B492" s="15" t="s">
        <v>402</v>
      </c>
      <c r="C492" s="25">
        <f>VLOOKUP(B492,'Consensus Phospho site'!B:G,6,FALSE)</f>
        <v>8.5652371285899594E-5</v>
      </c>
      <c r="D492" s="17" t="e">
        <v>#N/A</v>
      </c>
      <c r="E492" s="8" t="e">
        <v>#N/A</v>
      </c>
      <c r="F492" s="8">
        <v>0.5</v>
      </c>
      <c r="G492" s="8">
        <v>0.5</v>
      </c>
      <c r="H492" s="8">
        <f t="shared" si="42"/>
        <v>0.25</v>
      </c>
      <c r="I492" s="26">
        <f t="shared" si="43"/>
        <v>2.1413092821474898E-5</v>
      </c>
      <c r="J492" s="26">
        <f t="shared" si="44"/>
        <v>0.26455000385435651</v>
      </c>
      <c r="K492" s="26">
        <f t="shared" si="45"/>
        <v>8.0941570627470158E-5</v>
      </c>
      <c r="L492" s="27">
        <f t="shared" si="46"/>
        <v>1.1002193136494551E-3</v>
      </c>
      <c r="M492" s="27">
        <f t="shared" si="47"/>
        <v>7.6126901302180414</v>
      </c>
      <c r="N492" s="27"/>
      <c r="O492" s="27"/>
      <c r="P492"/>
    </row>
    <row r="493" spans="1:16">
      <c r="A493" s="17" t="s">
        <v>534</v>
      </c>
      <c r="B493" s="15" t="s">
        <v>120</v>
      </c>
      <c r="C493" s="25">
        <f>VLOOKUP(B493,'Consensus Phospho site'!B:G,6,FALSE)</f>
        <v>8.5652371285899594E-5</v>
      </c>
      <c r="D493" s="17" t="e">
        <v>#N/A</v>
      </c>
      <c r="E493" s="8" t="e">
        <v>#N/A</v>
      </c>
      <c r="F493" s="8">
        <v>0.5</v>
      </c>
      <c r="G493" s="8">
        <v>0.5</v>
      </c>
      <c r="H493" s="8">
        <f t="shared" si="42"/>
        <v>0.25</v>
      </c>
      <c r="I493" s="26">
        <f t="shared" si="43"/>
        <v>2.1413092821474898E-5</v>
      </c>
      <c r="J493" s="26">
        <f t="shared" si="44"/>
        <v>0.26455000385435651</v>
      </c>
      <c r="K493" s="26">
        <f t="shared" si="45"/>
        <v>8.0941570627470158E-5</v>
      </c>
      <c r="L493" s="27">
        <f t="shared" si="46"/>
        <v>1.1002193136494551E-3</v>
      </c>
      <c r="M493" s="27">
        <f t="shared" si="47"/>
        <v>7.6126901302180414</v>
      </c>
      <c r="N493" s="27"/>
      <c r="O493" s="27"/>
      <c r="P493"/>
    </row>
    <row r="494" spans="1:16" ht="15">
      <c r="A494" s="17" t="s">
        <v>534</v>
      </c>
      <c r="B494" s="14" t="s">
        <v>122</v>
      </c>
      <c r="C494" s="25">
        <f>VLOOKUP(B494,'Consensus Phospho site'!B:G,6,FALSE)</f>
        <v>8.5652371285899594E-5</v>
      </c>
      <c r="D494" s="17" t="e">
        <v>#N/A</v>
      </c>
      <c r="E494" s="8" t="e">
        <v>#N/A</v>
      </c>
      <c r="F494" s="8">
        <v>0.5</v>
      </c>
      <c r="G494" s="8">
        <v>0.5</v>
      </c>
      <c r="H494" s="8">
        <f t="shared" si="42"/>
        <v>0.25</v>
      </c>
      <c r="I494" s="26">
        <f t="shared" si="43"/>
        <v>2.1413092821474898E-5</v>
      </c>
      <c r="J494" s="26">
        <f t="shared" si="44"/>
        <v>0.26455000385435651</v>
      </c>
      <c r="K494" s="26">
        <f t="shared" si="45"/>
        <v>8.0941570627470158E-5</v>
      </c>
      <c r="L494" s="27">
        <f t="shared" si="46"/>
        <v>1.1002193136494551E-3</v>
      </c>
      <c r="M494" s="27">
        <f t="shared" si="47"/>
        <v>7.6126901302180414</v>
      </c>
      <c r="N494" s="27"/>
      <c r="O494" s="27"/>
      <c r="P494"/>
    </row>
    <row r="495" spans="1:16" ht="15">
      <c r="A495" s="17" t="s">
        <v>534</v>
      </c>
      <c r="B495" s="14" t="s">
        <v>123</v>
      </c>
      <c r="C495" s="25">
        <f>VLOOKUP(B495,'Consensus Phospho site'!B:G,6,FALSE)</f>
        <v>8.5652371285899594E-5</v>
      </c>
      <c r="D495" s="17" t="e">
        <v>#N/A</v>
      </c>
      <c r="E495" s="8" t="e">
        <v>#N/A</v>
      </c>
      <c r="F495" s="8">
        <v>0.5</v>
      </c>
      <c r="G495" s="8">
        <v>0.5</v>
      </c>
      <c r="H495" s="8">
        <f t="shared" si="42"/>
        <v>0.25</v>
      </c>
      <c r="I495" s="26">
        <f t="shared" si="43"/>
        <v>2.1413092821474898E-5</v>
      </c>
      <c r="J495" s="26">
        <f t="shared" si="44"/>
        <v>0.26455000385435651</v>
      </c>
      <c r="K495" s="26">
        <f t="shared" si="45"/>
        <v>8.0941570627470158E-5</v>
      </c>
      <c r="L495" s="27">
        <f t="shared" si="46"/>
        <v>1.1002193136494551E-3</v>
      </c>
      <c r="M495" s="27">
        <f t="shared" si="47"/>
        <v>7.6126901302180414</v>
      </c>
      <c r="N495" s="27"/>
      <c r="O495" s="27"/>
      <c r="P495"/>
    </row>
    <row r="496" spans="1:16" ht="15">
      <c r="A496" s="17" t="s">
        <v>534</v>
      </c>
      <c r="B496" s="14" t="s">
        <v>127</v>
      </c>
      <c r="C496" s="25">
        <f>VLOOKUP(B496,'Consensus Phospho site'!B:G,6,FALSE)</f>
        <v>8.5652371285899594E-5</v>
      </c>
      <c r="D496" s="17" t="e">
        <v>#N/A</v>
      </c>
      <c r="E496" s="8" t="e">
        <v>#N/A</v>
      </c>
      <c r="F496" s="8">
        <v>0.5</v>
      </c>
      <c r="G496" s="8">
        <v>0.5</v>
      </c>
      <c r="H496" s="8">
        <f t="shared" si="42"/>
        <v>0.25</v>
      </c>
      <c r="I496" s="26">
        <f t="shared" si="43"/>
        <v>2.1413092821474898E-5</v>
      </c>
      <c r="J496" s="26">
        <f t="shared" si="44"/>
        <v>0.26455000385435651</v>
      </c>
      <c r="K496" s="26">
        <f t="shared" si="45"/>
        <v>8.0941570627470158E-5</v>
      </c>
      <c r="L496" s="27">
        <f t="shared" si="46"/>
        <v>1.1002193136494551E-3</v>
      </c>
      <c r="M496" s="27">
        <f t="shared" si="47"/>
        <v>7.6126901302180414</v>
      </c>
      <c r="N496" s="27"/>
      <c r="O496" s="27"/>
      <c r="P496"/>
    </row>
    <row r="497" spans="1:16" ht="15">
      <c r="A497" s="17" t="s">
        <v>534</v>
      </c>
      <c r="B497" s="14" t="s">
        <v>128</v>
      </c>
      <c r="C497" s="25">
        <f>VLOOKUP(B497,'Consensus Phospho site'!B:G,6,FALSE)</f>
        <v>8.5652371285899594E-5</v>
      </c>
      <c r="D497" s="17" t="e">
        <v>#N/A</v>
      </c>
      <c r="E497" s="8" t="e">
        <v>#N/A</v>
      </c>
      <c r="F497" s="8">
        <v>0.5</v>
      </c>
      <c r="G497" s="8">
        <v>0.5</v>
      </c>
      <c r="H497" s="8">
        <f t="shared" si="42"/>
        <v>0.25</v>
      </c>
      <c r="I497" s="26">
        <f t="shared" si="43"/>
        <v>2.1413092821474898E-5</v>
      </c>
      <c r="J497" s="26">
        <f t="shared" si="44"/>
        <v>0.26455000385435651</v>
      </c>
      <c r="K497" s="26">
        <f t="shared" si="45"/>
        <v>8.0941570627470158E-5</v>
      </c>
      <c r="L497" s="27">
        <f t="shared" si="46"/>
        <v>1.1002193136494551E-3</v>
      </c>
      <c r="M497" s="27">
        <f t="shared" si="47"/>
        <v>7.6126901302180414</v>
      </c>
      <c r="N497" s="27"/>
      <c r="O497" s="27"/>
      <c r="P497"/>
    </row>
    <row r="498" spans="1:16" ht="15">
      <c r="A498" s="17" t="s">
        <v>534</v>
      </c>
      <c r="B498" s="14" t="s">
        <v>131</v>
      </c>
      <c r="C498" s="25">
        <f>VLOOKUP(B498,'Consensus Phospho site'!B:G,6,FALSE)</f>
        <v>8.5652371285899594E-5</v>
      </c>
      <c r="D498" s="17" t="e">
        <v>#N/A</v>
      </c>
      <c r="E498" s="8" t="e">
        <v>#N/A</v>
      </c>
      <c r="F498" s="8">
        <v>0.5</v>
      </c>
      <c r="G498" s="8">
        <v>0.5</v>
      </c>
      <c r="H498" s="8">
        <f t="shared" si="42"/>
        <v>0.25</v>
      </c>
      <c r="I498" s="26">
        <f t="shared" si="43"/>
        <v>2.1413092821474898E-5</v>
      </c>
      <c r="J498" s="26">
        <f t="shared" si="44"/>
        <v>0.26455000385435651</v>
      </c>
      <c r="K498" s="26">
        <f t="shared" si="45"/>
        <v>8.0941570627470158E-5</v>
      </c>
      <c r="L498" s="27">
        <f t="shared" si="46"/>
        <v>1.1002193136494551E-3</v>
      </c>
      <c r="M498" s="27">
        <f t="shared" si="47"/>
        <v>7.6126901302180414</v>
      </c>
      <c r="N498" s="27"/>
      <c r="O498" s="27"/>
      <c r="P498"/>
    </row>
    <row r="499" spans="1:16" ht="15">
      <c r="A499" s="17" t="s">
        <v>534</v>
      </c>
      <c r="B499" s="14" t="s">
        <v>132</v>
      </c>
      <c r="C499" s="25">
        <f>VLOOKUP(B499,'Consensus Phospho site'!B:G,6,FALSE)</f>
        <v>8.5652371285899594E-5</v>
      </c>
      <c r="D499" s="17" t="e">
        <v>#N/A</v>
      </c>
      <c r="E499" s="8" t="e">
        <v>#N/A</v>
      </c>
      <c r="F499" s="8">
        <v>0.5</v>
      </c>
      <c r="G499" s="8">
        <v>0.5</v>
      </c>
      <c r="H499" s="8">
        <f t="shared" si="42"/>
        <v>0.25</v>
      </c>
      <c r="I499" s="26">
        <f t="shared" si="43"/>
        <v>2.1413092821474898E-5</v>
      </c>
      <c r="J499" s="26">
        <f t="shared" si="44"/>
        <v>0.26455000385435651</v>
      </c>
      <c r="K499" s="26">
        <f t="shared" si="45"/>
        <v>8.0941570627470158E-5</v>
      </c>
      <c r="L499" s="27">
        <f t="shared" si="46"/>
        <v>1.1002193136494551E-3</v>
      </c>
      <c r="M499" s="27">
        <f t="shared" si="47"/>
        <v>7.6126901302180414</v>
      </c>
      <c r="N499" s="27"/>
      <c r="O499" s="27"/>
      <c r="P499"/>
    </row>
    <row r="500" spans="1:16" ht="15">
      <c r="A500" s="17" t="s">
        <v>534</v>
      </c>
      <c r="B500" s="14" t="s">
        <v>133</v>
      </c>
      <c r="C500" s="25">
        <f>VLOOKUP(B500,'Consensus Phospho site'!B:G,6,FALSE)</f>
        <v>8.5652371285899594E-5</v>
      </c>
      <c r="D500" s="17" t="e">
        <v>#N/A</v>
      </c>
      <c r="E500" s="8" t="e">
        <v>#N/A</v>
      </c>
      <c r="F500" s="8">
        <v>0.5</v>
      </c>
      <c r="G500" s="8">
        <v>0.5</v>
      </c>
      <c r="H500" s="8">
        <f t="shared" si="42"/>
        <v>0.25</v>
      </c>
      <c r="I500" s="26">
        <f t="shared" si="43"/>
        <v>2.1413092821474898E-5</v>
      </c>
      <c r="J500" s="26">
        <f t="shared" si="44"/>
        <v>0.26455000385435651</v>
      </c>
      <c r="K500" s="26">
        <f t="shared" si="45"/>
        <v>8.0941570627470158E-5</v>
      </c>
      <c r="L500" s="27">
        <f t="shared" si="46"/>
        <v>1.1002193136494551E-3</v>
      </c>
      <c r="M500" s="27">
        <f t="shared" si="47"/>
        <v>7.6126901302180414</v>
      </c>
      <c r="N500" s="27"/>
      <c r="O500" s="27"/>
      <c r="P500"/>
    </row>
    <row r="501" spans="1:16" ht="15">
      <c r="A501" s="17" t="s">
        <v>534</v>
      </c>
      <c r="B501" s="14" t="s">
        <v>134</v>
      </c>
      <c r="C501" s="25">
        <f>VLOOKUP(B501,'Consensus Phospho site'!B:G,6,FALSE)</f>
        <v>8.5652371285899594E-5</v>
      </c>
      <c r="D501" s="17" t="e">
        <v>#N/A</v>
      </c>
      <c r="E501" s="8" t="e">
        <v>#N/A</v>
      </c>
      <c r="F501" s="8">
        <v>0.5</v>
      </c>
      <c r="G501" s="8">
        <v>0.5</v>
      </c>
      <c r="H501" s="8">
        <f t="shared" si="42"/>
        <v>0.25</v>
      </c>
      <c r="I501" s="26">
        <f t="shared" si="43"/>
        <v>2.1413092821474898E-5</v>
      </c>
      <c r="J501" s="26">
        <f t="shared" si="44"/>
        <v>0.26455000385435651</v>
      </c>
      <c r="K501" s="26">
        <f t="shared" si="45"/>
        <v>8.0941570627470158E-5</v>
      </c>
      <c r="L501" s="27">
        <f t="shared" si="46"/>
        <v>1.1002193136494551E-3</v>
      </c>
      <c r="M501" s="27">
        <f t="shared" si="47"/>
        <v>7.6126901302180414</v>
      </c>
      <c r="N501" s="27"/>
      <c r="O501" s="27"/>
      <c r="P501"/>
    </row>
    <row r="502" spans="1:16">
      <c r="A502" s="17" t="s">
        <v>534</v>
      </c>
      <c r="B502" s="15" t="s">
        <v>137</v>
      </c>
      <c r="C502" s="25">
        <f>VLOOKUP(B502,'Consensus Phospho site'!B:G,6,FALSE)</f>
        <v>8.5652371285899594E-5</v>
      </c>
      <c r="D502" s="17" t="e">
        <v>#N/A</v>
      </c>
      <c r="E502" s="8" t="e">
        <v>#N/A</v>
      </c>
      <c r="F502" s="8">
        <v>0.5</v>
      </c>
      <c r="G502" s="8">
        <v>0.5</v>
      </c>
      <c r="H502" s="8">
        <f t="shared" si="42"/>
        <v>0.25</v>
      </c>
      <c r="I502" s="26">
        <f t="shared" si="43"/>
        <v>2.1413092821474898E-5</v>
      </c>
      <c r="J502" s="26">
        <f t="shared" si="44"/>
        <v>0.26455000385435651</v>
      </c>
      <c r="K502" s="26">
        <f t="shared" si="45"/>
        <v>8.0941570627470158E-5</v>
      </c>
      <c r="L502" s="27">
        <f t="shared" si="46"/>
        <v>1.1002193136494551E-3</v>
      </c>
      <c r="M502" s="27">
        <f t="shared" si="47"/>
        <v>7.6126901302180414</v>
      </c>
      <c r="N502" s="27"/>
      <c r="O502" s="27"/>
      <c r="P502"/>
    </row>
    <row r="503" spans="1:16" ht="15">
      <c r="A503" s="17" t="s">
        <v>535</v>
      </c>
      <c r="B503" s="14" t="s">
        <v>408</v>
      </c>
      <c r="C503" s="25">
        <f>VLOOKUP(B503,'Consensus Phospho site'!B:G,6,FALSE)</f>
        <v>8.5652371285899594E-5</v>
      </c>
      <c r="D503" s="17" t="e">
        <v>#N/A</v>
      </c>
      <c r="E503" s="8" t="e">
        <v>#N/A</v>
      </c>
      <c r="F503" s="8">
        <v>0.5</v>
      </c>
      <c r="G503" s="8">
        <v>0.5</v>
      </c>
      <c r="H503" s="8">
        <f t="shared" si="42"/>
        <v>0.25</v>
      </c>
      <c r="I503" s="26">
        <f t="shared" si="43"/>
        <v>2.1413092821474898E-5</v>
      </c>
      <c r="J503" s="26">
        <f t="shared" si="44"/>
        <v>0.26455000385435651</v>
      </c>
      <c r="K503" s="26">
        <f t="shared" si="45"/>
        <v>8.0941570627470158E-5</v>
      </c>
      <c r="L503" s="27">
        <f t="shared" si="46"/>
        <v>1.1002193136494551E-3</v>
      </c>
      <c r="M503" s="27">
        <f t="shared" si="47"/>
        <v>7.6126901302180414</v>
      </c>
      <c r="N503" s="27"/>
      <c r="O503" s="27"/>
      <c r="P503"/>
    </row>
    <row r="504" spans="1:16" ht="15">
      <c r="A504" s="17" t="s">
        <v>535</v>
      </c>
      <c r="B504" s="14" t="s">
        <v>410</v>
      </c>
      <c r="C504" s="25">
        <f>VLOOKUP(B504,'Consensus Phospho site'!B:G,6,FALSE)</f>
        <v>8.5652371285899594E-5</v>
      </c>
      <c r="D504" s="17" t="e">
        <v>#N/A</v>
      </c>
      <c r="E504" s="8" t="e">
        <v>#N/A</v>
      </c>
      <c r="F504" s="8">
        <v>0.5</v>
      </c>
      <c r="G504" s="8">
        <v>0.5</v>
      </c>
      <c r="H504" s="8">
        <f t="shared" si="42"/>
        <v>0.25</v>
      </c>
      <c r="I504" s="26">
        <f t="shared" si="43"/>
        <v>2.1413092821474898E-5</v>
      </c>
      <c r="J504" s="26">
        <f t="shared" si="44"/>
        <v>0.26455000385435651</v>
      </c>
      <c r="K504" s="26">
        <f t="shared" si="45"/>
        <v>8.0941570627470158E-5</v>
      </c>
      <c r="L504" s="27">
        <f t="shared" si="46"/>
        <v>1.1002193136494551E-3</v>
      </c>
      <c r="M504" s="27">
        <f t="shared" si="47"/>
        <v>7.6126901302180414</v>
      </c>
      <c r="N504" s="27"/>
      <c r="O504" s="27"/>
      <c r="P504"/>
    </row>
    <row r="505" spans="1:16" ht="15">
      <c r="A505" s="17" t="s">
        <v>535</v>
      </c>
      <c r="B505" s="14" t="s">
        <v>412</v>
      </c>
      <c r="C505" s="25">
        <f>VLOOKUP(B505,'Consensus Phospho site'!B:G,6,FALSE)</f>
        <v>8.5652371285899594E-5</v>
      </c>
      <c r="D505" s="17" t="e">
        <v>#N/A</v>
      </c>
      <c r="E505" s="8" t="e">
        <v>#N/A</v>
      </c>
      <c r="F505" s="8">
        <v>0.5</v>
      </c>
      <c r="G505" s="8">
        <v>0.5</v>
      </c>
      <c r="H505" s="8">
        <f t="shared" si="42"/>
        <v>0.25</v>
      </c>
      <c r="I505" s="26">
        <f t="shared" si="43"/>
        <v>2.1413092821474898E-5</v>
      </c>
      <c r="J505" s="26">
        <f t="shared" si="44"/>
        <v>0.26455000385435651</v>
      </c>
      <c r="K505" s="26">
        <f t="shared" si="45"/>
        <v>8.0941570627470158E-5</v>
      </c>
      <c r="L505" s="27">
        <f t="shared" si="46"/>
        <v>1.1002193136494551E-3</v>
      </c>
      <c r="M505" s="27">
        <f t="shared" si="47"/>
        <v>7.6126901302180414</v>
      </c>
      <c r="N505" s="27"/>
      <c r="O505" s="27"/>
      <c r="P505"/>
    </row>
    <row r="506" spans="1:16" ht="15">
      <c r="A506" s="17" t="s">
        <v>536</v>
      </c>
      <c r="B506" s="14" t="s">
        <v>420</v>
      </c>
      <c r="C506" s="25">
        <f>VLOOKUP(B506,'Consensus Phospho site'!B:G,6,FALSE)</f>
        <v>4.2826185642949794E-4</v>
      </c>
      <c r="D506" s="17" t="e">
        <v>#N/A</v>
      </c>
      <c r="E506" s="8" t="e">
        <v>#N/A</v>
      </c>
      <c r="F506" s="8">
        <v>0.5</v>
      </c>
      <c r="G506" s="8">
        <v>9.9999999999999978E-2</v>
      </c>
      <c r="H506" s="8">
        <f t="shared" si="42"/>
        <v>4.9999999999999989E-2</v>
      </c>
      <c r="I506" s="26">
        <f t="shared" si="43"/>
        <v>2.1413092821474892E-5</v>
      </c>
      <c r="J506" s="26">
        <f t="shared" si="44"/>
        <v>0.26455000385435651</v>
      </c>
      <c r="K506" s="26">
        <f t="shared" si="45"/>
        <v>8.0941570627470131E-5</v>
      </c>
      <c r="L506" s="27">
        <f t="shared" si="46"/>
        <v>1.1002193136494547E-3</v>
      </c>
      <c r="M506" s="27">
        <f t="shared" si="47"/>
        <v>7.6126901302180414</v>
      </c>
      <c r="N506" s="27"/>
      <c r="O506" s="27"/>
      <c r="P506"/>
    </row>
    <row r="507" spans="1:16" ht="28">
      <c r="A507" s="17" t="s">
        <v>524</v>
      </c>
      <c r="B507" s="14" t="s">
        <v>11</v>
      </c>
      <c r="C507" s="25">
        <f>VLOOKUP(B507,'Consensus Phospho site'!B:G,6,FALSE)</f>
        <v>8.5652371285899594E-5</v>
      </c>
      <c r="D507" s="17" t="s">
        <v>992</v>
      </c>
      <c r="E507" s="8" t="s">
        <v>922</v>
      </c>
      <c r="F507" s="8">
        <v>0.2</v>
      </c>
      <c r="G507" s="8">
        <v>0.5</v>
      </c>
      <c r="H507" s="8">
        <f t="shared" si="42"/>
        <v>0.1</v>
      </c>
      <c r="I507" s="26">
        <f t="shared" si="43"/>
        <v>8.565237128589959E-6</v>
      </c>
      <c r="J507" s="26">
        <f t="shared" si="44"/>
        <v>0.26455000385435651</v>
      </c>
      <c r="K507" s="26">
        <f t="shared" si="45"/>
        <v>3.237662825098806E-5</v>
      </c>
      <c r="L507" s="27">
        <f t="shared" si="46"/>
        <v>4.8288729996248696E-4</v>
      </c>
      <c r="M507" s="27">
        <f t="shared" si="47"/>
        <v>7.6126901302180414</v>
      </c>
      <c r="N507" s="27"/>
      <c r="O507" s="27"/>
      <c r="P507"/>
    </row>
    <row r="508" spans="1:16" ht="15">
      <c r="A508" s="17" t="s">
        <v>534</v>
      </c>
      <c r="B508" s="14" t="s">
        <v>59</v>
      </c>
      <c r="C508" s="25">
        <f>VLOOKUP(B508,'Consensus Phospho site'!B:G,6,FALSE)</f>
        <v>1.6273950544320925E-4</v>
      </c>
      <c r="D508" s="17" t="e">
        <v>#N/A</v>
      </c>
      <c r="E508" s="8" t="e">
        <v>#N/A</v>
      </c>
      <c r="F508" s="8">
        <v>0.5</v>
      </c>
      <c r="G508" s="8">
        <v>9.9999999999999978E-2</v>
      </c>
      <c r="H508" s="8">
        <f t="shared" si="42"/>
        <v>4.9999999999999989E-2</v>
      </c>
      <c r="I508" s="26">
        <f t="shared" si="43"/>
        <v>8.1369752721604613E-6</v>
      </c>
      <c r="J508" s="26">
        <f t="shared" si="44"/>
        <v>0.26455000385435651</v>
      </c>
      <c r="K508" s="26">
        <f t="shared" si="45"/>
        <v>3.0757796838438661E-5</v>
      </c>
      <c r="L508" s="27">
        <f t="shared" si="46"/>
        <v>4.6101902981433672E-4</v>
      </c>
      <c r="M508" s="27">
        <f t="shared" si="47"/>
        <v>7.6126901302180414</v>
      </c>
      <c r="N508" s="27"/>
      <c r="O508" s="27"/>
      <c r="P508"/>
    </row>
    <row r="509" spans="1:16" ht="15">
      <c r="A509" s="17" t="s">
        <v>534</v>
      </c>
      <c r="B509" s="14" t="s">
        <v>62</v>
      </c>
      <c r="C509" s="25">
        <f>VLOOKUP(B509,'Consensus Phospho site'!B:G,6,FALSE)</f>
        <v>1.6273950544320925E-4</v>
      </c>
      <c r="D509" s="17" t="e">
        <v>#N/A</v>
      </c>
      <c r="E509" s="8" t="e">
        <v>#N/A</v>
      </c>
      <c r="F509" s="8">
        <v>0.5</v>
      </c>
      <c r="G509" s="8">
        <v>9.9999999999999978E-2</v>
      </c>
      <c r="H509" s="8">
        <f t="shared" si="42"/>
        <v>4.9999999999999989E-2</v>
      </c>
      <c r="I509" s="26">
        <f t="shared" si="43"/>
        <v>8.1369752721604613E-6</v>
      </c>
      <c r="J509" s="26">
        <f t="shared" si="44"/>
        <v>0.26455000385435651</v>
      </c>
      <c r="K509" s="26">
        <f t="shared" si="45"/>
        <v>3.0757796838438661E-5</v>
      </c>
      <c r="L509" s="27">
        <f t="shared" si="46"/>
        <v>4.6101902981433672E-4</v>
      </c>
      <c r="M509" s="27">
        <f t="shared" si="47"/>
        <v>7.6126901302180414</v>
      </c>
      <c r="N509" s="27"/>
      <c r="O509" s="27"/>
      <c r="P509"/>
    </row>
    <row r="510" spans="1:16" ht="15">
      <c r="A510" s="17" t="s">
        <v>534</v>
      </c>
      <c r="B510" s="14" t="s">
        <v>93</v>
      </c>
      <c r="C510" s="25">
        <f>VLOOKUP(B510,'Consensus Phospho site'!B:G,6,FALSE)</f>
        <v>1.6273950544320925E-4</v>
      </c>
      <c r="D510" s="17" t="e">
        <v>#N/A</v>
      </c>
      <c r="E510" s="8" t="e">
        <v>#N/A</v>
      </c>
      <c r="F510" s="8">
        <v>0.5</v>
      </c>
      <c r="G510" s="8">
        <v>9.9999999999999978E-2</v>
      </c>
      <c r="H510" s="8">
        <f t="shared" si="42"/>
        <v>4.9999999999999989E-2</v>
      </c>
      <c r="I510" s="26">
        <f t="shared" si="43"/>
        <v>8.1369752721604613E-6</v>
      </c>
      <c r="J510" s="26">
        <f t="shared" si="44"/>
        <v>0.26455000385435651</v>
      </c>
      <c r="K510" s="26">
        <f t="shared" si="45"/>
        <v>3.0757796838438661E-5</v>
      </c>
      <c r="L510" s="27">
        <f t="shared" si="46"/>
        <v>4.6101902981433672E-4</v>
      </c>
      <c r="M510" s="27">
        <f t="shared" si="47"/>
        <v>7.6126901302180414</v>
      </c>
      <c r="N510" s="27"/>
      <c r="O510" s="27"/>
      <c r="P510"/>
    </row>
    <row r="511" spans="1:16" ht="15">
      <c r="A511" s="17" t="s">
        <v>534</v>
      </c>
      <c r="B511" s="14" t="s">
        <v>94</v>
      </c>
      <c r="C511" s="25">
        <f>VLOOKUP(B511,'Consensus Phospho site'!B:G,6,FALSE)</f>
        <v>1.6273950544320925E-4</v>
      </c>
      <c r="D511" s="17" t="e">
        <v>#N/A</v>
      </c>
      <c r="E511" s="8" t="e">
        <v>#N/A</v>
      </c>
      <c r="F511" s="8">
        <v>0.5</v>
      </c>
      <c r="G511" s="8">
        <v>9.9999999999999978E-2</v>
      </c>
      <c r="H511" s="8">
        <f t="shared" si="42"/>
        <v>4.9999999999999989E-2</v>
      </c>
      <c r="I511" s="26">
        <f t="shared" si="43"/>
        <v>8.1369752721604613E-6</v>
      </c>
      <c r="J511" s="26">
        <f t="shared" si="44"/>
        <v>0.26455000385435651</v>
      </c>
      <c r="K511" s="26">
        <f t="shared" si="45"/>
        <v>3.0757796838438661E-5</v>
      </c>
      <c r="L511" s="27">
        <f t="shared" si="46"/>
        <v>4.6101902981433672E-4</v>
      </c>
      <c r="M511" s="27">
        <f t="shared" si="47"/>
        <v>7.6126901302180414</v>
      </c>
      <c r="N511" s="27"/>
      <c r="O511" s="27"/>
      <c r="P511"/>
    </row>
    <row r="512" spans="1:16" ht="15">
      <c r="A512" s="17" t="s">
        <v>534</v>
      </c>
      <c r="B512" s="14" t="s">
        <v>95</v>
      </c>
      <c r="C512" s="25">
        <f>VLOOKUP(B512,'Consensus Phospho site'!B:G,6,FALSE)</f>
        <v>1.6273950544320925E-4</v>
      </c>
      <c r="D512" s="17" t="e">
        <v>#N/A</v>
      </c>
      <c r="E512" s="8" t="e">
        <v>#N/A</v>
      </c>
      <c r="F512" s="8">
        <v>0.5</v>
      </c>
      <c r="G512" s="8">
        <v>9.9999999999999978E-2</v>
      </c>
      <c r="H512" s="8">
        <f t="shared" si="42"/>
        <v>4.9999999999999989E-2</v>
      </c>
      <c r="I512" s="26">
        <f t="shared" si="43"/>
        <v>8.1369752721604613E-6</v>
      </c>
      <c r="J512" s="26">
        <f t="shared" si="44"/>
        <v>0.26455000385435651</v>
      </c>
      <c r="K512" s="26">
        <f t="shared" si="45"/>
        <v>3.0757796838438661E-5</v>
      </c>
      <c r="L512" s="27">
        <f t="shared" si="46"/>
        <v>4.6101902981433672E-4</v>
      </c>
      <c r="M512" s="27">
        <f t="shared" si="47"/>
        <v>7.6126901302180414</v>
      </c>
      <c r="N512" s="27"/>
      <c r="O512" s="27"/>
      <c r="P512"/>
    </row>
    <row r="513" spans="1:16" ht="15">
      <c r="A513" s="17" t="s">
        <v>524</v>
      </c>
      <c r="B513" s="14" t="s">
        <v>30</v>
      </c>
      <c r="C513" s="25">
        <f>VLOOKUP(B513,'Consensus Phospho site'!B:G,6,FALSE)</f>
        <v>1.6273950544320925E-4</v>
      </c>
      <c r="D513" s="17" t="e">
        <v>#N/A</v>
      </c>
      <c r="E513" s="8" t="e">
        <v>#N/A</v>
      </c>
      <c r="F513" s="8">
        <v>0.5</v>
      </c>
      <c r="G513" s="8">
        <v>9.9999999999999978E-2</v>
      </c>
      <c r="H513" s="8">
        <f t="shared" si="42"/>
        <v>4.9999999999999989E-2</v>
      </c>
      <c r="I513" s="26">
        <f t="shared" si="43"/>
        <v>8.1369752721604613E-6</v>
      </c>
      <c r="J513" s="26">
        <f t="shared" si="44"/>
        <v>0.26455000385435651</v>
      </c>
      <c r="K513" s="26">
        <f t="shared" si="45"/>
        <v>3.0757796838438661E-5</v>
      </c>
      <c r="L513" s="27">
        <f t="shared" si="46"/>
        <v>4.6101902981433672E-4</v>
      </c>
      <c r="M513" s="27">
        <f t="shared" si="47"/>
        <v>7.6126901302180414</v>
      </c>
      <c r="N513" s="27"/>
      <c r="O513" s="27"/>
      <c r="P513"/>
    </row>
    <row r="514" spans="1:16" ht="15">
      <c r="A514" s="17" t="s">
        <v>524</v>
      </c>
      <c r="B514" s="14" t="s">
        <v>31</v>
      </c>
      <c r="C514" s="25">
        <f>VLOOKUP(B514,'Consensus Phospho site'!B:G,6,FALSE)</f>
        <v>1.6273950544320925E-4</v>
      </c>
      <c r="D514" s="17" t="e">
        <v>#N/A</v>
      </c>
      <c r="E514" s="8" t="e">
        <v>#N/A</v>
      </c>
      <c r="F514" s="8">
        <v>0.5</v>
      </c>
      <c r="G514" s="8">
        <v>9.9999999999999978E-2</v>
      </c>
      <c r="H514" s="8">
        <f t="shared" ref="H514:H522" si="48">F514*G514</f>
        <v>4.9999999999999989E-2</v>
      </c>
      <c r="I514" s="26">
        <f t="shared" ref="I514:I522" si="49">H514*C514</f>
        <v>8.1369752721604613E-6</v>
      </c>
      <c r="J514" s="26">
        <f t="shared" ref="J514:J522" si="50">SUM($I$2:$I$522)</f>
        <v>0.26455000385435651</v>
      </c>
      <c r="K514" s="26">
        <f t="shared" ref="K514:K522" si="51">I514/J514</f>
        <v>3.0757796838438661E-5</v>
      </c>
      <c r="L514" s="27">
        <f t="shared" ref="L514:L522" si="52">K514*-LOG(K514,2)</f>
        <v>4.6101902981433672E-4</v>
      </c>
      <c r="M514" s="27">
        <f t="shared" ref="M514:M522" si="53">SUM($L$2:$L$522)</f>
        <v>7.6126901302180414</v>
      </c>
      <c r="N514" s="27"/>
      <c r="O514" s="27"/>
      <c r="P514"/>
    </row>
    <row r="515" spans="1:16" ht="15">
      <c r="A515" s="17" t="s">
        <v>524</v>
      </c>
      <c r="B515" s="14" t="s">
        <v>34</v>
      </c>
      <c r="C515" s="25">
        <f>VLOOKUP(B515,'Consensus Phospho site'!B:G,6,FALSE)</f>
        <v>1.6273950544320925E-4</v>
      </c>
      <c r="D515" s="17" t="e">
        <v>#N/A</v>
      </c>
      <c r="E515" s="8" t="e">
        <v>#N/A</v>
      </c>
      <c r="F515" s="8">
        <v>0.5</v>
      </c>
      <c r="G515" s="8">
        <v>9.9999999999999978E-2</v>
      </c>
      <c r="H515" s="8">
        <f t="shared" si="48"/>
        <v>4.9999999999999989E-2</v>
      </c>
      <c r="I515" s="26">
        <f t="shared" si="49"/>
        <v>8.1369752721604613E-6</v>
      </c>
      <c r="J515" s="26">
        <f t="shared" si="50"/>
        <v>0.26455000385435651</v>
      </c>
      <c r="K515" s="26">
        <f t="shared" si="51"/>
        <v>3.0757796838438661E-5</v>
      </c>
      <c r="L515" s="27">
        <f t="shared" si="52"/>
        <v>4.6101902981433672E-4</v>
      </c>
      <c r="M515" s="27">
        <f t="shared" si="53"/>
        <v>7.6126901302180414</v>
      </c>
      <c r="N515" s="27"/>
      <c r="O515" s="27"/>
      <c r="P515"/>
    </row>
    <row r="516" spans="1:16" ht="15">
      <c r="A516" s="17" t="s">
        <v>534</v>
      </c>
      <c r="B516" s="14" t="s">
        <v>60</v>
      </c>
      <c r="C516" s="25">
        <f>VLOOKUP(B516,'Consensus Phospho site'!B:G,6,FALSE)</f>
        <v>8.5652371285899594E-5</v>
      </c>
      <c r="D516" s="17" t="e">
        <v>#N/A</v>
      </c>
      <c r="E516" s="8" t="e">
        <v>#N/A</v>
      </c>
      <c r="F516" s="8">
        <v>0.5</v>
      </c>
      <c r="G516" s="8">
        <v>9.9999999999999978E-2</v>
      </c>
      <c r="H516" s="8">
        <f t="shared" si="48"/>
        <v>4.9999999999999989E-2</v>
      </c>
      <c r="I516" s="26">
        <f t="shared" si="49"/>
        <v>4.2826185642949787E-6</v>
      </c>
      <c r="J516" s="26">
        <f t="shared" si="50"/>
        <v>0.26455000385435651</v>
      </c>
      <c r="K516" s="26">
        <f t="shared" si="51"/>
        <v>1.6188314125494027E-5</v>
      </c>
      <c r="L516" s="27">
        <f t="shared" si="52"/>
        <v>2.5763196410673751E-4</v>
      </c>
      <c r="M516" s="27">
        <f t="shared" si="53"/>
        <v>7.6126901302180414</v>
      </c>
      <c r="N516" s="27"/>
      <c r="O516" s="27"/>
      <c r="P516"/>
    </row>
    <row r="517" spans="1:16" ht="15">
      <c r="A517" s="17" t="s">
        <v>534</v>
      </c>
      <c r="B517" s="14" t="s">
        <v>61</v>
      </c>
      <c r="C517" s="25">
        <f>VLOOKUP(B517,'Consensus Phospho site'!B:G,6,FALSE)</f>
        <v>8.5652371285899594E-5</v>
      </c>
      <c r="D517" s="17" t="e">
        <v>#N/A</v>
      </c>
      <c r="E517" s="8" t="e">
        <v>#N/A</v>
      </c>
      <c r="F517" s="8">
        <v>0.5</v>
      </c>
      <c r="G517" s="8">
        <v>9.9999999999999978E-2</v>
      </c>
      <c r="H517" s="8">
        <f t="shared" si="48"/>
        <v>4.9999999999999989E-2</v>
      </c>
      <c r="I517" s="26">
        <f t="shared" si="49"/>
        <v>4.2826185642949787E-6</v>
      </c>
      <c r="J517" s="26">
        <f t="shared" si="50"/>
        <v>0.26455000385435651</v>
      </c>
      <c r="K517" s="26">
        <f t="shared" si="51"/>
        <v>1.6188314125494027E-5</v>
      </c>
      <c r="L517" s="27">
        <f t="shared" si="52"/>
        <v>2.5763196410673751E-4</v>
      </c>
      <c r="M517" s="27">
        <f t="shared" si="53"/>
        <v>7.6126901302180414</v>
      </c>
      <c r="N517" s="27"/>
      <c r="O517" s="27"/>
      <c r="P517"/>
    </row>
    <row r="518" spans="1:16" ht="15">
      <c r="A518" s="17" t="s">
        <v>534</v>
      </c>
      <c r="B518" s="14" t="s">
        <v>66</v>
      </c>
      <c r="C518" s="25">
        <f>VLOOKUP(B518,'Consensus Phospho site'!B:G,6,FALSE)</f>
        <v>8.5652371285899594E-5</v>
      </c>
      <c r="D518" s="17" t="e">
        <v>#N/A</v>
      </c>
      <c r="E518" s="8" t="e">
        <v>#N/A</v>
      </c>
      <c r="F518" s="8">
        <v>0.5</v>
      </c>
      <c r="G518" s="8">
        <v>9.9999999999999978E-2</v>
      </c>
      <c r="H518" s="8">
        <f t="shared" si="48"/>
        <v>4.9999999999999989E-2</v>
      </c>
      <c r="I518" s="26">
        <f t="shared" si="49"/>
        <v>4.2826185642949787E-6</v>
      </c>
      <c r="J518" s="26">
        <f t="shared" si="50"/>
        <v>0.26455000385435651</v>
      </c>
      <c r="K518" s="26">
        <f t="shared" si="51"/>
        <v>1.6188314125494027E-5</v>
      </c>
      <c r="L518" s="27">
        <f t="shared" si="52"/>
        <v>2.5763196410673751E-4</v>
      </c>
      <c r="M518" s="27">
        <f t="shared" si="53"/>
        <v>7.6126901302180414</v>
      </c>
      <c r="N518" s="27"/>
      <c r="O518" s="27"/>
      <c r="P518"/>
    </row>
    <row r="519" spans="1:16" ht="15">
      <c r="A519" s="17" t="s">
        <v>534</v>
      </c>
      <c r="B519" s="14" t="s">
        <v>67</v>
      </c>
      <c r="C519" s="25">
        <f>VLOOKUP(B519,'Consensus Phospho site'!B:G,6,FALSE)</f>
        <v>8.5652371285899594E-5</v>
      </c>
      <c r="D519" s="17" t="e">
        <v>#N/A</v>
      </c>
      <c r="E519" s="8" t="e">
        <v>#N/A</v>
      </c>
      <c r="F519" s="8">
        <v>0.5</v>
      </c>
      <c r="G519" s="8">
        <v>9.9999999999999978E-2</v>
      </c>
      <c r="H519" s="8">
        <f t="shared" si="48"/>
        <v>4.9999999999999989E-2</v>
      </c>
      <c r="I519" s="26">
        <f t="shared" si="49"/>
        <v>4.2826185642949787E-6</v>
      </c>
      <c r="J519" s="26">
        <f t="shared" si="50"/>
        <v>0.26455000385435651</v>
      </c>
      <c r="K519" s="26">
        <f t="shared" si="51"/>
        <v>1.6188314125494027E-5</v>
      </c>
      <c r="L519" s="27">
        <f t="shared" si="52"/>
        <v>2.5763196410673751E-4</v>
      </c>
      <c r="M519" s="27">
        <f t="shared" si="53"/>
        <v>7.6126901302180414</v>
      </c>
      <c r="N519" s="27"/>
      <c r="O519" s="27"/>
      <c r="P519"/>
    </row>
    <row r="520" spans="1:16" ht="15">
      <c r="A520" s="17" t="s">
        <v>534</v>
      </c>
      <c r="B520" s="14" t="s">
        <v>99</v>
      </c>
      <c r="C520" s="25">
        <f>VLOOKUP(B520,'Consensus Phospho site'!B:G,6,FALSE)</f>
        <v>8.5652371285899594E-5</v>
      </c>
      <c r="D520" s="17" t="e">
        <v>#N/A</v>
      </c>
      <c r="E520" s="8" t="e">
        <v>#N/A</v>
      </c>
      <c r="F520" s="8">
        <v>0.5</v>
      </c>
      <c r="G520" s="8">
        <v>9.9999999999999978E-2</v>
      </c>
      <c r="H520" s="8">
        <f t="shared" si="48"/>
        <v>4.9999999999999989E-2</v>
      </c>
      <c r="I520" s="26">
        <f t="shared" si="49"/>
        <v>4.2826185642949787E-6</v>
      </c>
      <c r="J520" s="26">
        <f t="shared" si="50"/>
        <v>0.26455000385435651</v>
      </c>
      <c r="K520" s="26">
        <f t="shared" si="51"/>
        <v>1.6188314125494027E-5</v>
      </c>
      <c r="L520" s="27">
        <f t="shared" si="52"/>
        <v>2.5763196410673751E-4</v>
      </c>
      <c r="M520" s="27">
        <f t="shared" si="53"/>
        <v>7.6126901302180414</v>
      </c>
      <c r="N520" s="27"/>
      <c r="O520" s="27"/>
      <c r="P520"/>
    </row>
    <row r="521" spans="1:16" ht="15">
      <c r="A521" s="17" t="s">
        <v>534</v>
      </c>
      <c r="B521" s="14" t="s">
        <v>101</v>
      </c>
      <c r="C521" s="25">
        <f>VLOOKUP(B521,'Consensus Phospho site'!B:G,6,FALSE)</f>
        <v>8.5652371285899594E-5</v>
      </c>
      <c r="D521" s="17" t="e">
        <v>#N/A</v>
      </c>
      <c r="E521" s="8" t="e">
        <v>#N/A</v>
      </c>
      <c r="F521" s="8">
        <v>0.5</v>
      </c>
      <c r="G521" s="8">
        <v>9.9999999999999978E-2</v>
      </c>
      <c r="H521" s="8">
        <f t="shared" si="48"/>
        <v>4.9999999999999989E-2</v>
      </c>
      <c r="I521" s="26">
        <f t="shared" si="49"/>
        <v>4.2826185642949787E-6</v>
      </c>
      <c r="J521" s="26">
        <f t="shared" si="50"/>
        <v>0.26455000385435651</v>
      </c>
      <c r="K521" s="26">
        <f t="shared" si="51"/>
        <v>1.6188314125494027E-5</v>
      </c>
      <c r="L521" s="27">
        <f t="shared" si="52"/>
        <v>2.5763196410673751E-4</v>
      </c>
      <c r="M521" s="27">
        <f t="shared" si="53"/>
        <v>7.6126901302180414</v>
      </c>
      <c r="N521" s="27"/>
      <c r="O521" s="27"/>
      <c r="P521"/>
    </row>
    <row r="522" spans="1:16">
      <c r="A522" s="17" t="s">
        <v>524</v>
      </c>
      <c r="B522" s="16" t="s">
        <v>29</v>
      </c>
      <c r="C522" s="25">
        <f>VLOOKUP(B522,'Consensus Phospho site'!B:G,6,FALSE)</f>
        <v>8.5652371285899594E-5</v>
      </c>
      <c r="D522" s="17" t="e">
        <v>#N/A</v>
      </c>
      <c r="E522" s="8" t="e">
        <v>#N/A</v>
      </c>
      <c r="F522" s="8">
        <v>0.5</v>
      </c>
      <c r="G522" s="8">
        <v>9.9999999999999978E-2</v>
      </c>
      <c r="H522" s="8">
        <f t="shared" si="48"/>
        <v>4.9999999999999989E-2</v>
      </c>
      <c r="I522" s="26">
        <f t="shared" si="49"/>
        <v>4.2826185642949787E-6</v>
      </c>
      <c r="J522" s="26">
        <f t="shared" si="50"/>
        <v>0.26455000385435651</v>
      </c>
      <c r="K522" s="26">
        <f t="shared" si="51"/>
        <v>1.6188314125494027E-5</v>
      </c>
      <c r="L522" s="27">
        <f t="shared" si="52"/>
        <v>2.5763196410673751E-4</v>
      </c>
      <c r="M522" s="27">
        <f t="shared" si="53"/>
        <v>7.6126901302180414</v>
      </c>
      <c r="N522" s="27"/>
      <c r="O522" s="27"/>
      <c r="P522"/>
    </row>
    <row r="523" spans="1:16">
      <c r="K523" s="27"/>
      <c r="P523"/>
    </row>
    <row r="526" spans="1:16">
      <c r="K526" s="26"/>
      <c r="P526"/>
    </row>
    <row r="527" spans="1:16">
      <c r="B527" s="15"/>
      <c r="P527"/>
    </row>
  </sheetData>
  <sortState ref="A2:M527">
    <sortCondition descending="1" ref="K1"/>
  </sortState>
  <hyperlinks>
    <hyperlink ref="B461" r:id="rId1" display="http://www.uniprot.org/uniprot/Q8WTQ7"/>
    <hyperlink ref="B456" r:id="rId2" display="http://www.uniprot.org/uniprot/Q8C0V7"/>
    <hyperlink ref="B457" r:id="rId3" display="http://www.uniprot.org/uniprot/Q8C0N0"/>
    <hyperlink ref="B458" r:id="rId4" display="http://www.uniprot.org/uniprot/A0AUV4"/>
    <hyperlink ref="B482" r:id="rId5" display="http://www.uniprot.org/uniprot/Q96QS6"/>
    <hyperlink ref="B493" r:id="rId6" display="http://www.uniprot.org/uniprot/Q9UEE5"/>
    <hyperlink ref="B488" r:id="rId7" display="http://www.uniprot.org/uniprot/Q9QYZ6"/>
    <hyperlink ref="B489" r:id="rId8" display="http://www.uniprot.org/uniprot/Q9QYZ3"/>
    <hyperlink ref="B490" r:id="rId9" display="http://www.uniprot.org/uniprot/Q9QYZ5"/>
    <hyperlink ref="B502" r:id="rId10" display="http://www.uniprot.org/uniprot/Q8C1R0"/>
    <hyperlink ref="B313" r:id="rId11" display="http://www.uniprot.org/uniprot/Q8N752"/>
    <hyperlink ref="B228" r:id="rId12" display="http://www.uniprot.org/uniprot/Q9UQ88"/>
    <hyperlink ref="B371" r:id="rId13" display="http://www.uniprot.org/uniprot/Q02846"/>
    <hyperlink ref="B463" r:id="rId14" display="http://www.uniprot.org/uniprot/P52785"/>
    <hyperlink ref="B464" r:id="rId15" display="http://www.uniprot.org/uniprot/Q6TL19"/>
    <hyperlink ref="B487" r:id="rId16" display="http://www.uniprot.org/uniprot/Q9QYZ4"/>
    <hyperlink ref="B491" r:id="rId17" display="http://www.uniprot.org/uniprot/A0JLX3"/>
    <hyperlink ref="B492" r:id="rId18" display="http://www.uniprot.org/uniprot/A2KF29"/>
    <hyperlink ref="B281" r:id="rId19" display="http://www.uniprot.org/uniprot/Q8NEV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7"/>
  <sheetViews>
    <sheetView tabSelected="1" workbookViewId="0">
      <selection activeCell="N33" sqref="N33"/>
    </sheetView>
  </sheetViews>
  <sheetFormatPr baseColWidth="10" defaultRowHeight="14" x14ac:dyDescent="0"/>
  <cols>
    <col min="1" max="1" width="9.83203125" style="17" customWidth="1"/>
    <col min="2" max="2" width="13.6640625" customWidth="1"/>
  </cols>
  <sheetData>
    <row r="1" spans="1:10" s="3" customFormat="1" ht="42">
      <c r="A1" s="13" t="s">
        <v>520</v>
      </c>
      <c r="B1" s="19" t="s">
        <v>618</v>
      </c>
      <c r="C1" s="19" t="s">
        <v>619</v>
      </c>
      <c r="D1" s="19" t="s">
        <v>612</v>
      </c>
      <c r="E1" s="19" t="s">
        <v>526</v>
      </c>
      <c r="F1" s="19" t="s">
        <v>527</v>
      </c>
      <c r="G1" s="19"/>
      <c r="H1" s="19" t="s">
        <v>613</v>
      </c>
      <c r="I1" s="19"/>
      <c r="J1" s="19" t="s">
        <v>620</v>
      </c>
    </row>
    <row r="2" spans="1:10" ht="15">
      <c r="A2" s="14" t="s">
        <v>193</v>
      </c>
      <c r="B2">
        <v>0.9</v>
      </c>
      <c r="C2">
        <f>VLOOKUP(A2,'AVP Regulation (PTM &amp; Ca-cAMP'!B:K,10,FALSE)</f>
        <v>2.3668124667178544E-2</v>
      </c>
      <c r="D2">
        <f t="shared" ref="D2:D65" si="0">C2*B2</f>
        <v>2.1301312200460689E-2</v>
      </c>
      <c r="E2">
        <f t="shared" ref="E2:E65" si="1">SUM($D$2:$D$522)</f>
        <v>0.54181328220416436</v>
      </c>
      <c r="F2">
        <f t="shared" ref="F2:F65" si="2">D2/E2</f>
        <v>3.931485790419216E-2</v>
      </c>
      <c r="H2">
        <f>-F2*LOG(F2,2)</f>
        <v>0.18355248321275111</v>
      </c>
      <c r="J2">
        <f>SUM(H2:H522)</f>
        <v>7.2561247679718157</v>
      </c>
    </row>
    <row r="3" spans="1:10" ht="15">
      <c r="A3" s="14" t="s">
        <v>200</v>
      </c>
      <c r="B3">
        <v>0.9</v>
      </c>
      <c r="C3">
        <f>VLOOKUP(A3,'AVP Regulation (PTM &amp; Ca-cAMP'!B:K,10,FALSE)</f>
        <v>2.3668124667178544E-2</v>
      </c>
      <c r="D3">
        <f t="shared" si="0"/>
        <v>2.1301312200460689E-2</v>
      </c>
      <c r="E3">
        <f t="shared" si="1"/>
        <v>0.54181328220416436</v>
      </c>
      <c r="F3">
        <f t="shared" si="2"/>
        <v>3.931485790419216E-2</v>
      </c>
      <c r="H3">
        <f t="shared" ref="H3:H66" si="3">-F3*LOG(F3,2)</f>
        <v>0.18355248321275111</v>
      </c>
    </row>
    <row r="4" spans="1:10" ht="15">
      <c r="A4" s="14" t="s">
        <v>198</v>
      </c>
      <c r="B4">
        <v>0.8</v>
      </c>
      <c r="C4">
        <f>VLOOKUP(A4,'AVP Regulation (PTM &amp; Ca-cAMP'!B:K,10,FALSE)</f>
        <v>2.3668124667178544E-2</v>
      </c>
      <c r="D4">
        <f t="shared" si="0"/>
        <v>1.8934499733742838E-2</v>
      </c>
      <c r="E4">
        <f t="shared" si="1"/>
        <v>0.54181328220416436</v>
      </c>
      <c r="F4">
        <f t="shared" si="2"/>
        <v>3.4946540359281929E-2</v>
      </c>
      <c r="H4">
        <f t="shared" si="3"/>
        <v>0.16909605377673359</v>
      </c>
    </row>
    <row r="5" spans="1:10" ht="15">
      <c r="A5" s="14" t="s">
        <v>162</v>
      </c>
      <c r="B5">
        <v>0.9</v>
      </c>
      <c r="C5">
        <f>VLOOKUP(A5,'AVP Regulation (PTM &amp; Ca-cAMP'!B:K,10,FALSE)</f>
        <v>1.3148958148432524E-2</v>
      </c>
      <c r="D5">
        <f t="shared" si="0"/>
        <v>1.1834062333589272E-2</v>
      </c>
      <c r="E5">
        <f t="shared" si="1"/>
        <v>0.54181328220416436</v>
      </c>
      <c r="F5">
        <f t="shared" si="2"/>
        <v>2.1841587724551199E-2</v>
      </c>
      <c r="H5">
        <f t="shared" si="3"/>
        <v>0.12049520060952972</v>
      </c>
    </row>
    <row r="6" spans="1:10" ht="15">
      <c r="A6" s="14" t="s">
        <v>165</v>
      </c>
      <c r="B6">
        <v>0.9</v>
      </c>
      <c r="C6">
        <f>VLOOKUP(A6,'AVP Regulation (PTM &amp; Ca-cAMP'!B:K,10,FALSE)</f>
        <v>1.3148958148432524E-2</v>
      </c>
      <c r="D6">
        <f t="shared" si="0"/>
        <v>1.1834062333589272E-2</v>
      </c>
      <c r="E6">
        <f t="shared" si="1"/>
        <v>0.54181328220416436</v>
      </c>
      <c r="F6">
        <f t="shared" si="2"/>
        <v>2.1841587724551199E-2</v>
      </c>
      <c r="H6">
        <f t="shared" si="3"/>
        <v>0.12049520060952972</v>
      </c>
    </row>
    <row r="7" spans="1:10" ht="15">
      <c r="A7" s="14" t="s">
        <v>197</v>
      </c>
      <c r="B7">
        <v>0.9</v>
      </c>
      <c r="C7">
        <f>VLOOKUP(A7,'AVP Regulation (PTM &amp; Ca-cAMP'!B:K,10,FALSE)</f>
        <v>1.3148958148432524E-2</v>
      </c>
      <c r="D7">
        <f t="shared" si="0"/>
        <v>1.1834062333589272E-2</v>
      </c>
      <c r="E7">
        <f t="shared" si="1"/>
        <v>0.54181328220416436</v>
      </c>
      <c r="F7">
        <f t="shared" si="2"/>
        <v>2.1841587724551199E-2</v>
      </c>
      <c r="H7">
        <f t="shared" si="3"/>
        <v>0.12049520060952972</v>
      </c>
    </row>
    <row r="8" spans="1:10" ht="15">
      <c r="A8" s="14" t="s">
        <v>209</v>
      </c>
      <c r="B8">
        <v>0.8</v>
      </c>
      <c r="C8">
        <f>VLOOKUP(A8,'AVP Regulation (PTM &amp; Ca-cAMP'!B:K,10,FALSE)</f>
        <v>1.3148958148432524E-2</v>
      </c>
      <c r="D8">
        <f t="shared" si="0"/>
        <v>1.051916651874602E-2</v>
      </c>
      <c r="E8">
        <f t="shared" si="1"/>
        <v>0.54181328220416436</v>
      </c>
      <c r="F8">
        <f t="shared" si="2"/>
        <v>1.9414744644045513E-2</v>
      </c>
      <c r="H8">
        <f t="shared" si="3"/>
        <v>0.11040589549789021</v>
      </c>
    </row>
    <row r="9" spans="1:10" ht="15">
      <c r="A9" s="14" t="s">
        <v>207</v>
      </c>
      <c r="B9">
        <v>0.8</v>
      </c>
      <c r="C9">
        <f>VLOOKUP(A9,'AVP Regulation (PTM &amp; Ca-cAMP'!B:K,10,FALSE)</f>
        <v>1.3148958148432524E-2</v>
      </c>
      <c r="D9">
        <f t="shared" si="0"/>
        <v>1.051916651874602E-2</v>
      </c>
      <c r="E9">
        <f t="shared" si="1"/>
        <v>0.54181328220416436</v>
      </c>
      <c r="F9">
        <f t="shared" si="2"/>
        <v>1.9414744644045513E-2</v>
      </c>
      <c r="H9">
        <f t="shared" si="3"/>
        <v>0.11040589549789021</v>
      </c>
    </row>
    <row r="10" spans="1:10" ht="15">
      <c r="A10" s="14" t="s">
        <v>186</v>
      </c>
      <c r="B10">
        <v>0.8</v>
      </c>
      <c r="C10">
        <f>VLOOKUP(A10,'AVP Regulation (PTM &amp; Ca-cAMP'!B:K,10,FALSE)</f>
        <v>1.3148958148432524E-2</v>
      </c>
      <c r="D10">
        <f t="shared" si="0"/>
        <v>1.051916651874602E-2</v>
      </c>
      <c r="E10">
        <f t="shared" si="1"/>
        <v>0.54181328220416436</v>
      </c>
      <c r="F10">
        <f t="shared" si="2"/>
        <v>1.9414744644045513E-2</v>
      </c>
      <c r="H10">
        <f t="shared" si="3"/>
        <v>0.11040589549789021</v>
      </c>
    </row>
    <row r="11" spans="1:10" ht="15">
      <c r="A11" s="14" t="s">
        <v>170</v>
      </c>
      <c r="B11">
        <v>0.8</v>
      </c>
      <c r="C11">
        <f>VLOOKUP(A11,'AVP Regulation (PTM &amp; Ca-cAMP'!B:K,10,FALSE)</f>
        <v>1.3148958148432524E-2</v>
      </c>
      <c r="D11">
        <f t="shared" si="0"/>
        <v>1.051916651874602E-2</v>
      </c>
      <c r="E11">
        <f t="shared" si="1"/>
        <v>0.54181328220416436</v>
      </c>
      <c r="F11">
        <f t="shared" si="2"/>
        <v>1.9414744644045513E-2</v>
      </c>
      <c r="H11">
        <f t="shared" si="3"/>
        <v>0.11040589549789021</v>
      </c>
    </row>
    <row r="12" spans="1:10" ht="15">
      <c r="A12" s="14" t="s">
        <v>167</v>
      </c>
      <c r="B12">
        <v>0.8</v>
      </c>
      <c r="C12">
        <f>VLOOKUP(A12,'AVP Regulation (PTM &amp; Ca-cAMP'!B:K,10,FALSE)</f>
        <v>1.3148958148432524E-2</v>
      </c>
      <c r="D12">
        <f t="shared" si="0"/>
        <v>1.051916651874602E-2</v>
      </c>
      <c r="E12">
        <f t="shared" si="1"/>
        <v>0.54181328220416436</v>
      </c>
      <c r="F12">
        <f t="shared" si="2"/>
        <v>1.9414744644045513E-2</v>
      </c>
      <c r="H12">
        <f t="shared" si="3"/>
        <v>0.11040589549789021</v>
      </c>
    </row>
    <row r="13" spans="1:10" ht="15">
      <c r="A13" s="14" t="s">
        <v>196</v>
      </c>
      <c r="B13">
        <v>0.8</v>
      </c>
      <c r="C13">
        <f>VLOOKUP(A13,'AVP Regulation (PTM &amp; Ca-cAMP'!B:K,10,FALSE)</f>
        <v>1.3148958148432524E-2</v>
      </c>
      <c r="D13">
        <f t="shared" si="0"/>
        <v>1.051916651874602E-2</v>
      </c>
      <c r="E13">
        <f t="shared" si="1"/>
        <v>0.54181328220416436</v>
      </c>
      <c r="F13">
        <f t="shared" si="2"/>
        <v>1.9414744644045513E-2</v>
      </c>
      <c r="H13">
        <f t="shared" si="3"/>
        <v>0.11040589549789021</v>
      </c>
    </row>
    <row r="14" spans="1:10" ht="15">
      <c r="A14" s="14" t="s">
        <v>204</v>
      </c>
      <c r="B14">
        <v>0.8</v>
      </c>
      <c r="C14">
        <f>VLOOKUP(A14,'AVP Regulation (PTM &amp; Ca-cAMP'!B:K,10,FALSE)</f>
        <v>1.2595317805340627E-2</v>
      </c>
      <c r="D14">
        <f t="shared" si="0"/>
        <v>1.0076254244272503E-2</v>
      </c>
      <c r="E14">
        <f t="shared" si="1"/>
        <v>0.54181328220416436</v>
      </c>
      <c r="F14">
        <f t="shared" si="2"/>
        <v>1.8597281711664648E-2</v>
      </c>
      <c r="H14">
        <f t="shared" si="3"/>
        <v>0.10691139152142264</v>
      </c>
    </row>
    <row r="15" spans="1:10" ht="15">
      <c r="A15" s="14" t="s">
        <v>166</v>
      </c>
      <c r="B15">
        <v>0.9</v>
      </c>
      <c r="C15">
        <f>VLOOKUP(A15,'AVP Regulation (PTM &amp; Ca-cAMP'!B:K,10,FALSE)</f>
        <v>9.6887060041081739E-3</v>
      </c>
      <c r="D15">
        <f t="shared" si="0"/>
        <v>8.7198354036973572E-3</v>
      </c>
      <c r="E15">
        <f t="shared" si="1"/>
        <v>0.54181328220416436</v>
      </c>
      <c r="F15">
        <f t="shared" si="2"/>
        <v>1.6093801481248251E-2</v>
      </c>
      <c r="H15">
        <f t="shared" si="3"/>
        <v>9.5876425115077504E-2</v>
      </c>
    </row>
    <row r="16" spans="1:10" ht="15">
      <c r="A16" s="14" t="s">
        <v>185</v>
      </c>
      <c r="B16">
        <v>0.4</v>
      </c>
      <c r="C16">
        <f>VLOOKUP(A16,'AVP Regulation (PTM &amp; Ca-cAMP'!B:K,10,FALSE)</f>
        <v>1.7439670807394714E-2</v>
      </c>
      <c r="D16">
        <f t="shared" si="0"/>
        <v>6.9758683229578858E-3</v>
      </c>
      <c r="E16">
        <f t="shared" si="1"/>
        <v>0.54181328220416436</v>
      </c>
      <c r="F16">
        <f t="shared" si="2"/>
        <v>1.2875041184998602E-2</v>
      </c>
      <c r="H16">
        <f t="shared" si="3"/>
        <v>8.0845977572344935E-2</v>
      </c>
    </row>
    <row r="17" spans="1:8" ht="15">
      <c r="A17" s="14" t="s">
        <v>424</v>
      </c>
      <c r="B17">
        <v>0.9</v>
      </c>
      <c r="C17">
        <f>VLOOKUP(A17,'AVP Regulation (PTM &amp; Ca-cAMP'!B:K,10,FALSE)</f>
        <v>7.30497674912918E-3</v>
      </c>
      <c r="D17">
        <f t="shared" si="0"/>
        <v>6.5744790742162619E-3</v>
      </c>
      <c r="E17">
        <f t="shared" si="1"/>
        <v>0.54181328220416436</v>
      </c>
      <c r="F17">
        <f t="shared" si="2"/>
        <v>1.2134215402528445E-2</v>
      </c>
      <c r="H17">
        <f t="shared" si="3"/>
        <v>7.7231555241220953E-2</v>
      </c>
    </row>
    <row r="18" spans="1:8" ht="15">
      <c r="A18" s="14" t="s">
        <v>425</v>
      </c>
      <c r="B18">
        <v>0.9</v>
      </c>
      <c r="C18">
        <f>VLOOKUP(A18,'AVP Regulation (PTM &amp; Ca-cAMP'!B:K,10,FALSE)</f>
        <v>7.30497674912918E-3</v>
      </c>
      <c r="D18">
        <f t="shared" si="0"/>
        <v>6.5744790742162619E-3</v>
      </c>
      <c r="E18">
        <f t="shared" si="1"/>
        <v>0.54181328220416436</v>
      </c>
      <c r="F18">
        <f t="shared" si="2"/>
        <v>1.2134215402528445E-2</v>
      </c>
      <c r="H18">
        <f t="shared" si="3"/>
        <v>7.7231555241220953E-2</v>
      </c>
    </row>
    <row r="19" spans="1:8" ht="15">
      <c r="A19" s="14" t="s">
        <v>506</v>
      </c>
      <c r="B19">
        <v>0.9</v>
      </c>
      <c r="C19">
        <f>VLOOKUP(A19,'AVP Regulation (PTM &amp; Ca-cAMP'!B:K,10,FALSE)</f>
        <v>7.30497674912918E-3</v>
      </c>
      <c r="D19">
        <f t="shared" si="0"/>
        <v>6.5744790742162619E-3</v>
      </c>
      <c r="E19">
        <f t="shared" si="1"/>
        <v>0.54181328220416436</v>
      </c>
      <c r="F19">
        <f t="shared" si="2"/>
        <v>1.2134215402528445E-2</v>
      </c>
      <c r="H19">
        <f t="shared" si="3"/>
        <v>7.7231555241220953E-2</v>
      </c>
    </row>
    <row r="20" spans="1:8" ht="15">
      <c r="A20" s="14" t="s">
        <v>230</v>
      </c>
      <c r="B20">
        <v>0.8</v>
      </c>
      <c r="C20">
        <f>VLOOKUP(A20,'AVP Regulation (PTM &amp; Ca-cAMP'!B:K,10,FALSE)</f>
        <v>7.8893748890595146E-3</v>
      </c>
      <c r="D20">
        <f t="shared" si="0"/>
        <v>6.311499911247612E-3</v>
      </c>
      <c r="E20">
        <f t="shared" si="1"/>
        <v>0.54181328220416436</v>
      </c>
      <c r="F20">
        <f t="shared" si="2"/>
        <v>1.1648846786427308E-2</v>
      </c>
      <c r="H20">
        <f t="shared" si="3"/>
        <v>7.4828336592044617E-2</v>
      </c>
    </row>
    <row r="21" spans="1:8" ht="15">
      <c r="A21" s="14" t="s">
        <v>231</v>
      </c>
      <c r="B21">
        <v>0.8</v>
      </c>
      <c r="C21">
        <f>VLOOKUP(A21,'AVP Regulation (PTM &amp; Ca-cAMP'!B:K,10,FALSE)</f>
        <v>7.8893748890595146E-3</v>
      </c>
      <c r="D21">
        <f t="shared" si="0"/>
        <v>6.311499911247612E-3</v>
      </c>
      <c r="E21">
        <f t="shared" si="1"/>
        <v>0.54181328220416436</v>
      </c>
      <c r="F21">
        <f t="shared" si="2"/>
        <v>1.1648846786427308E-2</v>
      </c>
      <c r="H21">
        <f t="shared" si="3"/>
        <v>7.4828336592044617E-2</v>
      </c>
    </row>
    <row r="22" spans="1:8" ht="15">
      <c r="A22" s="14" t="s">
        <v>202</v>
      </c>
      <c r="B22">
        <v>0.4</v>
      </c>
      <c r="C22">
        <f>VLOOKUP(A22,'AVP Regulation (PTM &amp; Ca-cAMP'!B:K,10,FALSE)</f>
        <v>1.3148958148432524E-2</v>
      </c>
      <c r="D22">
        <f t="shared" si="0"/>
        <v>5.25958325937301E-3</v>
      </c>
      <c r="E22">
        <f t="shared" si="1"/>
        <v>0.54181328220416436</v>
      </c>
      <c r="F22">
        <f t="shared" si="2"/>
        <v>9.7073723220227563E-3</v>
      </c>
      <c r="H22">
        <f t="shared" si="3"/>
        <v>6.4910320070967864E-2</v>
      </c>
    </row>
    <row r="23" spans="1:8" ht="15">
      <c r="A23" s="14" t="s">
        <v>171</v>
      </c>
      <c r="B23">
        <v>0.4</v>
      </c>
      <c r="C23">
        <f>VLOOKUP(A23,'AVP Regulation (PTM &amp; Ca-cAMP'!B:K,10,FALSE)</f>
        <v>1.3148958148432524E-2</v>
      </c>
      <c r="D23">
        <f t="shared" si="0"/>
        <v>5.25958325937301E-3</v>
      </c>
      <c r="E23">
        <f t="shared" si="1"/>
        <v>0.54181328220416436</v>
      </c>
      <c r="F23">
        <f t="shared" si="2"/>
        <v>9.7073723220227563E-3</v>
      </c>
      <c r="H23">
        <f t="shared" si="3"/>
        <v>6.4910320070967864E-2</v>
      </c>
    </row>
    <row r="24" spans="1:8" ht="15">
      <c r="A24" s="14" t="s">
        <v>208</v>
      </c>
      <c r="B24">
        <v>0.4</v>
      </c>
      <c r="C24">
        <f>VLOOKUP(A24,'AVP Regulation (PTM &amp; Ca-cAMP'!B:K,10,FALSE)</f>
        <v>1.3148958148432524E-2</v>
      </c>
      <c r="D24">
        <f t="shared" si="0"/>
        <v>5.25958325937301E-3</v>
      </c>
      <c r="E24">
        <f t="shared" si="1"/>
        <v>0.54181328220416436</v>
      </c>
      <c r="F24">
        <f t="shared" si="2"/>
        <v>9.7073723220227563E-3</v>
      </c>
      <c r="H24">
        <f t="shared" si="3"/>
        <v>6.4910320070967864E-2</v>
      </c>
    </row>
    <row r="25" spans="1:8" ht="15">
      <c r="A25" s="14" t="s">
        <v>180</v>
      </c>
      <c r="B25">
        <v>0.4</v>
      </c>
      <c r="C25">
        <f>VLOOKUP(A25,'AVP Regulation (PTM &amp; Ca-cAMP'!B:K,10,FALSE)</f>
        <v>1.3148958148432524E-2</v>
      </c>
      <c r="D25">
        <f t="shared" si="0"/>
        <v>5.25958325937301E-3</v>
      </c>
      <c r="E25">
        <f t="shared" si="1"/>
        <v>0.54181328220416436</v>
      </c>
      <c r="F25">
        <f t="shared" si="2"/>
        <v>9.7073723220227563E-3</v>
      </c>
      <c r="H25">
        <f t="shared" si="3"/>
        <v>6.4910320070967864E-2</v>
      </c>
    </row>
    <row r="26" spans="1:8" ht="15">
      <c r="A26" s="14" t="s">
        <v>176</v>
      </c>
      <c r="B26">
        <v>0.4</v>
      </c>
      <c r="C26">
        <f>VLOOKUP(A26,'AVP Regulation (PTM &amp; Ca-cAMP'!B:K,10,FALSE)</f>
        <v>1.3148958148432524E-2</v>
      </c>
      <c r="D26">
        <f t="shared" si="0"/>
        <v>5.25958325937301E-3</v>
      </c>
      <c r="E26">
        <f t="shared" si="1"/>
        <v>0.54181328220416436</v>
      </c>
      <c r="F26">
        <f t="shared" si="2"/>
        <v>9.7073723220227563E-3</v>
      </c>
      <c r="H26">
        <f t="shared" si="3"/>
        <v>6.4910320070967864E-2</v>
      </c>
    </row>
    <row r="27" spans="1:8" ht="15">
      <c r="A27" s="14" t="s">
        <v>169</v>
      </c>
      <c r="B27">
        <v>0.4</v>
      </c>
      <c r="C27">
        <f>VLOOKUP(A27,'AVP Regulation (PTM &amp; Ca-cAMP'!B:K,10,FALSE)</f>
        <v>1.3148958148432524E-2</v>
      </c>
      <c r="D27">
        <f t="shared" si="0"/>
        <v>5.25958325937301E-3</v>
      </c>
      <c r="E27">
        <f t="shared" si="1"/>
        <v>0.54181328220416436</v>
      </c>
      <c r="F27">
        <f t="shared" si="2"/>
        <v>9.7073723220227563E-3</v>
      </c>
      <c r="H27">
        <f t="shared" si="3"/>
        <v>6.4910320070967864E-2</v>
      </c>
    </row>
    <row r="28" spans="1:8" ht="15">
      <c r="A28" s="14" t="s">
        <v>177</v>
      </c>
      <c r="B28">
        <v>0.4</v>
      </c>
      <c r="C28">
        <f>VLOOKUP(A28,'AVP Regulation (PTM &amp; Ca-cAMP'!B:K,10,FALSE)</f>
        <v>1.3148958148432524E-2</v>
      </c>
      <c r="D28">
        <f t="shared" si="0"/>
        <v>5.25958325937301E-3</v>
      </c>
      <c r="E28">
        <f t="shared" si="1"/>
        <v>0.54181328220416436</v>
      </c>
      <c r="F28">
        <f t="shared" si="2"/>
        <v>9.7073723220227563E-3</v>
      </c>
      <c r="H28">
        <f t="shared" si="3"/>
        <v>6.4910320070967864E-2</v>
      </c>
    </row>
    <row r="29" spans="1:8" ht="15">
      <c r="A29" s="14" t="s">
        <v>267</v>
      </c>
      <c r="B29">
        <v>0.9</v>
      </c>
      <c r="C29">
        <f>VLOOKUP(A29,'AVP Regulation (PTM &amp; Ca-cAMP'!B:K,10,FALSE)</f>
        <v>5.6978818643207609E-3</v>
      </c>
      <c r="D29">
        <f t="shared" si="0"/>
        <v>5.1280936778886847E-3</v>
      </c>
      <c r="E29">
        <f t="shared" si="1"/>
        <v>0.54181328220416436</v>
      </c>
      <c r="F29">
        <f t="shared" si="2"/>
        <v>9.4646880139721869E-3</v>
      </c>
      <c r="H29">
        <f t="shared" si="3"/>
        <v>6.3633268090208375E-2</v>
      </c>
    </row>
    <row r="30" spans="1:8" ht="15">
      <c r="A30" s="14" t="s">
        <v>294</v>
      </c>
      <c r="B30">
        <v>0.8</v>
      </c>
      <c r="C30">
        <f>VLOOKUP(A30,'AVP Regulation (PTM &amp; Ca-cAMP'!B:K,10,FALSE)</f>
        <v>5.8132236024649037E-3</v>
      </c>
      <c r="D30">
        <f t="shared" si="0"/>
        <v>4.6505788819719233E-3</v>
      </c>
      <c r="E30">
        <f t="shared" si="1"/>
        <v>0.54181328220416436</v>
      </c>
      <c r="F30">
        <f t="shared" si="2"/>
        <v>8.5833607899990661E-3</v>
      </c>
      <c r="H30">
        <f t="shared" si="3"/>
        <v>5.8918262573873059E-2</v>
      </c>
    </row>
    <row r="31" spans="1:8" ht="15">
      <c r="A31" s="14" t="s">
        <v>419</v>
      </c>
      <c r="B31">
        <v>0.6</v>
      </c>
      <c r="C31">
        <f>VLOOKUP(A31,'AVP Regulation (PTM &amp; Ca-cAMP'!B:K,10,FALSE)</f>
        <v>7.30497674912918E-3</v>
      </c>
      <c r="D31">
        <f t="shared" si="0"/>
        <v>4.3829860494775082E-3</v>
      </c>
      <c r="E31">
        <f t="shared" si="1"/>
        <v>0.54181328220416436</v>
      </c>
      <c r="F31">
        <f t="shared" si="2"/>
        <v>8.0894769350189633E-3</v>
      </c>
      <c r="H31">
        <f t="shared" si="3"/>
        <v>5.6219744151582096E-2</v>
      </c>
    </row>
    <row r="32" spans="1:8" ht="15">
      <c r="A32" s="14" t="s">
        <v>508</v>
      </c>
      <c r="B32">
        <v>0.8</v>
      </c>
      <c r="C32">
        <f>VLOOKUP(A32,'AVP Regulation (PTM &amp; Ca-cAMP'!B:K,10,FALSE)</f>
        <v>5.3826144467267632E-3</v>
      </c>
      <c r="D32">
        <f t="shared" si="0"/>
        <v>4.3060915573814107E-3</v>
      </c>
      <c r="E32">
        <f t="shared" si="1"/>
        <v>0.54181328220416436</v>
      </c>
      <c r="F32">
        <f t="shared" si="2"/>
        <v>7.9475562870361723E-3</v>
      </c>
      <c r="H32">
        <f t="shared" si="3"/>
        <v>5.5436374432493267E-2</v>
      </c>
    </row>
    <row r="33" spans="1:8" ht="15">
      <c r="A33" s="14" t="s">
        <v>276</v>
      </c>
      <c r="B33">
        <v>0.9</v>
      </c>
      <c r="C33">
        <f>VLOOKUP(A33,'AVP Regulation (PTM &amp; Ca-cAMP'!B:K,10,FALSE)</f>
        <v>4.3829860494775082E-3</v>
      </c>
      <c r="D33">
        <f t="shared" si="0"/>
        <v>3.9446874445297573E-3</v>
      </c>
      <c r="E33">
        <f t="shared" si="1"/>
        <v>0.54181328220416436</v>
      </c>
      <c r="F33">
        <f t="shared" si="2"/>
        <v>7.2805292415170668E-3</v>
      </c>
      <c r="H33">
        <f t="shared" si="3"/>
        <v>5.1704432703051632E-2</v>
      </c>
    </row>
    <row r="34" spans="1:8" ht="15">
      <c r="A34" s="14" t="s">
        <v>275</v>
      </c>
      <c r="B34">
        <v>0.9</v>
      </c>
      <c r="C34">
        <f>VLOOKUP(A34,'AVP Regulation (PTM &amp; Ca-cAMP'!B:K,10,FALSE)</f>
        <v>4.3829860494775082E-3</v>
      </c>
      <c r="D34">
        <f t="shared" si="0"/>
        <v>3.9446874445297573E-3</v>
      </c>
      <c r="E34">
        <f t="shared" si="1"/>
        <v>0.54181328220416436</v>
      </c>
      <c r="F34">
        <f t="shared" si="2"/>
        <v>7.2805292415170668E-3</v>
      </c>
      <c r="H34">
        <f t="shared" si="3"/>
        <v>5.1704432703051632E-2</v>
      </c>
    </row>
    <row r="35" spans="1:8" ht="15">
      <c r="A35" s="14" t="s">
        <v>188</v>
      </c>
      <c r="B35">
        <v>0.4</v>
      </c>
      <c r="C35">
        <f>VLOOKUP(A35,'AVP Regulation (PTM &amp; Ca-cAMP'!B:K,10,FALSE)</f>
        <v>9.6887060041081739E-3</v>
      </c>
      <c r="D35">
        <f t="shared" si="0"/>
        <v>3.8754824016432698E-3</v>
      </c>
      <c r="E35">
        <f t="shared" si="1"/>
        <v>0.54181328220416436</v>
      </c>
      <c r="F35">
        <f t="shared" si="2"/>
        <v>7.152800658332556E-3</v>
      </c>
      <c r="H35">
        <f t="shared" si="3"/>
        <v>5.0979984816106286E-2</v>
      </c>
    </row>
    <row r="36" spans="1:8" ht="15">
      <c r="A36" s="14" t="s">
        <v>413</v>
      </c>
      <c r="B36">
        <v>0.4</v>
      </c>
      <c r="C36">
        <f>VLOOKUP(A36,'AVP Regulation (PTM &amp; Ca-cAMP'!B:K,10,FALSE)</f>
        <v>9.4964697738679337E-3</v>
      </c>
      <c r="D36">
        <f t="shared" si="0"/>
        <v>3.7985879095471737E-3</v>
      </c>
      <c r="E36">
        <f t="shared" si="1"/>
        <v>0.54181328220416436</v>
      </c>
      <c r="F36">
        <f t="shared" si="2"/>
        <v>7.0108800103497685E-3</v>
      </c>
      <c r="H36">
        <f t="shared" si="3"/>
        <v>5.0171180594660039E-2</v>
      </c>
    </row>
    <row r="37" spans="1:8" ht="15">
      <c r="A37" s="14" t="s">
        <v>138</v>
      </c>
      <c r="B37">
        <v>0.8</v>
      </c>
      <c r="C37">
        <f>VLOOKUP(A37,'AVP Regulation (PTM &amp; Ca-cAMP'!B:K,10,FALSE)</f>
        <v>4.3829860494775082E-3</v>
      </c>
      <c r="D37">
        <f t="shared" si="0"/>
        <v>3.5063888395820068E-3</v>
      </c>
      <c r="E37">
        <f t="shared" si="1"/>
        <v>0.54181328220416436</v>
      </c>
      <c r="F37">
        <f t="shared" si="2"/>
        <v>6.4715815480151711E-3</v>
      </c>
      <c r="H37">
        <f t="shared" si="3"/>
        <v>4.7059179239926412E-2</v>
      </c>
    </row>
    <row r="38" spans="1:8" ht="15">
      <c r="A38" s="14" t="s">
        <v>141</v>
      </c>
      <c r="B38">
        <v>0.6</v>
      </c>
      <c r="C38">
        <f>VLOOKUP(A38,'AVP Regulation (PTM &amp; Ca-cAMP'!B:K,10,FALSE)</f>
        <v>5.6978818643207609E-3</v>
      </c>
      <c r="D38">
        <f t="shared" si="0"/>
        <v>3.4187291185924563E-3</v>
      </c>
      <c r="E38">
        <f t="shared" si="1"/>
        <v>0.54181328220416436</v>
      </c>
      <c r="F38">
        <f t="shared" si="2"/>
        <v>6.309792009314791E-3</v>
      </c>
      <c r="H38">
        <f t="shared" si="3"/>
        <v>4.6113170439604736E-2</v>
      </c>
    </row>
    <row r="39" spans="1:8" ht="15">
      <c r="A39" s="14" t="s">
        <v>232</v>
      </c>
      <c r="B39">
        <v>0.4</v>
      </c>
      <c r="C39">
        <f>VLOOKUP(A39,'AVP Regulation (PTM &amp; Ca-cAMP'!B:K,10,FALSE)</f>
        <v>7.8893748890595146E-3</v>
      </c>
      <c r="D39">
        <f t="shared" si="0"/>
        <v>3.155749955623806E-3</v>
      </c>
      <c r="E39">
        <f t="shared" si="1"/>
        <v>0.54181328220416436</v>
      </c>
      <c r="F39">
        <f t="shared" si="2"/>
        <v>5.8244233932136539E-3</v>
      </c>
      <c r="H39">
        <f t="shared" si="3"/>
        <v>4.3238591689235967E-2</v>
      </c>
    </row>
    <row r="40" spans="1:8" ht="15">
      <c r="A40" s="14" t="s">
        <v>310</v>
      </c>
      <c r="B40">
        <v>0.4</v>
      </c>
      <c r="C40">
        <f>VLOOKUP(A40,'AVP Regulation (PTM &amp; Ca-cAMP'!B:K,10,FALSE)</f>
        <v>7.8893748890595146E-3</v>
      </c>
      <c r="D40">
        <f t="shared" si="0"/>
        <v>3.155749955623806E-3</v>
      </c>
      <c r="E40">
        <f t="shared" si="1"/>
        <v>0.54181328220416436</v>
      </c>
      <c r="F40">
        <f t="shared" si="2"/>
        <v>5.8244233932136539E-3</v>
      </c>
      <c r="H40">
        <f t="shared" si="3"/>
        <v>4.3238591689235967E-2</v>
      </c>
    </row>
    <row r="41" spans="1:8" ht="15">
      <c r="A41" s="14" t="s">
        <v>140</v>
      </c>
      <c r="B41">
        <v>0.7</v>
      </c>
      <c r="C41">
        <f>VLOOKUP(A41,'AVP Regulation (PTM &amp; Ca-cAMP'!B:K,10,FALSE)</f>
        <v>4.3829860494775082E-3</v>
      </c>
      <c r="D41">
        <f t="shared" si="0"/>
        <v>3.0680902346342555E-3</v>
      </c>
      <c r="E41">
        <f t="shared" si="1"/>
        <v>0.54181328220416436</v>
      </c>
      <c r="F41">
        <f t="shared" si="2"/>
        <v>5.6626338545132738E-3</v>
      </c>
      <c r="H41">
        <f t="shared" si="3"/>
        <v>4.2267660375197566E-2</v>
      </c>
    </row>
    <row r="42" spans="1:8" ht="15">
      <c r="A42" s="14" t="s">
        <v>220</v>
      </c>
      <c r="B42">
        <v>0.7</v>
      </c>
      <c r="C42">
        <f>VLOOKUP(A42,'AVP Regulation (PTM &amp; Ca-cAMP'!B:K,10,FALSE)</f>
        <v>4.3829860494775082E-3</v>
      </c>
      <c r="D42">
        <f t="shared" si="0"/>
        <v>3.0680902346342555E-3</v>
      </c>
      <c r="E42">
        <f t="shared" si="1"/>
        <v>0.54181328220416436</v>
      </c>
      <c r="F42">
        <f t="shared" si="2"/>
        <v>5.6626338545132738E-3</v>
      </c>
      <c r="H42">
        <f t="shared" si="3"/>
        <v>4.2267660375197566E-2</v>
      </c>
    </row>
    <row r="43" spans="1:8" ht="15">
      <c r="A43" s="14" t="s">
        <v>434</v>
      </c>
      <c r="B43">
        <v>0.4</v>
      </c>
      <c r="C43">
        <f>VLOOKUP(A43,'AVP Regulation (PTM &amp; Ca-cAMP'!B:K,10,FALSE)</f>
        <v>7.30497674912918E-3</v>
      </c>
      <c r="D43">
        <f t="shared" si="0"/>
        <v>2.9219906996516723E-3</v>
      </c>
      <c r="E43">
        <f t="shared" si="1"/>
        <v>0.54181328220416436</v>
      </c>
      <c r="F43">
        <f t="shared" si="2"/>
        <v>5.3929846233459755E-3</v>
      </c>
      <c r="H43">
        <f t="shared" si="3"/>
        <v>4.0634523206011276E-2</v>
      </c>
    </row>
    <row r="44" spans="1:8" ht="15">
      <c r="A44" s="14" t="s">
        <v>450</v>
      </c>
      <c r="B44">
        <v>0.4</v>
      </c>
      <c r="C44">
        <f>VLOOKUP(A44,'AVP Regulation (PTM &amp; Ca-cAMP'!B:K,10,FALSE)</f>
        <v>7.30497674912918E-3</v>
      </c>
      <c r="D44">
        <f t="shared" si="0"/>
        <v>2.9219906996516723E-3</v>
      </c>
      <c r="E44">
        <f t="shared" si="1"/>
        <v>0.54181328220416436</v>
      </c>
      <c r="F44">
        <f t="shared" si="2"/>
        <v>5.3929846233459755E-3</v>
      </c>
      <c r="H44">
        <f t="shared" si="3"/>
        <v>4.0634523206011276E-2</v>
      </c>
    </row>
    <row r="45" spans="1:8" ht="15">
      <c r="A45" s="14" t="s">
        <v>436</v>
      </c>
      <c r="B45">
        <v>0.4</v>
      </c>
      <c r="C45">
        <f>VLOOKUP(A45,'AVP Regulation (PTM &amp; Ca-cAMP'!B:K,10,FALSE)</f>
        <v>7.30497674912918E-3</v>
      </c>
      <c r="D45">
        <f t="shared" si="0"/>
        <v>2.9219906996516723E-3</v>
      </c>
      <c r="E45">
        <f t="shared" si="1"/>
        <v>0.54181328220416436</v>
      </c>
      <c r="F45">
        <f t="shared" si="2"/>
        <v>5.3929846233459755E-3</v>
      </c>
      <c r="H45">
        <f t="shared" si="3"/>
        <v>4.0634523206011276E-2</v>
      </c>
    </row>
    <row r="46" spans="1:8" ht="15">
      <c r="A46" s="14" t="s">
        <v>449</v>
      </c>
      <c r="B46">
        <v>0.4</v>
      </c>
      <c r="C46">
        <f>VLOOKUP(A46,'AVP Regulation (PTM &amp; Ca-cAMP'!B:K,10,FALSE)</f>
        <v>7.30497674912918E-3</v>
      </c>
      <c r="D46">
        <f t="shared" si="0"/>
        <v>2.9219906996516723E-3</v>
      </c>
      <c r="E46">
        <f t="shared" si="1"/>
        <v>0.54181328220416436</v>
      </c>
      <c r="F46">
        <f t="shared" si="2"/>
        <v>5.3929846233459755E-3</v>
      </c>
      <c r="H46">
        <f t="shared" si="3"/>
        <v>4.0634523206011276E-2</v>
      </c>
    </row>
    <row r="47" spans="1:8" ht="15">
      <c r="A47" s="14" t="s">
        <v>476</v>
      </c>
      <c r="B47">
        <v>0.4</v>
      </c>
      <c r="C47">
        <f>VLOOKUP(A47,'AVP Regulation (PTM &amp; Ca-cAMP'!B:K,10,FALSE)</f>
        <v>7.30497674912918E-3</v>
      </c>
      <c r="D47">
        <f t="shared" si="0"/>
        <v>2.9219906996516723E-3</v>
      </c>
      <c r="E47">
        <f t="shared" si="1"/>
        <v>0.54181328220416436</v>
      </c>
      <c r="F47">
        <f t="shared" si="2"/>
        <v>5.3929846233459755E-3</v>
      </c>
      <c r="H47">
        <f t="shared" si="3"/>
        <v>4.0634523206011276E-2</v>
      </c>
    </row>
    <row r="48" spans="1:8" ht="15">
      <c r="A48" s="14" t="s">
        <v>489</v>
      </c>
      <c r="B48">
        <v>0.4</v>
      </c>
      <c r="C48">
        <f>VLOOKUP(A48,'AVP Regulation (PTM &amp; Ca-cAMP'!B:K,10,FALSE)</f>
        <v>7.30497674912918E-3</v>
      </c>
      <c r="D48">
        <f t="shared" si="0"/>
        <v>2.9219906996516723E-3</v>
      </c>
      <c r="E48">
        <f t="shared" si="1"/>
        <v>0.54181328220416436</v>
      </c>
      <c r="F48">
        <f t="shared" si="2"/>
        <v>5.3929846233459755E-3</v>
      </c>
      <c r="H48">
        <f t="shared" si="3"/>
        <v>4.0634523206011276E-2</v>
      </c>
    </row>
    <row r="49" spans="1:8" ht="15">
      <c r="A49" s="14" t="s">
        <v>513</v>
      </c>
      <c r="B49">
        <v>0.4</v>
      </c>
      <c r="C49">
        <f>VLOOKUP(A49,'AVP Regulation (PTM &amp; Ca-cAMP'!B:K,10,FALSE)</f>
        <v>7.30497674912918E-3</v>
      </c>
      <c r="D49">
        <f t="shared" si="0"/>
        <v>2.9219906996516723E-3</v>
      </c>
      <c r="E49">
        <f t="shared" si="1"/>
        <v>0.54181328220416436</v>
      </c>
      <c r="F49">
        <f t="shared" si="2"/>
        <v>5.3929846233459755E-3</v>
      </c>
      <c r="H49">
        <f t="shared" si="3"/>
        <v>4.0634523206011276E-2</v>
      </c>
    </row>
    <row r="50" spans="1:8" ht="15">
      <c r="A50" s="14" t="s">
        <v>503</v>
      </c>
      <c r="B50">
        <v>0.4</v>
      </c>
      <c r="C50">
        <f>VLOOKUP(A50,'AVP Regulation (PTM &amp; Ca-cAMP'!B:K,10,FALSE)</f>
        <v>7.30497674912918E-3</v>
      </c>
      <c r="D50">
        <f t="shared" si="0"/>
        <v>2.9219906996516723E-3</v>
      </c>
      <c r="E50">
        <f t="shared" si="1"/>
        <v>0.54181328220416436</v>
      </c>
      <c r="F50">
        <f t="shared" si="2"/>
        <v>5.3929846233459755E-3</v>
      </c>
      <c r="H50">
        <f t="shared" si="3"/>
        <v>4.0634523206011276E-2</v>
      </c>
    </row>
    <row r="51" spans="1:8" ht="15">
      <c r="A51" s="14" t="s">
        <v>479</v>
      </c>
      <c r="B51">
        <v>0.4</v>
      </c>
      <c r="C51">
        <f>VLOOKUP(A51,'AVP Regulation (PTM &amp; Ca-cAMP'!B:K,10,FALSE)</f>
        <v>7.30497674912918E-3</v>
      </c>
      <c r="D51">
        <f t="shared" si="0"/>
        <v>2.9219906996516723E-3</v>
      </c>
      <c r="E51">
        <f t="shared" si="1"/>
        <v>0.54181328220416436</v>
      </c>
      <c r="F51">
        <f t="shared" si="2"/>
        <v>5.3929846233459755E-3</v>
      </c>
      <c r="H51">
        <f t="shared" si="3"/>
        <v>4.0634523206011276E-2</v>
      </c>
    </row>
    <row r="52" spans="1:8" ht="15">
      <c r="A52" s="14" t="s">
        <v>448</v>
      </c>
      <c r="B52">
        <v>0.4</v>
      </c>
      <c r="C52">
        <f>VLOOKUP(A52,'AVP Regulation (PTM &amp; Ca-cAMP'!B:K,10,FALSE)</f>
        <v>7.30497674912918E-3</v>
      </c>
      <c r="D52">
        <f t="shared" si="0"/>
        <v>2.9219906996516723E-3</v>
      </c>
      <c r="E52">
        <f t="shared" si="1"/>
        <v>0.54181328220416436</v>
      </c>
      <c r="F52">
        <f t="shared" si="2"/>
        <v>5.3929846233459755E-3</v>
      </c>
      <c r="H52">
        <f t="shared" si="3"/>
        <v>4.0634523206011276E-2</v>
      </c>
    </row>
    <row r="53" spans="1:8" ht="15">
      <c r="A53" s="14" t="s">
        <v>519</v>
      </c>
      <c r="B53">
        <v>0.4</v>
      </c>
      <c r="C53">
        <f>VLOOKUP(A53,'AVP Regulation (PTM &amp; Ca-cAMP'!B:K,10,FALSE)</f>
        <v>7.30497674912918E-3</v>
      </c>
      <c r="D53">
        <f t="shared" si="0"/>
        <v>2.9219906996516723E-3</v>
      </c>
      <c r="E53">
        <f t="shared" si="1"/>
        <v>0.54181328220416436</v>
      </c>
      <c r="F53">
        <f t="shared" si="2"/>
        <v>5.3929846233459755E-3</v>
      </c>
      <c r="H53">
        <f t="shared" si="3"/>
        <v>4.0634523206011276E-2</v>
      </c>
    </row>
    <row r="54" spans="1:8" ht="15">
      <c r="A54" s="14" t="s">
        <v>478</v>
      </c>
      <c r="B54">
        <v>0.4</v>
      </c>
      <c r="C54">
        <f>VLOOKUP(A54,'AVP Regulation (PTM &amp; Ca-cAMP'!B:K,10,FALSE)</f>
        <v>7.30497674912918E-3</v>
      </c>
      <c r="D54">
        <f t="shared" si="0"/>
        <v>2.9219906996516723E-3</v>
      </c>
      <c r="E54">
        <f t="shared" si="1"/>
        <v>0.54181328220416436</v>
      </c>
      <c r="F54">
        <f t="shared" si="2"/>
        <v>5.3929846233459755E-3</v>
      </c>
      <c r="H54">
        <f t="shared" si="3"/>
        <v>4.0634523206011276E-2</v>
      </c>
    </row>
    <row r="55" spans="1:8" ht="15">
      <c r="A55" s="14" t="s">
        <v>414</v>
      </c>
      <c r="B55">
        <v>0.4</v>
      </c>
      <c r="C55">
        <f>VLOOKUP(A55,'AVP Regulation (PTM &amp; Ca-cAMP'!B:K,10,FALSE)</f>
        <v>7.30497674912918E-3</v>
      </c>
      <c r="D55">
        <f t="shared" si="0"/>
        <v>2.9219906996516723E-3</v>
      </c>
      <c r="E55">
        <f t="shared" si="1"/>
        <v>0.54181328220416436</v>
      </c>
      <c r="F55">
        <f t="shared" si="2"/>
        <v>5.3929846233459755E-3</v>
      </c>
      <c r="H55">
        <f t="shared" si="3"/>
        <v>4.0634523206011276E-2</v>
      </c>
    </row>
    <row r="56" spans="1:8" ht="15">
      <c r="A56" s="14" t="s">
        <v>418</v>
      </c>
      <c r="B56">
        <v>0.4</v>
      </c>
      <c r="C56">
        <f>VLOOKUP(A56,'AVP Regulation (PTM &amp; Ca-cAMP'!B:K,10,FALSE)</f>
        <v>7.30497674912918E-3</v>
      </c>
      <c r="D56">
        <f t="shared" si="0"/>
        <v>2.9219906996516723E-3</v>
      </c>
      <c r="E56">
        <f t="shared" si="1"/>
        <v>0.54181328220416436</v>
      </c>
      <c r="F56">
        <f t="shared" si="2"/>
        <v>5.3929846233459755E-3</v>
      </c>
      <c r="H56">
        <f t="shared" si="3"/>
        <v>4.0634523206011276E-2</v>
      </c>
    </row>
    <row r="57" spans="1:8" ht="15">
      <c r="A57" s="14" t="s">
        <v>422</v>
      </c>
      <c r="B57">
        <v>0.4</v>
      </c>
      <c r="C57">
        <f>VLOOKUP(A57,'AVP Regulation (PTM &amp; Ca-cAMP'!B:K,10,FALSE)</f>
        <v>7.30497674912918E-3</v>
      </c>
      <c r="D57">
        <f t="shared" si="0"/>
        <v>2.9219906996516723E-3</v>
      </c>
      <c r="E57">
        <f t="shared" si="1"/>
        <v>0.54181328220416436</v>
      </c>
      <c r="F57">
        <f t="shared" si="2"/>
        <v>5.3929846233459755E-3</v>
      </c>
      <c r="H57">
        <f t="shared" si="3"/>
        <v>4.0634523206011276E-2</v>
      </c>
    </row>
    <row r="58" spans="1:8" ht="15">
      <c r="A58" s="14" t="s">
        <v>189</v>
      </c>
      <c r="B58">
        <v>0.4</v>
      </c>
      <c r="C58">
        <f>VLOOKUP(A58,'AVP Regulation (PTM &amp; Ca-cAMP'!B:K,10,FALSE)</f>
        <v>6.920504288648697E-3</v>
      </c>
      <c r="D58">
        <f t="shared" si="0"/>
        <v>2.7682017154594791E-3</v>
      </c>
      <c r="E58">
        <f t="shared" si="1"/>
        <v>0.54181328220416436</v>
      </c>
      <c r="F58">
        <f t="shared" si="2"/>
        <v>5.109143327380398E-3</v>
      </c>
      <c r="H58">
        <f t="shared" si="3"/>
        <v>3.8894390103615631E-2</v>
      </c>
    </row>
    <row r="59" spans="1:8" ht="15">
      <c r="A59" s="14" t="s">
        <v>187</v>
      </c>
      <c r="B59">
        <v>0.4</v>
      </c>
      <c r="C59">
        <f>VLOOKUP(A59,'AVP Regulation (PTM &amp; Ca-cAMP'!B:K,10,FALSE)</f>
        <v>6.920504288648697E-3</v>
      </c>
      <c r="D59">
        <f t="shared" si="0"/>
        <v>2.7682017154594791E-3</v>
      </c>
      <c r="E59">
        <f t="shared" si="1"/>
        <v>0.54181328220416436</v>
      </c>
      <c r="F59">
        <f t="shared" si="2"/>
        <v>5.109143327380398E-3</v>
      </c>
      <c r="H59">
        <f t="shared" si="3"/>
        <v>3.8894390103615631E-2</v>
      </c>
    </row>
    <row r="60" spans="1:8" ht="15">
      <c r="A60" s="14" t="s">
        <v>299</v>
      </c>
      <c r="B60">
        <v>0.6</v>
      </c>
      <c r="C60">
        <f>VLOOKUP(A60,'AVP Regulation (PTM &amp; Ca-cAMP'!B:K,10,FALSE)</f>
        <v>4.3829860494775082E-3</v>
      </c>
      <c r="D60">
        <f t="shared" si="0"/>
        <v>2.629791629686505E-3</v>
      </c>
      <c r="E60">
        <f t="shared" si="1"/>
        <v>0.54181328220416436</v>
      </c>
      <c r="F60">
        <f t="shared" si="2"/>
        <v>4.8536861610113781E-3</v>
      </c>
      <c r="H60">
        <f t="shared" si="3"/>
        <v>3.7308846196495306E-2</v>
      </c>
    </row>
    <row r="61" spans="1:8" ht="15">
      <c r="A61" s="14" t="s">
        <v>147</v>
      </c>
      <c r="B61">
        <v>0.6</v>
      </c>
      <c r="C61">
        <f>VLOOKUP(A61,'AVP Regulation (PTM &amp; Ca-cAMP'!B:K,10,FALSE)</f>
        <v>4.3829860494775082E-3</v>
      </c>
      <c r="D61">
        <f t="shared" si="0"/>
        <v>2.629791629686505E-3</v>
      </c>
      <c r="E61">
        <f t="shared" si="1"/>
        <v>0.54181328220416436</v>
      </c>
      <c r="F61">
        <f t="shared" si="2"/>
        <v>4.8536861610113781E-3</v>
      </c>
      <c r="H61">
        <f t="shared" si="3"/>
        <v>3.7308846196495306E-2</v>
      </c>
    </row>
    <row r="62" spans="1:8" ht="15">
      <c r="A62" s="14" t="s">
        <v>273</v>
      </c>
      <c r="B62">
        <v>0.6</v>
      </c>
      <c r="C62">
        <f>VLOOKUP(A62,'AVP Regulation (PTM &amp; Ca-cAMP'!B:K,10,FALSE)</f>
        <v>4.3829860494775082E-3</v>
      </c>
      <c r="D62">
        <f t="shared" si="0"/>
        <v>2.629791629686505E-3</v>
      </c>
      <c r="E62">
        <f t="shared" si="1"/>
        <v>0.54181328220416436</v>
      </c>
      <c r="F62">
        <f t="shared" si="2"/>
        <v>4.8536861610113781E-3</v>
      </c>
      <c r="H62">
        <f t="shared" si="3"/>
        <v>3.7308846196495306E-2</v>
      </c>
    </row>
    <row r="63" spans="1:8" ht="15">
      <c r="A63" s="14" t="s">
        <v>234</v>
      </c>
      <c r="B63">
        <v>0.4</v>
      </c>
      <c r="C63">
        <f>VLOOKUP(A63,'AVP Regulation (PTM &amp; Ca-cAMP'!B:K,10,FALSE)</f>
        <v>5.8132236024649037E-3</v>
      </c>
      <c r="D63">
        <f t="shared" si="0"/>
        <v>2.3252894409859616E-3</v>
      </c>
      <c r="E63">
        <f t="shared" si="1"/>
        <v>0.54181328220416436</v>
      </c>
      <c r="F63">
        <f t="shared" si="2"/>
        <v>4.2916803949995331E-3</v>
      </c>
      <c r="H63">
        <f t="shared" si="3"/>
        <v>3.3750811681936062E-2</v>
      </c>
    </row>
    <row r="64" spans="1:8" ht="15">
      <c r="A64" s="14" t="s">
        <v>265</v>
      </c>
      <c r="B64">
        <v>0.7</v>
      </c>
      <c r="C64">
        <f>VLOOKUP(A64,'AVP Regulation (PTM &amp; Ca-cAMP'!B:K,10,FALSE)</f>
        <v>3.2295686680360574E-3</v>
      </c>
      <c r="D64">
        <f t="shared" si="0"/>
        <v>2.2606980676252398E-3</v>
      </c>
      <c r="E64">
        <f t="shared" si="1"/>
        <v>0.54181328220416436</v>
      </c>
      <c r="F64">
        <f t="shared" si="2"/>
        <v>4.1724670506939898E-3</v>
      </c>
      <c r="H64">
        <f t="shared" si="3"/>
        <v>3.2982866476405595E-2</v>
      </c>
    </row>
    <row r="65" spans="1:8" ht="15">
      <c r="A65" s="14" t="s">
        <v>440</v>
      </c>
      <c r="B65">
        <v>0.4</v>
      </c>
      <c r="C65">
        <f>VLOOKUP(A65,'AVP Regulation (PTM &amp; Ca-cAMP'!B:K,10,FALSE)</f>
        <v>5.3826144467267632E-3</v>
      </c>
      <c r="D65">
        <f t="shared" si="0"/>
        <v>2.1530457786907054E-3</v>
      </c>
      <c r="E65">
        <f t="shared" si="1"/>
        <v>0.54181328220416436</v>
      </c>
      <c r="F65">
        <f t="shared" si="2"/>
        <v>3.9737781435180862E-3</v>
      </c>
      <c r="H65">
        <f t="shared" si="3"/>
        <v>3.1691965359764727E-2</v>
      </c>
    </row>
    <row r="66" spans="1:8" ht="15">
      <c r="A66" s="14" t="s">
        <v>461</v>
      </c>
      <c r="B66">
        <v>0.4</v>
      </c>
      <c r="C66">
        <f>VLOOKUP(A66,'AVP Regulation (PTM &amp; Ca-cAMP'!B:K,10,FALSE)</f>
        <v>5.3826144467267632E-3</v>
      </c>
      <c r="D66">
        <f t="shared" ref="D66:D129" si="4">C66*B66</f>
        <v>2.1530457786907054E-3</v>
      </c>
      <c r="E66">
        <f t="shared" ref="E66:E129" si="5">SUM($D$2:$D$522)</f>
        <v>0.54181328220416436</v>
      </c>
      <c r="F66">
        <f t="shared" ref="F66:F129" si="6">D66/E66</f>
        <v>3.9737781435180862E-3</v>
      </c>
      <c r="H66">
        <f t="shared" si="3"/>
        <v>3.1691965359764727E-2</v>
      </c>
    </row>
    <row r="67" spans="1:8" ht="15">
      <c r="A67" s="14" t="s">
        <v>515</v>
      </c>
      <c r="B67">
        <v>0.4</v>
      </c>
      <c r="C67">
        <f>VLOOKUP(A67,'AVP Regulation (PTM &amp; Ca-cAMP'!B:K,10,FALSE)</f>
        <v>5.3826144467267632E-3</v>
      </c>
      <c r="D67">
        <f t="shared" si="4"/>
        <v>2.1530457786907054E-3</v>
      </c>
      <c r="E67">
        <f t="shared" si="5"/>
        <v>0.54181328220416436</v>
      </c>
      <c r="F67">
        <f t="shared" si="6"/>
        <v>3.9737781435180862E-3</v>
      </c>
      <c r="H67">
        <f t="shared" ref="H67:H130" si="7">-F67*LOG(F67,2)</f>
        <v>3.1691965359764727E-2</v>
      </c>
    </row>
    <row r="68" spans="1:8" ht="15">
      <c r="A68" s="14" t="s">
        <v>455</v>
      </c>
      <c r="B68">
        <v>0.4</v>
      </c>
      <c r="C68">
        <f>VLOOKUP(A68,'AVP Regulation (PTM &amp; Ca-cAMP'!B:K,10,FALSE)</f>
        <v>5.3826144467267632E-3</v>
      </c>
      <c r="D68">
        <f t="shared" si="4"/>
        <v>2.1530457786907054E-3</v>
      </c>
      <c r="E68">
        <f t="shared" si="5"/>
        <v>0.54181328220416436</v>
      </c>
      <c r="F68">
        <f t="shared" si="6"/>
        <v>3.9737781435180862E-3</v>
      </c>
      <c r="H68">
        <f t="shared" si="7"/>
        <v>3.1691965359764727E-2</v>
      </c>
    </row>
    <row r="69" spans="1:8" ht="15">
      <c r="A69" s="14" t="s">
        <v>510</v>
      </c>
      <c r="B69">
        <v>0.4</v>
      </c>
      <c r="C69">
        <f>VLOOKUP(A69,'AVP Regulation (PTM &amp; Ca-cAMP'!B:K,10,FALSE)</f>
        <v>5.3826144467267632E-3</v>
      </c>
      <c r="D69">
        <f t="shared" si="4"/>
        <v>2.1530457786907054E-3</v>
      </c>
      <c r="E69">
        <f t="shared" si="5"/>
        <v>0.54181328220416436</v>
      </c>
      <c r="F69">
        <f t="shared" si="6"/>
        <v>3.9737781435180862E-3</v>
      </c>
      <c r="H69">
        <f t="shared" si="7"/>
        <v>3.1691965359764727E-2</v>
      </c>
    </row>
    <row r="70" spans="1:8" ht="15">
      <c r="A70" s="14" t="s">
        <v>442</v>
      </c>
      <c r="B70">
        <v>0.4</v>
      </c>
      <c r="C70">
        <f>VLOOKUP(A70,'AVP Regulation (PTM &amp; Ca-cAMP'!B:K,10,FALSE)</f>
        <v>5.3826144467267632E-3</v>
      </c>
      <c r="D70">
        <f t="shared" si="4"/>
        <v>2.1530457786907054E-3</v>
      </c>
      <c r="E70">
        <f t="shared" si="5"/>
        <v>0.54181328220416436</v>
      </c>
      <c r="F70">
        <f t="shared" si="6"/>
        <v>3.9737781435180862E-3</v>
      </c>
      <c r="H70">
        <f t="shared" si="7"/>
        <v>3.1691965359764727E-2</v>
      </c>
    </row>
    <row r="71" spans="1:8" ht="15">
      <c r="A71" s="14" t="s">
        <v>497</v>
      </c>
      <c r="B71">
        <v>0.4</v>
      </c>
      <c r="C71">
        <f>VLOOKUP(A71,'AVP Regulation (PTM &amp; Ca-cAMP'!B:K,10,FALSE)</f>
        <v>5.3826144467267632E-3</v>
      </c>
      <c r="D71">
        <f t="shared" si="4"/>
        <v>2.1530457786907054E-3</v>
      </c>
      <c r="E71">
        <f t="shared" si="5"/>
        <v>0.54181328220416436</v>
      </c>
      <c r="F71">
        <f t="shared" si="6"/>
        <v>3.9737781435180862E-3</v>
      </c>
      <c r="H71">
        <f t="shared" si="7"/>
        <v>3.1691965359764727E-2</v>
      </c>
    </row>
    <row r="72" spans="1:8" ht="15">
      <c r="A72" s="14" t="s">
        <v>492</v>
      </c>
      <c r="B72">
        <v>0.4</v>
      </c>
      <c r="C72">
        <f>VLOOKUP(A72,'AVP Regulation (PTM &amp; Ca-cAMP'!B:K,10,FALSE)</f>
        <v>5.3826144467267632E-3</v>
      </c>
      <c r="D72">
        <f t="shared" si="4"/>
        <v>2.1530457786907054E-3</v>
      </c>
      <c r="E72">
        <f t="shared" si="5"/>
        <v>0.54181328220416436</v>
      </c>
      <c r="F72">
        <f t="shared" si="6"/>
        <v>3.9737781435180862E-3</v>
      </c>
      <c r="H72">
        <f t="shared" si="7"/>
        <v>3.1691965359764727E-2</v>
      </c>
    </row>
    <row r="73" spans="1:8" ht="15">
      <c r="A73" s="14" t="s">
        <v>483</v>
      </c>
      <c r="B73">
        <v>0.4</v>
      </c>
      <c r="C73">
        <f>VLOOKUP(A73,'AVP Regulation (PTM &amp; Ca-cAMP'!B:K,10,FALSE)</f>
        <v>5.3826144467267632E-3</v>
      </c>
      <c r="D73">
        <f t="shared" si="4"/>
        <v>2.1530457786907054E-3</v>
      </c>
      <c r="E73">
        <f t="shared" si="5"/>
        <v>0.54181328220416436</v>
      </c>
      <c r="F73">
        <f t="shared" si="6"/>
        <v>3.9737781435180862E-3</v>
      </c>
      <c r="H73">
        <f t="shared" si="7"/>
        <v>3.1691965359764727E-2</v>
      </c>
    </row>
    <row r="74" spans="1:8" ht="15">
      <c r="A74" s="14" t="s">
        <v>505</v>
      </c>
      <c r="B74">
        <v>0.4</v>
      </c>
      <c r="C74">
        <f>VLOOKUP(A74,'AVP Regulation (PTM &amp; Ca-cAMP'!B:K,10,FALSE)</f>
        <v>5.3826144467267632E-3</v>
      </c>
      <c r="D74">
        <f t="shared" si="4"/>
        <v>2.1530457786907054E-3</v>
      </c>
      <c r="E74">
        <f t="shared" si="5"/>
        <v>0.54181328220416436</v>
      </c>
      <c r="F74">
        <f t="shared" si="6"/>
        <v>3.9737781435180862E-3</v>
      </c>
      <c r="H74">
        <f t="shared" si="7"/>
        <v>3.1691965359764727E-2</v>
      </c>
    </row>
    <row r="75" spans="1:8" ht="15">
      <c r="A75" s="14" t="s">
        <v>415</v>
      </c>
      <c r="B75">
        <v>0.4</v>
      </c>
      <c r="C75">
        <f>VLOOKUP(A75,'AVP Regulation (PTM &amp; Ca-cAMP'!B:K,10,FALSE)</f>
        <v>5.3826144467267632E-3</v>
      </c>
      <c r="D75">
        <f t="shared" si="4"/>
        <v>2.1530457786907054E-3</v>
      </c>
      <c r="E75">
        <f t="shared" si="5"/>
        <v>0.54181328220416436</v>
      </c>
      <c r="F75">
        <f t="shared" si="6"/>
        <v>3.9737781435180862E-3</v>
      </c>
      <c r="H75">
        <f t="shared" si="7"/>
        <v>3.1691965359764727E-2</v>
      </c>
    </row>
    <row r="76" spans="1:8" ht="15">
      <c r="A76" s="14" t="s">
        <v>417</v>
      </c>
      <c r="B76">
        <v>0.4</v>
      </c>
      <c r="C76">
        <f>VLOOKUP(A76,'AVP Regulation (PTM &amp; Ca-cAMP'!B:K,10,FALSE)</f>
        <v>5.3826144467267632E-3</v>
      </c>
      <c r="D76">
        <f t="shared" si="4"/>
        <v>2.1530457786907054E-3</v>
      </c>
      <c r="E76">
        <f t="shared" si="5"/>
        <v>0.54181328220416436</v>
      </c>
      <c r="F76">
        <f t="shared" si="6"/>
        <v>3.9737781435180862E-3</v>
      </c>
      <c r="H76">
        <f t="shared" si="7"/>
        <v>3.1691965359764727E-2</v>
      </c>
    </row>
    <row r="77" spans="1:8" ht="15">
      <c r="A77" s="14" t="s">
        <v>179</v>
      </c>
      <c r="B77">
        <v>0.4</v>
      </c>
      <c r="C77">
        <f>VLOOKUP(A77,'AVP Regulation (PTM &amp; Ca-cAMP'!B:K,10,FALSE)</f>
        <v>5.0993189495306184E-3</v>
      </c>
      <c r="D77">
        <f t="shared" si="4"/>
        <v>2.0397275798122476E-3</v>
      </c>
      <c r="E77">
        <f t="shared" si="5"/>
        <v>0.54181328220416436</v>
      </c>
      <c r="F77">
        <f t="shared" si="6"/>
        <v>3.7646319254381879E-3</v>
      </c>
      <c r="H77">
        <f t="shared" si="7"/>
        <v>3.031761792987938E-2</v>
      </c>
    </row>
    <row r="78" spans="1:8" ht="15">
      <c r="A78" s="14" t="s">
        <v>282</v>
      </c>
      <c r="B78">
        <v>0.4</v>
      </c>
      <c r="C78">
        <f>VLOOKUP(A78,'AVP Regulation (PTM &amp; Ca-cAMP'!B:K,10,FALSE)</f>
        <v>4.3829860494775082E-3</v>
      </c>
      <c r="D78">
        <f t="shared" si="4"/>
        <v>1.7531944197910034E-3</v>
      </c>
      <c r="E78">
        <f t="shared" si="5"/>
        <v>0.54181328220416436</v>
      </c>
      <c r="F78">
        <f t="shared" si="6"/>
        <v>3.2357907740075856E-3</v>
      </c>
      <c r="H78">
        <f t="shared" si="7"/>
        <v>2.6765380393970795E-2</v>
      </c>
    </row>
    <row r="79" spans="1:8" ht="15">
      <c r="A79" s="14" t="s">
        <v>257</v>
      </c>
      <c r="B79">
        <v>0.4</v>
      </c>
      <c r="C79">
        <f>VLOOKUP(A79,'AVP Regulation (PTM &amp; Ca-cAMP'!B:K,10,FALSE)</f>
        <v>4.3829860494775082E-3</v>
      </c>
      <c r="D79">
        <f t="shared" si="4"/>
        <v>1.7531944197910034E-3</v>
      </c>
      <c r="E79">
        <f t="shared" si="5"/>
        <v>0.54181328220416436</v>
      </c>
      <c r="F79">
        <f t="shared" si="6"/>
        <v>3.2357907740075856E-3</v>
      </c>
      <c r="H79">
        <f t="shared" si="7"/>
        <v>2.6765380393970795E-2</v>
      </c>
    </row>
    <row r="80" spans="1:8" ht="15">
      <c r="A80" s="14" t="s">
        <v>222</v>
      </c>
      <c r="B80">
        <v>0.4</v>
      </c>
      <c r="C80">
        <f>VLOOKUP(A80,'AVP Regulation (PTM &amp; Ca-cAMP'!B:K,10,FALSE)</f>
        <v>4.3829860494775082E-3</v>
      </c>
      <c r="D80">
        <f t="shared" si="4"/>
        <v>1.7531944197910034E-3</v>
      </c>
      <c r="E80">
        <f t="shared" si="5"/>
        <v>0.54181328220416436</v>
      </c>
      <c r="F80">
        <f t="shared" si="6"/>
        <v>3.2357907740075856E-3</v>
      </c>
      <c r="H80">
        <f t="shared" si="7"/>
        <v>2.6765380393970795E-2</v>
      </c>
    </row>
    <row r="81" spans="1:8" ht="15">
      <c r="A81" s="14" t="s">
        <v>277</v>
      </c>
      <c r="B81">
        <v>0.4</v>
      </c>
      <c r="C81">
        <f>VLOOKUP(A81,'AVP Regulation (PTM &amp; Ca-cAMP'!B:K,10,FALSE)</f>
        <v>4.3829860494775082E-3</v>
      </c>
      <c r="D81">
        <f t="shared" si="4"/>
        <v>1.7531944197910034E-3</v>
      </c>
      <c r="E81">
        <f t="shared" si="5"/>
        <v>0.54181328220416436</v>
      </c>
      <c r="F81">
        <f t="shared" si="6"/>
        <v>3.2357907740075856E-3</v>
      </c>
      <c r="H81">
        <f t="shared" si="7"/>
        <v>2.6765380393970795E-2</v>
      </c>
    </row>
    <row r="82" spans="1:8" ht="15">
      <c r="A82" s="14" t="s">
        <v>279</v>
      </c>
      <c r="B82">
        <v>0.4</v>
      </c>
      <c r="C82">
        <f>VLOOKUP(A82,'AVP Regulation (PTM &amp; Ca-cAMP'!B:K,10,FALSE)</f>
        <v>4.3829860494775082E-3</v>
      </c>
      <c r="D82">
        <f t="shared" si="4"/>
        <v>1.7531944197910034E-3</v>
      </c>
      <c r="E82">
        <f t="shared" si="5"/>
        <v>0.54181328220416436</v>
      </c>
      <c r="F82">
        <f t="shared" si="6"/>
        <v>3.2357907740075856E-3</v>
      </c>
      <c r="H82">
        <f t="shared" si="7"/>
        <v>2.6765380393970795E-2</v>
      </c>
    </row>
    <row r="83" spans="1:8" ht="15">
      <c r="A83" s="14" t="s">
        <v>308</v>
      </c>
      <c r="B83">
        <v>0.4</v>
      </c>
      <c r="C83">
        <f>VLOOKUP(A83,'AVP Regulation (PTM &amp; Ca-cAMP'!B:K,10,FALSE)</f>
        <v>4.3829860494775082E-3</v>
      </c>
      <c r="D83">
        <f t="shared" si="4"/>
        <v>1.7531944197910034E-3</v>
      </c>
      <c r="E83">
        <f t="shared" si="5"/>
        <v>0.54181328220416436</v>
      </c>
      <c r="F83">
        <f t="shared" si="6"/>
        <v>3.2357907740075856E-3</v>
      </c>
      <c r="H83">
        <f t="shared" si="7"/>
        <v>2.6765380393970795E-2</v>
      </c>
    </row>
    <row r="84" spans="1:8" ht="15">
      <c r="A84" s="14" t="s">
        <v>272</v>
      </c>
      <c r="B84">
        <v>0.4</v>
      </c>
      <c r="C84">
        <f>VLOOKUP(A84,'AVP Regulation (PTM &amp; Ca-cAMP'!B:K,10,FALSE)</f>
        <v>4.3829860494775082E-3</v>
      </c>
      <c r="D84">
        <f t="shared" si="4"/>
        <v>1.7531944197910034E-3</v>
      </c>
      <c r="E84">
        <f t="shared" si="5"/>
        <v>0.54181328220416436</v>
      </c>
      <c r="F84">
        <f t="shared" si="6"/>
        <v>3.2357907740075856E-3</v>
      </c>
      <c r="H84">
        <f t="shared" si="7"/>
        <v>2.6765380393970795E-2</v>
      </c>
    </row>
    <row r="85" spans="1:8" ht="15">
      <c r="A85" s="14" t="s">
        <v>236</v>
      </c>
      <c r="B85">
        <v>0.4</v>
      </c>
      <c r="C85">
        <f>VLOOKUP(A85,'AVP Regulation (PTM &amp; Ca-cAMP'!B:K,10,FALSE)</f>
        <v>4.3829860494775082E-3</v>
      </c>
      <c r="D85">
        <f t="shared" si="4"/>
        <v>1.7531944197910034E-3</v>
      </c>
      <c r="E85">
        <f t="shared" si="5"/>
        <v>0.54181328220416436</v>
      </c>
      <c r="F85">
        <f t="shared" si="6"/>
        <v>3.2357907740075856E-3</v>
      </c>
      <c r="H85">
        <f t="shared" si="7"/>
        <v>2.6765380393970795E-2</v>
      </c>
    </row>
    <row r="86" spans="1:8" ht="15">
      <c r="A86" s="14" t="s">
        <v>149</v>
      </c>
      <c r="B86">
        <v>0.4</v>
      </c>
      <c r="C86">
        <f>VLOOKUP(A86,'AVP Regulation (PTM &amp; Ca-cAMP'!B:K,10,FALSE)</f>
        <v>4.3829860494775082E-3</v>
      </c>
      <c r="D86">
        <f t="shared" si="4"/>
        <v>1.7531944197910034E-3</v>
      </c>
      <c r="E86">
        <f t="shared" si="5"/>
        <v>0.54181328220416436</v>
      </c>
      <c r="F86">
        <f t="shared" si="6"/>
        <v>3.2357907740075856E-3</v>
      </c>
      <c r="H86">
        <f t="shared" si="7"/>
        <v>2.6765380393970795E-2</v>
      </c>
    </row>
    <row r="87" spans="1:8" ht="15">
      <c r="A87" s="14" t="s">
        <v>289</v>
      </c>
      <c r="B87">
        <v>0.4</v>
      </c>
      <c r="C87">
        <f>VLOOKUP(A87,'AVP Regulation (PTM &amp; Ca-cAMP'!B:K,10,FALSE)</f>
        <v>4.3829860494775082E-3</v>
      </c>
      <c r="D87">
        <f t="shared" si="4"/>
        <v>1.7531944197910034E-3</v>
      </c>
      <c r="E87">
        <f t="shared" si="5"/>
        <v>0.54181328220416436</v>
      </c>
      <c r="F87">
        <f t="shared" si="6"/>
        <v>3.2357907740075856E-3</v>
      </c>
      <c r="H87">
        <f t="shared" si="7"/>
        <v>2.6765380393970795E-2</v>
      </c>
    </row>
    <row r="88" spans="1:8" ht="15">
      <c r="A88" s="14" t="s">
        <v>6</v>
      </c>
      <c r="B88">
        <v>0.9</v>
      </c>
      <c r="C88">
        <f>VLOOKUP(A88,'AVP Regulation (PTM &amp; Ca-cAMP'!B:K,10,FALSE)</f>
        <v>1.8992939547735868E-3</v>
      </c>
      <c r="D88">
        <f t="shared" si="4"/>
        <v>1.7093645592962281E-3</v>
      </c>
      <c r="E88">
        <f t="shared" si="5"/>
        <v>0.54181328220416436</v>
      </c>
      <c r="F88">
        <f t="shared" si="6"/>
        <v>3.1548960046573955E-3</v>
      </c>
      <c r="H88">
        <f t="shared" si="7"/>
        <v>2.6211481224459768E-2</v>
      </c>
    </row>
    <row r="89" spans="1:8" ht="15">
      <c r="A89" s="14" t="s">
        <v>423</v>
      </c>
      <c r="B89">
        <v>0.4</v>
      </c>
      <c r="C89">
        <f>VLOOKUP(A89,'AVP Regulation (PTM &amp; Ca-cAMP'!B:K,10,FALSE)</f>
        <v>3.8447246048048315E-3</v>
      </c>
      <c r="D89">
        <f t="shared" si="4"/>
        <v>1.5378898419219327E-3</v>
      </c>
      <c r="E89">
        <f t="shared" si="5"/>
        <v>0.54181328220416436</v>
      </c>
      <c r="F89">
        <f t="shared" si="6"/>
        <v>2.8384129596557769E-3</v>
      </c>
      <c r="H89">
        <f t="shared" si="7"/>
        <v>2.401495991132227E-2</v>
      </c>
    </row>
    <row r="90" spans="1:8" ht="15">
      <c r="A90" s="14" t="s">
        <v>443</v>
      </c>
      <c r="B90">
        <v>0.4</v>
      </c>
      <c r="C90">
        <f>VLOOKUP(A90,'AVP Regulation (PTM &amp; Ca-cAMP'!B:K,10,FALSE)</f>
        <v>3.8447246048048315E-3</v>
      </c>
      <c r="D90">
        <f t="shared" si="4"/>
        <v>1.5378898419219327E-3</v>
      </c>
      <c r="E90">
        <f t="shared" si="5"/>
        <v>0.54181328220416436</v>
      </c>
      <c r="F90">
        <f t="shared" si="6"/>
        <v>2.8384129596557769E-3</v>
      </c>
      <c r="H90">
        <f t="shared" si="7"/>
        <v>2.401495991132227E-2</v>
      </c>
    </row>
    <row r="91" spans="1:8" ht="15">
      <c r="A91" s="14" t="s">
        <v>452</v>
      </c>
      <c r="B91">
        <v>0.4</v>
      </c>
      <c r="C91">
        <f>VLOOKUP(A91,'AVP Regulation (PTM &amp; Ca-cAMP'!B:K,10,FALSE)</f>
        <v>3.8447246048048315E-3</v>
      </c>
      <c r="D91">
        <f t="shared" si="4"/>
        <v>1.5378898419219327E-3</v>
      </c>
      <c r="E91">
        <f t="shared" si="5"/>
        <v>0.54181328220416436</v>
      </c>
      <c r="F91">
        <f t="shared" si="6"/>
        <v>2.8384129596557769E-3</v>
      </c>
      <c r="H91">
        <f t="shared" si="7"/>
        <v>2.401495991132227E-2</v>
      </c>
    </row>
    <row r="92" spans="1:8" ht="15">
      <c r="A92" s="14" t="s">
        <v>160</v>
      </c>
      <c r="B92">
        <v>0.8</v>
      </c>
      <c r="C92">
        <f>VLOOKUP(A92,'AVP Regulation (PTM &amp; Ca-cAMP'!B:K,10,FALSE)</f>
        <v>1.7993311150486617E-3</v>
      </c>
      <c r="D92">
        <f t="shared" si="4"/>
        <v>1.4394648920389294E-3</v>
      </c>
      <c r="E92">
        <f t="shared" si="5"/>
        <v>0.54181328220416436</v>
      </c>
      <c r="F92">
        <f t="shared" si="6"/>
        <v>2.6567545302378075E-3</v>
      </c>
      <c r="H92">
        <f t="shared" si="7"/>
        <v>2.2731508838793751E-2</v>
      </c>
    </row>
    <row r="93" spans="1:8" ht="15">
      <c r="A93" s="14" t="s">
        <v>205</v>
      </c>
      <c r="B93">
        <v>0.8</v>
      </c>
      <c r="C93">
        <f>VLOOKUP(A93,'AVP Regulation (PTM &amp; Ca-cAMP'!B:K,10,FALSE)</f>
        <v>1.7993311150486617E-3</v>
      </c>
      <c r="D93">
        <f t="shared" si="4"/>
        <v>1.4394648920389294E-3</v>
      </c>
      <c r="E93">
        <f t="shared" si="5"/>
        <v>0.54181328220416436</v>
      </c>
      <c r="F93">
        <f t="shared" si="6"/>
        <v>2.6567545302378075E-3</v>
      </c>
      <c r="H93">
        <f t="shared" si="7"/>
        <v>2.2731508838793751E-2</v>
      </c>
    </row>
    <row r="94" spans="1:8" ht="15">
      <c r="A94" s="14" t="s">
        <v>32</v>
      </c>
      <c r="B94">
        <v>0.7</v>
      </c>
      <c r="C94">
        <f>VLOOKUP(A94,'AVP Regulation (PTM &amp; Ca-cAMP'!B:K,10,FALSE)</f>
        <v>1.8992939547735868E-3</v>
      </c>
      <c r="D94">
        <f t="shared" si="4"/>
        <v>1.3295057683415108E-3</v>
      </c>
      <c r="E94">
        <f t="shared" si="5"/>
        <v>0.54181328220416436</v>
      </c>
      <c r="F94">
        <f t="shared" si="6"/>
        <v>2.4538080036224188E-3</v>
      </c>
      <c r="H94">
        <f t="shared" si="7"/>
        <v>2.1276384981692473E-2</v>
      </c>
    </row>
    <row r="95" spans="1:8" ht="15">
      <c r="A95" s="14" t="s">
        <v>360</v>
      </c>
      <c r="B95">
        <v>0.9</v>
      </c>
      <c r="C95">
        <f>VLOOKUP(A95,'AVP Regulation (PTM &amp; Ca-cAMP'!B:K,10,FALSE)</f>
        <v>1.4609953498258359E-3</v>
      </c>
      <c r="D95">
        <f t="shared" si="4"/>
        <v>1.3148958148432523E-3</v>
      </c>
      <c r="E95">
        <f t="shared" si="5"/>
        <v>0.54181328220416436</v>
      </c>
      <c r="F95">
        <f t="shared" si="6"/>
        <v>2.4268430805056886E-3</v>
      </c>
      <c r="H95">
        <f t="shared" si="7"/>
        <v>2.108126617875334E-2</v>
      </c>
    </row>
    <row r="96" spans="1:8" ht="15">
      <c r="A96" s="14" t="s">
        <v>86</v>
      </c>
      <c r="B96">
        <v>0.9</v>
      </c>
      <c r="C96">
        <f>VLOOKUP(A96,'AVP Regulation (PTM &amp; Ca-cAMP'!B:K,10,FALSE)</f>
        <v>1.4609953498258359E-3</v>
      </c>
      <c r="D96">
        <f t="shared" si="4"/>
        <v>1.3148958148432523E-3</v>
      </c>
      <c r="E96">
        <f t="shared" si="5"/>
        <v>0.54181328220416436</v>
      </c>
      <c r="F96">
        <f t="shared" si="6"/>
        <v>2.4268430805056886E-3</v>
      </c>
      <c r="H96">
        <f t="shared" si="7"/>
        <v>2.108126617875334E-2</v>
      </c>
    </row>
    <row r="97" spans="1:8" ht="15">
      <c r="A97" s="14" t="s">
        <v>246</v>
      </c>
      <c r="B97">
        <v>0.4</v>
      </c>
      <c r="C97">
        <f>VLOOKUP(A97,'AVP Regulation (PTM &amp; Ca-cAMP'!B:K,10,FALSE)</f>
        <v>3.2295686680360574E-3</v>
      </c>
      <c r="D97">
        <f t="shared" si="4"/>
        <v>1.2918274672144231E-3</v>
      </c>
      <c r="E97">
        <f t="shared" si="5"/>
        <v>0.54181328220416436</v>
      </c>
      <c r="F97">
        <f t="shared" si="6"/>
        <v>2.3842668861108517E-3</v>
      </c>
      <c r="H97">
        <f t="shared" si="7"/>
        <v>2.0772301878232327E-2</v>
      </c>
    </row>
    <row r="98" spans="1:8" ht="15">
      <c r="A98" s="14" t="s">
        <v>269</v>
      </c>
      <c r="B98">
        <v>0.4</v>
      </c>
      <c r="C98">
        <f>VLOOKUP(A98,'AVP Regulation (PTM &amp; Ca-cAMP'!B:K,10,FALSE)</f>
        <v>3.2295686680360574E-3</v>
      </c>
      <c r="D98">
        <f t="shared" si="4"/>
        <v>1.2918274672144231E-3</v>
      </c>
      <c r="E98">
        <f t="shared" si="5"/>
        <v>0.54181328220416436</v>
      </c>
      <c r="F98">
        <f t="shared" si="6"/>
        <v>2.3842668861108517E-3</v>
      </c>
      <c r="H98">
        <f t="shared" si="7"/>
        <v>2.0772301878232327E-2</v>
      </c>
    </row>
    <row r="99" spans="1:8" ht="15">
      <c r="A99" s="14" t="s">
        <v>212</v>
      </c>
      <c r="B99">
        <v>0.4</v>
      </c>
      <c r="C99">
        <f>VLOOKUP(A99,'AVP Regulation (PTM &amp; Ca-cAMP'!B:K,10,FALSE)</f>
        <v>3.2295686680360574E-3</v>
      </c>
      <c r="D99">
        <f t="shared" si="4"/>
        <v>1.2918274672144231E-3</v>
      </c>
      <c r="E99">
        <f t="shared" si="5"/>
        <v>0.54181328220416436</v>
      </c>
      <c r="F99">
        <f t="shared" si="6"/>
        <v>2.3842668861108517E-3</v>
      </c>
      <c r="H99">
        <f t="shared" si="7"/>
        <v>2.0772301878232327E-2</v>
      </c>
    </row>
    <row r="100" spans="1:8" ht="15">
      <c r="A100" s="14" t="s">
        <v>298</v>
      </c>
      <c r="B100">
        <v>0.4</v>
      </c>
      <c r="C100">
        <f>VLOOKUP(A100,'AVP Regulation (PTM &amp; Ca-cAMP'!B:K,10,FALSE)</f>
        <v>3.2295686680360574E-3</v>
      </c>
      <c r="D100">
        <f t="shared" si="4"/>
        <v>1.2918274672144231E-3</v>
      </c>
      <c r="E100">
        <f t="shared" si="5"/>
        <v>0.54181328220416436</v>
      </c>
      <c r="F100">
        <f t="shared" si="6"/>
        <v>2.3842668861108517E-3</v>
      </c>
      <c r="H100">
        <f t="shared" si="7"/>
        <v>2.0772301878232327E-2</v>
      </c>
    </row>
    <row r="101" spans="1:8" ht="15">
      <c r="A101" s="14" t="s">
        <v>256</v>
      </c>
      <c r="B101">
        <v>0.4</v>
      </c>
      <c r="C101">
        <f>VLOOKUP(A101,'AVP Regulation (PTM &amp; Ca-cAMP'!B:K,10,FALSE)</f>
        <v>3.2295686680360574E-3</v>
      </c>
      <c r="D101">
        <f t="shared" si="4"/>
        <v>1.2918274672144231E-3</v>
      </c>
      <c r="E101">
        <f t="shared" si="5"/>
        <v>0.54181328220416436</v>
      </c>
      <c r="F101">
        <f t="shared" si="6"/>
        <v>2.3842668861108517E-3</v>
      </c>
      <c r="H101">
        <f t="shared" si="7"/>
        <v>2.0772301878232327E-2</v>
      </c>
    </row>
    <row r="102" spans="1:8" ht="15">
      <c r="A102" s="14" t="s">
        <v>307</v>
      </c>
      <c r="B102">
        <v>0.4</v>
      </c>
      <c r="C102">
        <f>VLOOKUP(A102,'AVP Regulation (PTM &amp; Ca-cAMP'!B:K,10,FALSE)</f>
        <v>3.2295686680360574E-3</v>
      </c>
      <c r="D102">
        <f t="shared" si="4"/>
        <v>1.2918274672144231E-3</v>
      </c>
      <c r="E102">
        <f t="shared" si="5"/>
        <v>0.54181328220416436</v>
      </c>
      <c r="F102">
        <f t="shared" si="6"/>
        <v>2.3842668861108517E-3</v>
      </c>
      <c r="H102">
        <f t="shared" si="7"/>
        <v>2.0772301878232327E-2</v>
      </c>
    </row>
    <row r="103" spans="1:8" ht="15">
      <c r="A103" s="14" t="s">
        <v>233</v>
      </c>
      <c r="B103">
        <v>0.4</v>
      </c>
      <c r="C103">
        <f>VLOOKUP(A103,'AVP Regulation (PTM &amp; Ca-cAMP'!B:K,10,FALSE)</f>
        <v>3.2295686680360574E-3</v>
      </c>
      <c r="D103">
        <f t="shared" si="4"/>
        <v>1.2918274672144231E-3</v>
      </c>
      <c r="E103">
        <f t="shared" si="5"/>
        <v>0.54181328220416436</v>
      </c>
      <c r="F103">
        <f t="shared" si="6"/>
        <v>2.3842668861108517E-3</v>
      </c>
      <c r="H103">
        <f t="shared" si="7"/>
        <v>2.0772301878232327E-2</v>
      </c>
    </row>
    <row r="104" spans="1:8" ht="15">
      <c r="A104" s="14" t="s">
        <v>144</v>
      </c>
      <c r="B104">
        <v>0.4</v>
      </c>
      <c r="C104">
        <f>VLOOKUP(A104,'AVP Regulation (PTM &amp; Ca-cAMP'!B:K,10,FALSE)</f>
        <v>3.2295686680360574E-3</v>
      </c>
      <c r="D104">
        <f t="shared" si="4"/>
        <v>1.2918274672144231E-3</v>
      </c>
      <c r="E104">
        <f t="shared" si="5"/>
        <v>0.54181328220416436</v>
      </c>
      <c r="F104">
        <f t="shared" si="6"/>
        <v>2.3842668861108517E-3</v>
      </c>
      <c r="H104">
        <f t="shared" si="7"/>
        <v>2.0772301878232327E-2</v>
      </c>
    </row>
    <row r="105" spans="1:8" ht="15">
      <c r="A105" s="14" t="s">
        <v>270</v>
      </c>
      <c r="B105">
        <v>0.4</v>
      </c>
      <c r="C105">
        <f>VLOOKUP(A105,'AVP Regulation (PTM &amp; Ca-cAMP'!B:K,10,FALSE)</f>
        <v>3.2295686680360574E-3</v>
      </c>
      <c r="D105">
        <f t="shared" si="4"/>
        <v>1.2918274672144231E-3</v>
      </c>
      <c r="E105">
        <f t="shared" si="5"/>
        <v>0.54181328220416436</v>
      </c>
      <c r="F105">
        <f t="shared" si="6"/>
        <v>2.3842668861108517E-3</v>
      </c>
      <c r="H105">
        <f t="shared" si="7"/>
        <v>2.0772301878232327E-2</v>
      </c>
    </row>
    <row r="106" spans="1:8" ht="15">
      <c r="A106" s="14" t="s">
        <v>150</v>
      </c>
      <c r="B106">
        <v>0.9</v>
      </c>
      <c r="C106">
        <f>VLOOKUP(A106,'AVP Regulation (PTM &amp; Ca-cAMP'!B:K,10,FALSE)</f>
        <v>1.3841008577297398E-3</v>
      </c>
      <c r="D106">
        <f t="shared" si="4"/>
        <v>1.2456907719567659E-3</v>
      </c>
      <c r="E106">
        <f t="shared" si="5"/>
        <v>0.54181328220416436</v>
      </c>
      <c r="F106">
        <f t="shared" si="6"/>
        <v>2.29911449732118E-3</v>
      </c>
      <c r="H106">
        <f t="shared" si="7"/>
        <v>2.0151062559725399E-2</v>
      </c>
    </row>
    <row r="107" spans="1:8" ht="15">
      <c r="A107" s="14" t="s">
        <v>36</v>
      </c>
      <c r="B107">
        <v>0.8</v>
      </c>
      <c r="C107">
        <f>VLOOKUP(A107,'AVP Regulation (PTM &amp; Ca-cAMP'!B:K,10,FALSE)</f>
        <v>1.4609953498258359E-3</v>
      </c>
      <c r="D107">
        <f t="shared" si="4"/>
        <v>1.1687962798606689E-3</v>
      </c>
      <c r="E107">
        <f t="shared" si="5"/>
        <v>0.54181328220416436</v>
      </c>
      <c r="F107">
        <f t="shared" si="6"/>
        <v>2.1571938493383904E-3</v>
      </c>
      <c r="H107">
        <f t="shared" si="7"/>
        <v>1.9105464437963144E-2</v>
      </c>
    </row>
    <row r="108" spans="1:8" ht="15">
      <c r="A108" s="14" t="s">
        <v>430</v>
      </c>
      <c r="B108">
        <v>0.4</v>
      </c>
      <c r="C108">
        <f>VLOOKUP(A108,'AVP Regulation (PTM &amp; Ca-cAMP'!B:K,10,FALSE)</f>
        <v>2.8329549719614544E-3</v>
      </c>
      <c r="D108">
        <f t="shared" si="4"/>
        <v>1.1331819887845818E-3</v>
      </c>
      <c r="E108">
        <f t="shared" si="5"/>
        <v>0.54181328220416436</v>
      </c>
      <c r="F108">
        <f t="shared" si="6"/>
        <v>2.0914621807989931E-3</v>
      </c>
      <c r="H108">
        <f t="shared" si="7"/>
        <v>1.8616674531649422E-2</v>
      </c>
    </row>
    <row r="109" spans="1:8" ht="15">
      <c r="A109" s="14" t="s">
        <v>487</v>
      </c>
      <c r="B109">
        <v>0.4</v>
      </c>
      <c r="C109">
        <f>VLOOKUP(A109,'AVP Regulation (PTM &amp; Ca-cAMP'!B:K,10,FALSE)</f>
        <v>2.8329549719614544E-3</v>
      </c>
      <c r="D109">
        <f t="shared" si="4"/>
        <v>1.1331819887845818E-3</v>
      </c>
      <c r="E109">
        <f t="shared" si="5"/>
        <v>0.54181328220416436</v>
      </c>
      <c r="F109">
        <f t="shared" si="6"/>
        <v>2.0914621807989931E-3</v>
      </c>
      <c r="H109">
        <f t="shared" si="7"/>
        <v>1.8616674531649422E-2</v>
      </c>
    </row>
    <row r="110" spans="1:8" ht="15">
      <c r="A110" s="14" t="s">
        <v>481</v>
      </c>
      <c r="B110">
        <v>0.4</v>
      </c>
      <c r="C110">
        <f>VLOOKUP(A110,'AVP Regulation (PTM &amp; Ca-cAMP'!B:K,10,FALSE)</f>
        <v>2.8329549719614544E-3</v>
      </c>
      <c r="D110">
        <f t="shared" si="4"/>
        <v>1.1331819887845818E-3</v>
      </c>
      <c r="E110">
        <f t="shared" si="5"/>
        <v>0.54181328220416436</v>
      </c>
      <c r="F110">
        <f t="shared" si="6"/>
        <v>2.0914621807989931E-3</v>
      </c>
      <c r="H110">
        <f t="shared" si="7"/>
        <v>1.8616674531649422E-2</v>
      </c>
    </row>
    <row r="111" spans="1:8" ht="15">
      <c r="A111" s="14" t="s">
        <v>163</v>
      </c>
      <c r="B111">
        <v>0.8</v>
      </c>
      <c r="C111">
        <f>VLOOKUP(A111,'AVP Regulation (PTM &amp; Ca-cAMP'!B:K,10,FALSE)</f>
        <v>1.3841008577297398E-3</v>
      </c>
      <c r="D111">
        <f t="shared" si="4"/>
        <v>1.1072806861837918E-3</v>
      </c>
      <c r="E111">
        <f t="shared" si="5"/>
        <v>0.54181328220416436</v>
      </c>
      <c r="F111">
        <f t="shared" si="6"/>
        <v>2.0436573309521597E-3</v>
      </c>
      <c r="H111">
        <f t="shared" si="7"/>
        <v>1.8259324083554438E-2</v>
      </c>
    </row>
    <row r="112" spans="1:8" ht="15">
      <c r="A112" s="14" t="s">
        <v>195</v>
      </c>
      <c r="B112">
        <v>0.8</v>
      </c>
      <c r="C112">
        <f>VLOOKUP(A112,'AVP Regulation (PTM &amp; Ca-cAMP'!B:K,10,FALSE)</f>
        <v>1.3841008577297398E-3</v>
      </c>
      <c r="D112">
        <f t="shared" si="4"/>
        <v>1.1072806861837918E-3</v>
      </c>
      <c r="E112">
        <f t="shared" si="5"/>
        <v>0.54181328220416436</v>
      </c>
      <c r="F112">
        <f t="shared" si="6"/>
        <v>2.0436573309521597E-3</v>
      </c>
      <c r="H112">
        <f t="shared" si="7"/>
        <v>1.8259324083554438E-2</v>
      </c>
    </row>
    <row r="113" spans="1:8" ht="15">
      <c r="A113" s="14" t="s">
        <v>511</v>
      </c>
      <c r="B113">
        <v>0.2</v>
      </c>
      <c r="C113">
        <f>VLOOKUP(A113,'AVP Regulation (PTM &amp; Ca-cAMP'!B:K,10,FALSE)</f>
        <v>5.3826144467267632E-3</v>
      </c>
      <c r="D113">
        <f t="shared" si="4"/>
        <v>1.0765228893453527E-3</v>
      </c>
      <c r="E113">
        <f t="shared" si="5"/>
        <v>0.54181328220416436</v>
      </c>
      <c r="F113">
        <f t="shared" si="6"/>
        <v>1.9868890717590431E-3</v>
      </c>
      <c r="H113">
        <f t="shared" si="7"/>
        <v>1.7832871751641406E-2</v>
      </c>
    </row>
    <row r="114" spans="1:8" ht="15">
      <c r="A114" s="14" t="s">
        <v>441</v>
      </c>
      <c r="B114">
        <v>0.2</v>
      </c>
      <c r="C114">
        <f>VLOOKUP(A114,'AVP Regulation (PTM &amp; Ca-cAMP'!B:K,10,FALSE)</f>
        <v>5.3826144467267632E-3</v>
      </c>
      <c r="D114">
        <f t="shared" si="4"/>
        <v>1.0765228893453527E-3</v>
      </c>
      <c r="E114">
        <f t="shared" si="5"/>
        <v>0.54181328220416436</v>
      </c>
      <c r="F114">
        <f t="shared" si="6"/>
        <v>1.9868890717590431E-3</v>
      </c>
      <c r="H114">
        <f t="shared" si="7"/>
        <v>1.7832871751641406E-2</v>
      </c>
    </row>
    <row r="115" spans="1:8" ht="15">
      <c r="A115" s="14" t="s">
        <v>347</v>
      </c>
      <c r="B115">
        <v>0.7</v>
      </c>
      <c r="C115">
        <f>VLOOKUP(A115,'AVP Regulation (PTM &amp; Ca-cAMP'!B:K,10,FALSE)</f>
        <v>1.4609953498258359E-3</v>
      </c>
      <c r="D115">
        <f t="shared" si="4"/>
        <v>1.022696744878085E-3</v>
      </c>
      <c r="E115">
        <f t="shared" si="5"/>
        <v>0.54181328220416436</v>
      </c>
      <c r="F115">
        <f t="shared" si="6"/>
        <v>1.887544618171091E-3</v>
      </c>
      <c r="H115">
        <f t="shared" si="7"/>
        <v>1.7080907563305069E-2</v>
      </c>
    </row>
    <row r="116" spans="1:8" ht="15">
      <c r="A116" s="14" t="s">
        <v>87</v>
      </c>
      <c r="B116">
        <v>0.7</v>
      </c>
      <c r="C116">
        <f>VLOOKUP(A116,'AVP Regulation (PTM &amp; Ca-cAMP'!B:K,10,FALSE)</f>
        <v>1.4609953498258359E-3</v>
      </c>
      <c r="D116">
        <f t="shared" si="4"/>
        <v>1.022696744878085E-3</v>
      </c>
      <c r="E116">
        <f t="shared" si="5"/>
        <v>0.54181328220416436</v>
      </c>
      <c r="F116">
        <f t="shared" si="6"/>
        <v>1.887544618171091E-3</v>
      </c>
      <c r="H116">
        <f t="shared" si="7"/>
        <v>1.7080907563305069E-2</v>
      </c>
    </row>
    <row r="117" spans="1:8" ht="15">
      <c r="A117" s="14" t="s">
        <v>210</v>
      </c>
      <c r="B117">
        <v>0.7</v>
      </c>
      <c r="C117">
        <f>VLOOKUP(A117,'AVP Regulation (PTM &amp; Ca-cAMP'!B:K,10,FALSE)</f>
        <v>1.3841008577297398E-3</v>
      </c>
      <c r="D117">
        <f t="shared" si="4"/>
        <v>9.6887060041081778E-4</v>
      </c>
      <c r="E117">
        <f t="shared" si="5"/>
        <v>0.54181328220416436</v>
      </c>
      <c r="F117">
        <f t="shared" si="6"/>
        <v>1.7882001645831396E-3</v>
      </c>
      <c r="H117">
        <f t="shared" si="7"/>
        <v>1.6321396533192856E-2</v>
      </c>
    </row>
    <row r="118" spans="1:8" ht="15">
      <c r="A118" s="14" t="s">
        <v>199</v>
      </c>
      <c r="B118">
        <v>0.7</v>
      </c>
      <c r="C118">
        <f>VLOOKUP(A118,'AVP Regulation (PTM &amp; Ca-cAMP'!B:K,10,FALSE)</f>
        <v>1.3841008577297398E-3</v>
      </c>
      <c r="D118">
        <f t="shared" si="4"/>
        <v>9.6887060041081778E-4</v>
      </c>
      <c r="E118">
        <f t="shared" si="5"/>
        <v>0.54181328220416436</v>
      </c>
      <c r="F118">
        <f t="shared" si="6"/>
        <v>1.7882001645831396E-3</v>
      </c>
      <c r="H118">
        <f t="shared" si="7"/>
        <v>1.6321396533192856E-2</v>
      </c>
    </row>
    <row r="119" spans="1:8" ht="15">
      <c r="A119" s="14" t="s">
        <v>156</v>
      </c>
      <c r="B119">
        <v>0.7</v>
      </c>
      <c r="C119">
        <f>VLOOKUP(A119,'AVP Regulation (PTM &amp; Ca-cAMP'!B:K,10,FALSE)</f>
        <v>1.3841008577297398E-3</v>
      </c>
      <c r="D119">
        <f t="shared" si="4"/>
        <v>9.6887060041081778E-4</v>
      </c>
      <c r="E119">
        <f t="shared" si="5"/>
        <v>0.54181328220416436</v>
      </c>
      <c r="F119">
        <f t="shared" si="6"/>
        <v>1.7882001645831396E-3</v>
      </c>
      <c r="H119">
        <f t="shared" si="7"/>
        <v>1.6321396533192856E-2</v>
      </c>
    </row>
    <row r="120" spans="1:8" ht="15">
      <c r="A120" s="14" t="s">
        <v>157</v>
      </c>
      <c r="B120">
        <v>0.7</v>
      </c>
      <c r="C120">
        <f>VLOOKUP(A120,'AVP Regulation (PTM &amp; Ca-cAMP'!B:K,10,FALSE)</f>
        <v>1.3841008577297398E-3</v>
      </c>
      <c r="D120">
        <f t="shared" si="4"/>
        <v>9.6887060041081778E-4</v>
      </c>
      <c r="E120">
        <f t="shared" si="5"/>
        <v>0.54181328220416436</v>
      </c>
      <c r="F120">
        <f t="shared" si="6"/>
        <v>1.7882001645831396E-3</v>
      </c>
      <c r="H120">
        <f t="shared" si="7"/>
        <v>1.6321396533192856E-2</v>
      </c>
    </row>
    <row r="121" spans="1:8" ht="15">
      <c r="A121" s="14" t="s">
        <v>158</v>
      </c>
      <c r="B121">
        <v>0.7</v>
      </c>
      <c r="C121">
        <f>VLOOKUP(A121,'AVP Regulation (PTM &amp; Ca-cAMP'!B:K,10,FALSE)</f>
        <v>1.3841008577297398E-3</v>
      </c>
      <c r="D121">
        <f t="shared" si="4"/>
        <v>9.6887060041081778E-4</v>
      </c>
      <c r="E121">
        <f t="shared" si="5"/>
        <v>0.54181328220416436</v>
      </c>
      <c r="F121">
        <f t="shared" si="6"/>
        <v>1.7882001645831396E-3</v>
      </c>
      <c r="H121">
        <f t="shared" si="7"/>
        <v>1.6321396533192856E-2</v>
      </c>
    </row>
    <row r="122" spans="1:8" ht="15">
      <c r="A122" s="14" t="s">
        <v>159</v>
      </c>
      <c r="B122">
        <v>0.7</v>
      </c>
      <c r="C122">
        <f>VLOOKUP(A122,'AVP Regulation (PTM &amp; Ca-cAMP'!B:K,10,FALSE)</f>
        <v>1.3841008577297398E-3</v>
      </c>
      <c r="D122">
        <f t="shared" si="4"/>
        <v>9.6887060041081778E-4</v>
      </c>
      <c r="E122">
        <f t="shared" si="5"/>
        <v>0.54181328220416436</v>
      </c>
      <c r="F122">
        <f t="shared" si="6"/>
        <v>1.7882001645831396E-3</v>
      </c>
      <c r="H122">
        <f t="shared" si="7"/>
        <v>1.6321396533192856E-2</v>
      </c>
    </row>
    <row r="123" spans="1:8" ht="15">
      <c r="A123" s="14" t="s">
        <v>192</v>
      </c>
      <c r="B123">
        <v>0.7</v>
      </c>
      <c r="C123">
        <f>VLOOKUP(A123,'AVP Regulation (PTM &amp; Ca-cAMP'!B:K,10,FALSE)</f>
        <v>1.3841008577297398E-3</v>
      </c>
      <c r="D123">
        <f t="shared" si="4"/>
        <v>9.6887060041081778E-4</v>
      </c>
      <c r="E123">
        <f t="shared" si="5"/>
        <v>0.54181328220416436</v>
      </c>
      <c r="F123">
        <f t="shared" si="6"/>
        <v>1.7882001645831396E-3</v>
      </c>
      <c r="H123">
        <f t="shared" si="7"/>
        <v>1.6321396533192856E-2</v>
      </c>
    </row>
    <row r="124" spans="1:8" ht="15">
      <c r="A124" s="14" t="s">
        <v>194</v>
      </c>
      <c r="B124">
        <v>0.7</v>
      </c>
      <c r="C124">
        <f>VLOOKUP(A124,'AVP Regulation (PTM &amp; Ca-cAMP'!B:K,10,FALSE)</f>
        <v>1.3841008577297398E-3</v>
      </c>
      <c r="D124">
        <f t="shared" si="4"/>
        <v>9.6887060041081778E-4</v>
      </c>
      <c r="E124">
        <f t="shared" si="5"/>
        <v>0.54181328220416436</v>
      </c>
      <c r="F124">
        <f t="shared" si="6"/>
        <v>1.7882001645831396E-3</v>
      </c>
      <c r="H124">
        <f t="shared" si="7"/>
        <v>1.6321396533192856E-2</v>
      </c>
    </row>
    <row r="125" spans="1:8" ht="15">
      <c r="A125" s="14" t="s">
        <v>143</v>
      </c>
      <c r="B125">
        <v>0.4</v>
      </c>
      <c r="C125">
        <f>VLOOKUP(A125,'AVP Regulation (PTM &amp; Ca-cAMP'!B:K,10,FALSE)</f>
        <v>2.3068347628828986E-3</v>
      </c>
      <c r="D125">
        <f t="shared" si="4"/>
        <v>9.2273390515315947E-4</v>
      </c>
      <c r="E125">
        <f t="shared" si="5"/>
        <v>0.54181328220416436</v>
      </c>
      <c r="F125">
        <f t="shared" si="6"/>
        <v>1.7030477757934658E-3</v>
      </c>
      <c r="H125">
        <f t="shared" si="7"/>
        <v>1.5664063562774423E-2</v>
      </c>
    </row>
    <row r="126" spans="1:8" ht="15">
      <c r="A126" s="14" t="s">
        <v>295</v>
      </c>
      <c r="B126">
        <v>0.4</v>
      </c>
      <c r="C126">
        <f>VLOOKUP(A126,'AVP Regulation (PTM &amp; Ca-cAMP'!B:K,10,FALSE)</f>
        <v>2.3068347628828986E-3</v>
      </c>
      <c r="D126">
        <f t="shared" si="4"/>
        <v>9.2273390515315947E-4</v>
      </c>
      <c r="E126">
        <f t="shared" si="5"/>
        <v>0.54181328220416436</v>
      </c>
      <c r="F126">
        <f t="shared" si="6"/>
        <v>1.7030477757934658E-3</v>
      </c>
      <c r="H126">
        <f t="shared" si="7"/>
        <v>1.5664063562774423E-2</v>
      </c>
    </row>
    <row r="127" spans="1:8" ht="15">
      <c r="A127" s="14" t="s">
        <v>297</v>
      </c>
      <c r="B127">
        <v>0.4</v>
      </c>
      <c r="C127">
        <f>VLOOKUP(A127,'AVP Regulation (PTM &amp; Ca-cAMP'!B:K,10,FALSE)</f>
        <v>2.3068347628828986E-3</v>
      </c>
      <c r="D127">
        <f t="shared" si="4"/>
        <v>9.2273390515315947E-4</v>
      </c>
      <c r="E127">
        <f t="shared" si="5"/>
        <v>0.54181328220416436</v>
      </c>
      <c r="F127">
        <f t="shared" si="6"/>
        <v>1.7030477757934658E-3</v>
      </c>
      <c r="H127">
        <f t="shared" si="7"/>
        <v>1.5664063562774423E-2</v>
      </c>
    </row>
    <row r="128" spans="1:8" ht="15">
      <c r="A128" s="14" t="s">
        <v>314</v>
      </c>
      <c r="B128">
        <v>0.4</v>
      </c>
      <c r="C128">
        <f>VLOOKUP(A128,'AVP Regulation (PTM &amp; Ca-cAMP'!B:K,10,FALSE)</f>
        <v>2.3068347628828986E-3</v>
      </c>
      <c r="D128">
        <f t="shared" si="4"/>
        <v>9.2273390515315947E-4</v>
      </c>
      <c r="E128">
        <f t="shared" si="5"/>
        <v>0.54181328220416436</v>
      </c>
      <c r="F128">
        <f t="shared" si="6"/>
        <v>1.7030477757934658E-3</v>
      </c>
      <c r="H128">
        <f t="shared" si="7"/>
        <v>1.5664063562774423E-2</v>
      </c>
    </row>
    <row r="129" spans="1:8" ht="15">
      <c r="A129" s="14" t="s">
        <v>318</v>
      </c>
      <c r="B129">
        <v>0.4</v>
      </c>
      <c r="C129">
        <f>VLOOKUP(A129,'AVP Regulation (PTM &amp; Ca-cAMP'!B:K,10,FALSE)</f>
        <v>2.3068347628828986E-3</v>
      </c>
      <c r="D129">
        <f t="shared" si="4"/>
        <v>9.2273390515315947E-4</v>
      </c>
      <c r="E129">
        <f t="shared" si="5"/>
        <v>0.54181328220416436</v>
      </c>
      <c r="F129">
        <f t="shared" si="6"/>
        <v>1.7030477757934658E-3</v>
      </c>
      <c r="H129">
        <f t="shared" si="7"/>
        <v>1.5664063562774423E-2</v>
      </c>
    </row>
    <row r="130" spans="1:8" ht="15">
      <c r="A130" s="14" t="s">
        <v>287</v>
      </c>
      <c r="B130">
        <v>0.4</v>
      </c>
      <c r="C130">
        <f>VLOOKUP(A130,'AVP Regulation (PTM &amp; Ca-cAMP'!B:K,10,FALSE)</f>
        <v>2.3068347628828986E-3</v>
      </c>
      <c r="D130">
        <f t="shared" ref="D130:D193" si="8">C130*B130</f>
        <v>9.2273390515315947E-4</v>
      </c>
      <c r="E130">
        <f t="shared" ref="E130:E193" si="9">SUM($D$2:$D$522)</f>
        <v>0.54181328220416436</v>
      </c>
      <c r="F130">
        <f t="shared" ref="F130:F193" si="10">D130/E130</f>
        <v>1.7030477757934658E-3</v>
      </c>
      <c r="H130">
        <f t="shared" si="7"/>
        <v>1.5664063562774423E-2</v>
      </c>
    </row>
    <row r="131" spans="1:8" ht="15">
      <c r="A131" s="14" t="s">
        <v>300</v>
      </c>
      <c r="B131">
        <v>0.4</v>
      </c>
      <c r="C131">
        <f>VLOOKUP(A131,'AVP Regulation (PTM &amp; Ca-cAMP'!B:K,10,FALSE)</f>
        <v>2.3068347628828986E-3</v>
      </c>
      <c r="D131">
        <f t="shared" si="8"/>
        <v>9.2273390515315947E-4</v>
      </c>
      <c r="E131">
        <f t="shared" si="9"/>
        <v>0.54181328220416436</v>
      </c>
      <c r="F131">
        <f t="shared" si="10"/>
        <v>1.7030477757934658E-3</v>
      </c>
      <c r="H131">
        <f t="shared" ref="H131:H194" si="11">-F131*LOG(F131,2)</f>
        <v>1.5664063562774423E-2</v>
      </c>
    </row>
    <row r="132" spans="1:8" ht="15">
      <c r="A132" s="14" t="s">
        <v>215</v>
      </c>
      <c r="B132">
        <v>0.4</v>
      </c>
      <c r="C132">
        <f>VLOOKUP(A132,'AVP Regulation (PTM &amp; Ca-cAMP'!B:K,10,FALSE)</f>
        <v>2.3068347628828986E-3</v>
      </c>
      <c r="D132">
        <f t="shared" si="8"/>
        <v>9.2273390515315947E-4</v>
      </c>
      <c r="E132">
        <f t="shared" si="9"/>
        <v>0.54181328220416436</v>
      </c>
      <c r="F132">
        <f t="shared" si="10"/>
        <v>1.7030477757934658E-3</v>
      </c>
      <c r="H132">
        <f t="shared" si="11"/>
        <v>1.5664063562774423E-2</v>
      </c>
    </row>
    <row r="133" spans="1:8" ht="15">
      <c r="A133" s="14" t="s">
        <v>247</v>
      </c>
      <c r="B133">
        <v>0.2</v>
      </c>
      <c r="C133">
        <f>VLOOKUP(A133,'AVP Regulation (PTM &amp; Ca-cAMP'!B:K,10,FALSE)</f>
        <v>4.3829860494775082E-3</v>
      </c>
      <c r="D133">
        <f t="shared" si="8"/>
        <v>8.7659720989550171E-4</v>
      </c>
      <c r="E133">
        <f t="shared" si="9"/>
        <v>0.54181328220416436</v>
      </c>
      <c r="F133">
        <f t="shared" si="10"/>
        <v>1.6178953870037928E-3</v>
      </c>
      <c r="H133">
        <f t="shared" si="11"/>
        <v>1.5000585583989191E-2</v>
      </c>
    </row>
    <row r="134" spans="1:8" ht="15">
      <c r="A134" s="14" t="s">
        <v>255</v>
      </c>
      <c r="B134">
        <v>0.2</v>
      </c>
      <c r="C134">
        <f>VLOOKUP(A134,'AVP Regulation (PTM &amp; Ca-cAMP'!B:K,10,FALSE)</f>
        <v>4.3829860494775082E-3</v>
      </c>
      <c r="D134">
        <f t="shared" si="8"/>
        <v>8.7659720989550171E-4</v>
      </c>
      <c r="E134">
        <f t="shared" si="9"/>
        <v>0.54181328220416436</v>
      </c>
      <c r="F134">
        <f t="shared" si="10"/>
        <v>1.6178953870037928E-3</v>
      </c>
      <c r="H134">
        <f t="shared" si="11"/>
        <v>1.5000585583989191E-2</v>
      </c>
    </row>
    <row r="135" spans="1:8" ht="15">
      <c r="A135" s="14" t="s">
        <v>25</v>
      </c>
      <c r="B135">
        <v>0.6</v>
      </c>
      <c r="C135">
        <f>VLOOKUP(A135,'AVP Regulation (PTM &amp; Ca-cAMP'!B:K,10,FALSE)</f>
        <v>1.4609953498258359E-3</v>
      </c>
      <c r="D135">
        <f t="shared" si="8"/>
        <v>8.7659720989550149E-4</v>
      </c>
      <c r="E135">
        <f t="shared" si="9"/>
        <v>0.54181328220416436</v>
      </c>
      <c r="F135">
        <f t="shared" si="10"/>
        <v>1.6178953870037923E-3</v>
      </c>
      <c r="H135">
        <f t="shared" si="11"/>
        <v>1.5000585583989187E-2</v>
      </c>
    </row>
    <row r="136" spans="1:8" ht="15">
      <c r="A136" s="14" t="s">
        <v>353</v>
      </c>
      <c r="B136">
        <v>0.6</v>
      </c>
      <c r="C136">
        <f>VLOOKUP(A136,'AVP Regulation (PTM &amp; Ca-cAMP'!B:K,10,FALSE)</f>
        <v>1.4609953498258359E-3</v>
      </c>
      <c r="D136">
        <f t="shared" si="8"/>
        <v>8.7659720989550149E-4</v>
      </c>
      <c r="E136">
        <f t="shared" si="9"/>
        <v>0.54181328220416436</v>
      </c>
      <c r="F136">
        <f t="shared" si="10"/>
        <v>1.6178953870037923E-3</v>
      </c>
      <c r="H136">
        <f t="shared" si="11"/>
        <v>1.5000585583989187E-2</v>
      </c>
    </row>
    <row r="137" spans="1:8" ht="15">
      <c r="A137" s="14" t="s">
        <v>332</v>
      </c>
      <c r="B137">
        <v>0.8</v>
      </c>
      <c r="C137">
        <f>VLOOKUP(A137,'AVP Regulation (PTM &amp; Ca-cAMP'!B:K,10,FALSE)</f>
        <v>1.0765228893453527E-3</v>
      </c>
      <c r="D137">
        <f t="shared" si="8"/>
        <v>8.6121831147628223E-4</v>
      </c>
      <c r="E137">
        <f t="shared" si="9"/>
        <v>0.54181328220416436</v>
      </c>
      <c r="F137">
        <f t="shared" si="10"/>
        <v>1.5895112574072347E-3</v>
      </c>
      <c r="H137">
        <f t="shared" si="11"/>
        <v>1.4778005732212251E-2</v>
      </c>
    </row>
    <row r="138" spans="1:8" ht="15">
      <c r="A138" s="14" t="s">
        <v>245</v>
      </c>
      <c r="B138">
        <v>0.2</v>
      </c>
      <c r="C138">
        <f>VLOOKUP(A138,'AVP Regulation (PTM &amp; Ca-cAMP'!B:K,10,FALSE)</f>
        <v>4.198439268446875E-3</v>
      </c>
      <c r="D138">
        <f t="shared" si="8"/>
        <v>8.3968785368937504E-4</v>
      </c>
      <c r="E138">
        <f t="shared" si="9"/>
        <v>0.54181328220416436</v>
      </c>
      <c r="F138">
        <f t="shared" si="10"/>
        <v>1.5497734759720536E-3</v>
      </c>
      <c r="H138">
        <f t="shared" si="11"/>
        <v>1.4465162422757307E-2</v>
      </c>
    </row>
    <row r="139" spans="1:8" ht="15">
      <c r="A139" s="14" t="s">
        <v>211</v>
      </c>
      <c r="B139">
        <v>0.6</v>
      </c>
      <c r="C139">
        <f>VLOOKUP(A139,'AVP Regulation (PTM &amp; Ca-cAMP'!B:K,10,FALSE)</f>
        <v>1.3841008577297398E-3</v>
      </c>
      <c r="D139">
        <f t="shared" si="8"/>
        <v>8.3046051463784383E-4</v>
      </c>
      <c r="E139">
        <f t="shared" si="9"/>
        <v>0.54181328220416436</v>
      </c>
      <c r="F139">
        <f t="shared" si="10"/>
        <v>1.5327429982141198E-3</v>
      </c>
      <c r="H139">
        <f t="shared" si="11"/>
        <v>1.4330638883681773E-2</v>
      </c>
    </row>
    <row r="140" spans="1:8" ht="15">
      <c r="A140" s="14" t="s">
        <v>191</v>
      </c>
      <c r="B140">
        <v>0.6</v>
      </c>
      <c r="C140">
        <f>VLOOKUP(A140,'AVP Regulation (PTM &amp; Ca-cAMP'!B:K,10,FALSE)</f>
        <v>1.3841008577297398E-3</v>
      </c>
      <c r="D140">
        <f t="shared" si="8"/>
        <v>8.3046051463784383E-4</v>
      </c>
      <c r="E140">
        <f t="shared" si="9"/>
        <v>0.54181328220416436</v>
      </c>
      <c r="F140">
        <f t="shared" si="10"/>
        <v>1.5327429982141198E-3</v>
      </c>
      <c r="H140">
        <f t="shared" si="11"/>
        <v>1.4330638883681773E-2</v>
      </c>
    </row>
    <row r="141" spans="1:8" ht="15">
      <c r="A141" s="14" t="s">
        <v>373</v>
      </c>
      <c r="B141">
        <v>0.4</v>
      </c>
      <c r="C141">
        <f>VLOOKUP(A141,'AVP Regulation (PTM &amp; Ca-cAMP'!B:K,10,FALSE)</f>
        <v>1.8992939547735868E-3</v>
      </c>
      <c r="D141">
        <f t="shared" si="8"/>
        <v>7.5971758190943473E-4</v>
      </c>
      <c r="E141">
        <f t="shared" si="9"/>
        <v>0.54181328220416436</v>
      </c>
      <c r="F141">
        <f t="shared" si="10"/>
        <v>1.4021760020699536E-3</v>
      </c>
      <c r="H141">
        <f t="shared" si="11"/>
        <v>1.3289987972115072E-2</v>
      </c>
    </row>
    <row r="142" spans="1:8" ht="15">
      <c r="A142" s="14" t="s">
        <v>387</v>
      </c>
      <c r="B142">
        <v>0.4</v>
      </c>
      <c r="C142">
        <f>VLOOKUP(A142,'AVP Regulation (PTM &amp; Ca-cAMP'!B:K,10,FALSE)</f>
        <v>1.8992939547735868E-3</v>
      </c>
      <c r="D142">
        <f t="shared" si="8"/>
        <v>7.5971758190943473E-4</v>
      </c>
      <c r="E142">
        <f t="shared" si="9"/>
        <v>0.54181328220416436</v>
      </c>
      <c r="F142">
        <f t="shared" si="10"/>
        <v>1.4021760020699536E-3</v>
      </c>
      <c r="H142">
        <f t="shared" si="11"/>
        <v>1.3289987972115072E-2</v>
      </c>
    </row>
    <row r="143" spans="1:8" ht="15">
      <c r="A143" s="14" t="s">
        <v>68</v>
      </c>
      <c r="B143">
        <v>0.7</v>
      </c>
      <c r="C143">
        <f>VLOOKUP(A143,'AVP Regulation (PTM &amp; Ca-cAMP'!B:K,10,FALSE)</f>
        <v>1.0765228893453527E-3</v>
      </c>
      <c r="D143">
        <f t="shared" si="8"/>
        <v>7.5356602254174679E-4</v>
      </c>
      <c r="E143">
        <f t="shared" si="9"/>
        <v>0.54181328220416436</v>
      </c>
      <c r="F143">
        <f t="shared" si="10"/>
        <v>1.3908223502313302E-3</v>
      </c>
      <c r="H143">
        <f t="shared" si="11"/>
        <v>1.319869009575006E-2</v>
      </c>
    </row>
    <row r="144" spans="1:8" ht="15">
      <c r="A144" s="14" t="s">
        <v>153</v>
      </c>
      <c r="B144">
        <v>0.4</v>
      </c>
      <c r="C144">
        <f>VLOOKUP(A144,'AVP Regulation (PTM &amp; Ca-cAMP'!B:K,10,FALSE)</f>
        <v>1.7993311150486617E-3</v>
      </c>
      <c r="D144">
        <f t="shared" si="8"/>
        <v>7.1973244601946469E-4</v>
      </c>
      <c r="E144">
        <f t="shared" si="9"/>
        <v>0.54181328220416436</v>
      </c>
      <c r="F144">
        <f t="shared" si="10"/>
        <v>1.3283772651189038E-3</v>
      </c>
      <c r="H144">
        <f t="shared" si="11"/>
        <v>1.269413168451578E-2</v>
      </c>
    </row>
    <row r="145" spans="1:8" ht="15">
      <c r="A145" s="14" t="s">
        <v>142</v>
      </c>
      <c r="B145">
        <v>0.4</v>
      </c>
      <c r="C145">
        <f>VLOOKUP(A145,'AVP Regulation (PTM &amp; Ca-cAMP'!B:K,10,FALSE)</f>
        <v>1.6997729831768726E-3</v>
      </c>
      <c r="D145">
        <f t="shared" si="8"/>
        <v>6.7990919327074904E-4</v>
      </c>
      <c r="E145">
        <f t="shared" si="9"/>
        <v>0.54181328220416436</v>
      </c>
      <c r="F145">
        <f t="shared" si="10"/>
        <v>1.2548773084793956E-3</v>
      </c>
      <c r="H145">
        <f t="shared" si="11"/>
        <v>1.209480612023886E-2</v>
      </c>
    </row>
    <row r="146" spans="1:8" ht="15">
      <c r="A146" s="14" t="s">
        <v>240</v>
      </c>
      <c r="B146">
        <v>0.4</v>
      </c>
      <c r="C146">
        <f>VLOOKUP(A146,'AVP Regulation (PTM &amp; Ca-cAMP'!B:K,10,FALSE)</f>
        <v>1.6997729831768726E-3</v>
      </c>
      <c r="D146">
        <f t="shared" si="8"/>
        <v>6.7990919327074904E-4</v>
      </c>
      <c r="E146">
        <f t="shared" si="9"/>
        <v>0.54181328220416436</v>
      </c>
      <c r="F146">
        <f t="shared" si="10"/>
        <v>1.2548773084793956E-3</v>
      </c>
      <c r="H146">
        <f t="shared" si="11"/>
        <v>1.209480612023886E-2</v>
      </c>
    </row>
    <row r="147" spans="1:8" ht="15">
      <c r="A147" s="14" t="s">
        <v>317</v>
      </c>
      <c r="B147">
        <v>0.4</v>
      </c>
      <c r="C147">
        <f>VLOOKUP(A147,'AVP Regulation (PTM &amp; Ca-cAMP'!B:K,10,FALSE)</f>
        <v>1.6997729831768726E-3</v>
      </c>
      <c r="D147">
        <f t="shared" si="8"/>
        <v>6.7990919327074904E-4</v>
      </c>
      <c r="E147">
        <f t="shared" si="9"/>
        <v>0.54181328220416436</v>
      </c>
      <c r="F147">
        <f t="shared" si="10"/>
        <v>1.2548773084793956E-3</v>
      </c>
      <c r="H147">
        <f t="shared" si="11"/>
        <v>1.209480612023886E-2</v>
      </c>
    </row>
    <row r="148" spans="1:8" ht="15">
      <c r="A148" s="14" t="s">
        <v>329</v>
      </c>
      <c r="B148">
        <v>0.6</v>
      </c>
      <c r="C148">
        <f>VLOOKUP(A148,'AVP Regulation (PTM &amp; Ca-cAMP'!B:K,10,FALSE)</f>
        <v>1.0765228893453527E-3</v>
      </c>
      <c r="D148">
        <f t="shared" si="8"/>
        <v>6.4591373360721157E-4</v>
      </c>
      <c r="E148">
        <f t="shared" si="9"/>
        <v>0.54181328220416436</v>
      </c>
      <c r="F148">
        <f t="shared" si="10"/>
        <v>1.1921334430554258E-3</v>
      </c>
      <c r="H148">
        <f t="shared" si="11"/>
        <v>1.1578284382171589E-2</v>
      </c>
    </row>
    <row r="149" spans="1:8" ht="15">
      <c r="A149" s="14" t="s">
        <v>311</v>
      </c>
      <c r="B149">
        <v>0.2</v>
      </c>
      <c r="C149">
        <f>VLOOKUP(A149,'AVP Regulation (PTM &amp; Ca-cAMP'!B:K,10,FALSE)</f>
        <v>3.2295686680360574E-3</v>
      </c>
      <c r="D149">
        <f t="shared" si="8"/>
        <v>6.4591373360721157E-4</v>
      </c>
      <c r="E149">
        <f t="shared" si="9"/>
        <v>0.54181328220416436</v>
      </c>
      <c r="F149">
        <f t="shared" si="10"/>
        <v>1.1921334430554258E-3</v>
      </c>
      <c r="H149">
        <f t="shared" si="11"/>
        <v>1.1578284382171589E-2</v>
      </c>
    </row>
    <row r="150" spans="1:8" ht="15">
      <c r="A150" s="14" t="s">
        <v>429</v>
      </c>
      <c r="B150">
        <v>0.8</v>
      </c>
      <c r="C150">
        <f>VLOOKUP(A150,'AVP Regulation (PTM &amp; Ca-cAMP'!B:K,10,FALSE)</f>
        <v>7.6894492096096648E-4</v>
      </c>
      <c r="D150">
        <f t="shared" si="8"/>
        <v>6.1515593676877327E-4</v>
      </c>
      <c r="E150">
        <f t="shared" si="9"/>
        <v>0.54181328220416436</v>
      </c>
      <c r="F150">
        <f t="shared" si="10"/>
        <v>1.135365183862311E-3</v>
      </c>
      <c r="H150">
        <f t="shared" si="11"/>
        <v>1.110685509903345E-2</v>
      </c>
    </row>
    <row r="151" spans="1:8" ht="15">
      <c r="A151" s="14" t="s">
        <v>363</v>
      </c>
      <c r="B151">
        <v>0.4</v>
      </c>
      <c r="C151">
        <f>VLOOKUP(A151,'AVP Regulation (PTM &amp; Ca-cAMP'!B:K,10,FALSE)</f>
        <v>1.4609953498258359E-3</v>
      </c>
      <c r="D151">
        <f t="shared" si="8"/>
        <v>5.8439813993033443E-4</v>
      </c>
      <c r="E151">
        <f t="shared" si="9"/>
        <v>0.54181328220416436</v>
      </c>
      <c r="F151">
        <f t="shared" si="10"/>
        <v>1.0785969246691952E-3</v>
      </c>
      <c r="H151">
        <f t="shared" si="11"/>
        <v>1.0631329143650768E-2</v>
      </c>
    </row>
    <row r="152" spans="1:8" ht="15">
      <c r="A152" s="14" t="s">
        <v>367</v>
      </c>
      <c r="B152">
        <v>0.4</v>
      </c>
      <c r="C152">
        <f>VLOOKUP(A152,'AVP Regulation (PTM &amp; Ca-cAMP'!B:K,10,FALSE)</f>
        <v>1.4609953498258359E-3</v>
      </c>
      <c r="D152">
        <f t="shared" si="8"/>
        <v>5.8439813993033443E-4</v>
      </c>
      <c r="E152">
        <f t="shared" si="9"/>
        <v>0.54181328220416436</v>
      </c>
      <c r="F152">
        <f t="shared" si="10"/>
        <v>1.0785969246691952E-3</v>
      </c>
      <c r="H152">
        <f t="shared" si="11"/>
        <v>1.0631329143650768E-2</v>
      </c>
    </row>
    <row r="153" spans="1:8" ht="15">
      <c r="A153" s="14" t="s">
        <v>48</v>
      </c>
      <c r="B153">
        <v>0.4</v>
      </c>
      <c r="C153">
        <f>VLOOKUP(A153,'AVP Regulation (PTM &amp; Ca-cAMP'!B:K,10,FALSE)</f>
        <v>1.4609953498258359E-3</v>
      </c>
      <c r="D153">
        <f t="shared" si="8"/>
        <v>5.8439813993033443E-4</v>
      </c>
      <c r="E153">
        <f t="shared" si="9"/>
        <v>0.54181328220416436</v>
      </c>
      <c r="F153">
        <f t="shared" si="10"/>
        <v>1.0785969246691952E-3</v>
      </c>
      <c r="H153">
        <f t="shared" si="11"/>
        <v>1.0631329143650768E-2</v>
      </c>
    </row>
    <row r="154" spans="1:8" ht="15">
      <c r="A154" s="14" t="s">
        <v>45</v>
      </c>
      <c r="B154">
        <v>0.4</v>
      </c>
      <c r="C154">
        <f>VLOOKUP(A154,'AVP Regulation (PTM &amp; Ca-cAMP'!B:K,10,FALSE)</f>
        <v>1.4609953498258359E-3</v>
      </c>
      <c r="D154">
        <f t="shared" si="8"/>
        <v>5.8439813993033443E-4</v>
      </c>
      <c r="E154">
        <f t="shared" si="9"/>
        <v>0.54181328220416436</v>
      </c>
      <c r="F154">
        <f t="shared" si="10"/>
        <v>1.0785969246691952E-3</v>
      </c>
      <c r="H154">
        <f t="shared" si="11"/>
        <v>1.0631329143650768E-2</v>
      </c>
    </row>
    <row r="155" spans="1:8" ht="15">
      <c r="A155" s="14" t="s">
        <v>55</v>
      </c>
      <c r="B155">
        <v>0.4</v>
      </c>
      <c r="C155">
        <f>VLOOKUP(A155,'AVP Regulation (PTM &amp; Ca-cAMP'!B:K,10,FALSE)</f>
        <v>1.4609953498258359E-3</v>
      </c>
      <c r="D155">
        <f t="shared" si="8"/>
        <v>5.8439813993033443E-4</v>
      </c>
      <c r="E155">
        <f t="shared" si="9"/>
        <v>0.54181328220416436</v>
      </c>
      <c r="F155">
        <f t="shared" si="10"/>
        <v>1.0785969246691952E-3</v>
      </c>
      <c r="H155">
        <f t="shared" si="11"/>
        <v>1.0631329143650768E-2</v>
      </c>
    </row>
    <row r="156" spans="1:8" ht="15">
      <c r="A156" s="14" t="s">
        <v>44</v>
      </c>
      <c r="B156">
        <v>0.4</v>
      </c>
      <c r="C156">
        <f>VLOOKUP(A156,'AVP Regulation (PTM &amp; Ca-cAMP'!B:K,10,FALSE)</f>
        <v>1.4609953498258359E-3</v>
      </c>
      <c r="D156">
        <f t="shared" si="8"/>
        <v>5.8439813993033443E-4</v>
      </c>
      <c r="E156">
        <f t="shared" si="9"/>
        <v>0.54181328220416436</v>
      </c>
      <c r="F156">
        <f t="shared" si="10"/>
        <v>1.0785969246691952E-3</v>
      </c>
      <c r="H156">
        <f t="shared" si="11"/>
        <v>1.0631329143650768E-2</v>
      </c>
    </row>
    <row r="157" spans="1:8" ht="15">
      <c r="A157" s="14" t="s">
        <v>43</v>
      </c>
      <c r="B157">
        <v>0.4</v>
      </c>
      <c r="C157">
        <f>VLOOKUP(A157,'AVP Regulation (PTM &amp; Ca-cAMP'!B:K,10,FALSE)</f>
        <v>1.4609953498258359E-3</v>
      </c>
      <c r="D157">
        <f t="shared" si="8"/>
        <v>5.8439813993033443E-4</v>
      </c>
      <c r="E157">
        <f t="shared" si="9"/>
        <v>0.54181328220416436</v>
      </c>
      <c r="F157">
        <f t="shared" si="10"/>
        <v>1.0785969246691952E-3</v>
      </c>
      <c r="H157">
        <f t="shared" si="11"/>
        <v>1.0631329143650768E-2</v>
      </c>
    </row>
    <row r="158" spans="1:8" ht="15">
      <c r="A158" s="14" t="s">
        <v>91</v>
      </c>
      <c r="B158">
        <v>0.4</v>
      </c>
      <c r="C158">
        <f>VLOOKUP(A158,'AVP Regulation (PTM &amp; Ca-cAMP'!B:K,10,FALSE)</f>
        <v>1.4609953498258359E-3</v>
      </c>
      <c r="D158">
        <f t="shared" si="8"/>
        <v>5.8439813993033443E-4</v>
      </c>
      <c r="E158">
        <f t="shared" si="9"/>
        <v>0.54181328220416436</v>
      </c>
      <c r="F158">
        <f t="shared" si="10"/>
        <v>1.0785969246691952E-3</v>
      </c>
      <c r="H158">
        <f t="shared" si="11"/>
        <v>1.0631329143650768E-2</v>
      </c>
    </row>
    <row r="159" spans="1:8" ht="15">
      <c r="A159" s="14" t="s">
        <v>7</v>
      </c>
      <c r="B159">
        <v>0.4</v>
      </c>
      <c r="C159">
        <f>VLOOKUP(A159,'AVP Regulation (PTM &amp; Ca-cAMP'!B:K,10,FALSE)</f>
        <v>1.4609953498258359E-3</v>
      </c>
      <c r="D159">
        <f t="shared" si="8"/>
        <v>5.8439813993033443E-4</v>
      </c>
      <c r="E159">
        <f t="shared" si="9"/>
        <v>0.54181328220416436</v>
      </c>
      <c r="F159">
        <f t="shared" si="10"/>
        <v>1.0785969246691952E-3</v>
      </c>
      <c r="H159">
        <f t="shared" si="11"/>
        <v>1.0631329143650768E-2</v>
      </c>
    </row>
    <row r="160" spans="1:8" ht="15">
      <c r="A160" s="14" t="s">
        <v>69</v>
      </c>
      <c r="B160">
        <v>0.4</v>
      </c>
      <c r="C160">
        <f>VLOOKUP(A160,'AVP Regulation (PTM &amp; Ca-cAMP'!B:K,10,FALSE)</f>
        <v>1.4609953498258359E-3</v>
      </c>
      <c r="D160">
        <f t="shared" si="8"/>
        <v>5.8439813993033443E-4</v>
      </c>
      <c r="E160">
        <f t="shared" si="9"/>
        <v>0.54181328220416436</v>
      </c>
      <c r="F160">
        <f t="shared" si="10"/>
        <v>1.0785969246691952E-3</v>
      </c>
      <c r="H160">
        <f t="shared" si="11"/>
        <v>1.0631329143650768E-2</v>
      </c>
    </row>
    <row r="161" spans="1:8" ht="15">
      <c r="A161" s="14" t="s">
        <v>119</v>
      </c>
      <c r="B161">
        <v>0.4</v>
      </c>
      <c r="C161">
        <f>VLOOKUP(A161,'AVP Regulation (PTM &amp; Ca-cAMP'!B:K,10,FALSE)</f>
        <v>1.4609953498258359E-3</v>
      </c>
      <c r="D161">
        <f t="shared" si="8"/>
        <v>5.8439813993033443E-4</v>
      </c>
      <c r="E161">
        <f t="shared" si="9"/>
        <v>0.54181328220416436</v>
      </c>
      <c r="F161">
        <f t="shared" si="10"/>
        <v>1.0785969246691952E-3</v>
      </c>
      <c r="H161">
        <f t="shared" si="11"/>
        <v>1.0631329143650768E-2</v>
      </c>
    </row>
    <row r="162" spans="1:8" ht="15">
      <c r="A162" s="14" t="s">
        <v>130</v>
      </c>
      <c r="B162">
        <v>0.4</v>
      </c>
      <c r="C162">
        <f>VLOOKUP(A162,'AVP Regulation (PTM &amp; Ca-cAMP'!B:K,10,FALSE)</f>
        <v>1.4609953498258359E-3</v>
      </c>
      <c r="D162">
        <f t="shared" si="8"/>
        <v>5.8439813993033443E-4</v>
      </c>
      <c r="E162">
        <f t="shared" si="9"/>
        <v>0.54181328220416436</v>
      </c>
      <c r="F162">
        <f t="shared" si="10"/>
        <v>1.0785969246691952E-3</v>
      </c>
      <c r="H162">
        <f t="shared" si="11"/>
        <v>1.0631329143650768E-2</v>
      </c>
    </row>
    <row r="163" spans="1:8" ht="15">
      <c r="A163" s="14" t="s">
        <v>98</v>
      </c>
      <c r="B163">
        <v>0.4</v>
      </c>
      <c r="C163">
        <f>VLOOKUP(A163,'AVP Regulation (PTM &amp; Ca-cAMP'!B:K,10,FALSE)</f>
        <v>1.4609953498258359E-3</v>
      </c>
      <c r="D163">
        <f t="shared" si="8"/>
        <v>5.8439813993033443E-4</v>
      </c>
      <c r="E163">
        <f t="shared" si="9"/>
        <v>0.54181328220416436</v>
      </c>
      <c r="F163">
        <f t="shared" si="10"/>
        <v>1.0785969246691952E-3</v>
      </c>
      <c r="H163">
        <f t="shared" si="11"/>
        <v>1.0631329143650768E-2</v>
      </c>
    </row>
    <row r="164" spans="1:8" ht="15">
      <c r="A164" s="14" t="s">
        <v>89</v>
      </c>
      <c r="B164">
        <v>0.4</v>
      </c>
      <c r="C164">
        <f>VLOOKUP(A164,'AVP Regulation (PTM &amp; Ca-cAMP'!B:K,10,FALSE)</f>
        <v>1.4609953498258359E-3</v>
      </c>
      <c r="D164">
        <f t="shared" si="8"/>
        <v>5.8439813993033443E-4</v>
      </c>
      <c r="E164">
        <f t="shared" si="9"/>
        <v>0.54181328220416436</v>
      </c>
      <c r="F164">
        <f t="shared" si="10"/>
        <v>1.0785969246691952E-3</v>
      </c>
      <c r="H164">
        <f t="shared" si="11"/>
        <v>1.0631329143650768E-2</v>
      </c>
    </row>
    <row r="165" spans="1:8" ht="15">
      <c r="A165" s="14" t="s">
        <v>328</v>
      </c>
      <c r="B165">
        <v>0.4</v>
      </c>
      <c r="C165">
        <f>VLOOKUP(A165,'AVP Regulation (PTM &amp; Ca-cAMP'!B:K,10,FALSE)</f>
        <v>1.4609953498258359E-3</v>
      </c>
      <c r="D165">
        <f t="shared" si="8"/>
        <v>5.8439813993033443E-4</v>
      </c>
      <c r="E165">
        <f t="shared" si="9"/>
        <v>0.54181328220416436</v>
      </c>
      <c r="F165">
        <f t="shared" si="10"/>
        <v>1.0785969246691952E-3</v>
      </c>
      <c r="H165">
        <f t="shared" si="11"/>
        <v>1.0631329143650768E-2</v>
      </c>
    </row>
    <row r="166" spans="1:8" ht="15">
      <c r="A166" s="14" t="s">
        <v>201</v>
      </c>
      <c r="B166">
        <v>0.4</v>
      </c>
      <c r="C166">
        <f>VLOOKUP(A166,'AVP Regulation (PTM &amp; Ca-cAMP'!B:K,10,FALSE)</f>
        <v>1.3841008577297398E-3</v>
      </c>
      <c r="D166">
        <f t="shared" si="8"/>
        <v>5.5364034309189592E-4</v>
      </c>
      <c r="E166">
        <f t="shared" si="9"/>
        <v>0.54181328220416436</v>
      </c>
      <c r="F166">
        <f t="shared" si="10"/>
        <v>1.0218286654760799E-3</v>
      </c>
      <c r="H166">
        <f t="shared" si="11"/>
        <v>1.0151490707253298E-2</v>
      </c>
    </row>
    <row r="167" spans="1:8" ht="15">
      <c r="A167" s="14" t="s">
        <v>154</v>
      </c>
      <c r="B167">
        <v>0.4</v>
      </c>
      <c r="C167">
        <f>VLOOKUP(A167,'AVP Regulation (PTM &amp; Ca-cAMP'!B:K,10,FALSE)</f>
        <v>1.3841008577297398E-3</v>
      </c>
      <c r="D167">
        <f t="shared" si="8"/>
        <v>5.5364034309189592E-4</v>
      </c>
      <c r="E167">
        <f t="shared" si="9"/>
        <v>0.54181328220416436</v>
      </c>
      <c r="F167">
        <f t="shared" si="10"/>
        <v>1.0218286654760799E-3</v>
      </c>
      <c r="H167">
        <f t="shared" si="11"/>
        <v>1.0151490707253298E-2</v>
      </c>
    </row>
    <row r="168" spans="1:8" ht="15">
      <c r="A168" s="14" t="s">
        <v>155</v>
      </c>
      <c r="B168">
        <v>0.4</v>
      </c>
      <c r="C168">
        <f>VLOOKUP(A168,'AVP Regulation (PTM &amp; Ca-cAMP'!B:K,10,FALSE)</f>
        <v>1.3841008577297398E-3</v>
      </c>
      <c r="D168">
        <f t="shared" si="8"/>
        <v>5.5364034309189592E-4</v>
      </c>
      <c r="E168">
        <f t="shared" si="9"/>
        <v>0.54181328220416436</v>
      </c>
      <c r="F168">
        <f t="shared" si="10"/>
        <v>1.0218286654760799E-3</v>
      </c>
      <c r="H168">
        <f t="shared" si="11"/>
        <v>1.0151490707253298E-2</v>
      </c>
    </row>
    <row r="169" spans="1:8" ht="15">
      <c r="A169" s="14" t="s">
        <v>168</v>
      </c>
      <c r="B169">
        <v>0.4</v>
      </c>
      <c r="C169">
        <f>VLOOKUP(A169,'AVP Regulation (PTM &amp; Ca-cAMP'!B:K,10,FALSE)</f>
        <v>1.3841008577297398E-3</v>
      </c>
      <c r="D169">
        <f t="shared" si="8"/>
        <v>5.5364034309189592E-4</v>
      </c>
      <c r="E169">
        <f t="shared" si="9"/>
        <v>0.54181328220416436</v>
      </c>
      <c r="F169">
        <f t="shared" si="10"/>
        <v>1.0218286654760799E-3</v>
      </c>
      <c r="H169">
        <f t="shared" si="11"/>
        <v>1.0151490707253298E-2</v>
      </c>
    </row>
    <row r="170" spans="1:8" ht="15">
      <c r="A170" s="14" t="s">
        <v>181</v>
      </c>
      <c r="B170">
        <v>0.4</v>
      </c>
      <c r="C170">
        <f>VLOOKUP(A170,'AVP Regulation (PTM &amp; Ca-cAMP'!B:K,10,FALSE)</f>
        <v>1.3841008577297398E-3</v>
      </c>
      <c r="D170">
        <f t="shared" si="8"/>
        <v>5.5364034309189592E-4</v>
      </c>
      <c r="E170">
        <f t="shared" si="9"/>
        <v>0.54181328220416436</v>
      </c>
      <c r="F170">
        <f t="shared" si="10"/>
        <v>1.0218286654760799E-3</v>
      </c>
      <c r="H170">
        <f t="shared" si="11"/>
        <v>1.0151490707253298E-2</v>
      </c>
    </row>
    <row r="171" spans="1:8" ht="15">
      <c r="A171" s="14" t="s">
        <v>203</v>
      </c>
      <c r="B171">
        <v>0.4</v>
      </c>
      <c r="C171">
        <f>VLOOKUP(A171,'AVP Regulation (PTM &amp; Ca-cAMP'!B:K,10,FALSE)</f>
        <v>1.3841008577297398E-3</v>
      </c>
      <c r="D171">
        <f t="shared" si="8"/>
        <v>5.5364034309189592E-4</v>
      </c>
      <c r="E171">
        <f t="shared" si="9"/>
        <v>0.54181328220416436</v>
      </c>
      <c r="F171">
        <f t="shared" si="10"/>
        <v>1.0218286654760799E-3</v>
      </c>
      <c r="H171">
        <f t="shared" si="11"/>
        <v>1.0151490707253298E-2</v>
      </c>
    </row>
    <row r="172" spans="1:8" ht="15">
      <c r="A172" s="14" t="s">
        <v>183</v>
      </c>
      <c r="B172">
        <v>0.4</v>
      </c>
      <c r="C172">
        <f>VLOOKUP(A172,'AVP Regulation (PTM &amp; Ca-cAMP'!B:K,10,FALSE)</f>
        <v>1.3841008577297398E-3</v>
      </c>
      <c r="D172">
        <f t="shared" si="8"/>
        <v>5.5364034309189592E-4</v>
      </c>
      <c r="E172">
        <f t="shared" si="9"/>
        <v>0.54181328220416436</v>
      </c>
      <c r="F172">
        <f t="shared" si="10"/>
        <v>1.0218286654760799E-3</v>
      </c>
      <c r="H172">
        <f t="shared" si="11"/>
        <v>1.0151490707253298E-2</v>
      </c>
    </row>
    <row r="173" spans="1:8" ht="15">
      <c r="A173" s="14" t="s">
        <v>151</v>
      </c>
      <c r="B173">
        <v>0.4</v>
      </c>
      <c r="C173">
        <f>VLOOKUP(A173,'AVP Regulation (PTM &amp; Ca-cAMP'!B:K,10,FALSE)</f>
        <v>1.3841008577297398E-3</v>
      </c>
      <c r="D173">
        <f t="shared" si="8"/>
        <v>5.5364034309189592E-4</v>
      </c>
      <c r="E173">
        <f t="shared" si="9"/>
        <v>0.54181328220416436</v>
      </c>
      <c r="F173">
        <f t="shared" si="10"/>
        <v>1.0218286654760799E-3</v>
      </c>
      <c r="H173">
        <f t="shared" si="11"/>
        <v>1.0151490707253298E-2</v>
      </c>
    </row>
    <row r="174" spans="1:8" ht="15">
      <c r="A174" s="14" t="s">
        <v>178</v>
      </c>
      <c r="B174">
        <v>0.4</v>
      </c>
      <c r="C174">
        <f>VLOOKUP(A174,'AVP Regulation (PTM &amp; Ca-cAMP'!B:K,10,FALSE)</f>
        <v>1.3841008577297398E-3</v>
      </c>
      <c r="D174">
        <f t="shared" si="8"/>
        <v>5.5364034309189592E-4</v>
      </c>
      <c r="E174">
        <f t="shared" si="9"/>
        <v>0.54181328220416436</v>
      </c>
      <c r="F174">
        <f t="shared" si="10"/>
        <v>1.0218286654760799E-3</v>
      </c>
      <c r="H174">
        <f t="shared" si="11"/>
        <v>1.0151490707253298E-2</v>
      </c>
    </row>
    <row r="175" spans="1:8" ht="15">
      <c r="A175" s="14" t="s">
        <v>173</v>
      </c>
      <c r="B175">
        <v>0.4</v>
      </c>
      <c r="C175">
        <f>VLOOKUP(A175,'AVP Regulation (PTM &amp; Ca-cAMP'!B:K,10,FALSE)</f>
        <v>1.3841008577297398E-3</v>
      </c>
      <c r="D175">
        <f t="shared" si="8"/>
        <v>5.5364034309189592E-4</v>
      </c>
      <c r="E175">
        <f t="shared" si="9"/>
        <v>0.54181328220416436</v>
      </c>
      <c r="F175">
        <f t="shared" si="10"/>
        <v>1.0218286654760799E-3</v>
      </c>
      <c r="H175">
        <f t="shared" si="11"/>
        <v>1.0151490707253298E-2</v>
      </c>
    </row>
    <row r="176" spans="1:8" ht="15">
      <c r="A176" s="14" t="s">
        <v>175</v>
      </c>
      <c r="B176">
        <v>0.4</v>
      </c>
      <c r="C176">
        <f>VLOOKUP(A176,'AVP Regulation (PTM &amp; Ca-cAMP'!B:K,10,FALSE)</f>
        <v>1.3841008577297398E-3</v>
      </c>
      <c r="D176">
        <f t="shared" si="8"/>
        <v>5.5364034309189592E-4</v>
      </c>
      <c r="E176">
        <f t="shared" si="9"/>
        <v>0.54181328220416436</v>
      </c>
      <c r="F176">
        <f t="shared" si="10"/>
        <v>1.0218286654760799E-3</v>
      </c>
      <c r="H176">
        <f t="shared" si="11"/>
        <v>1.0151490707253298E-2</v>
      </c>
    </row>
    <row r="177" spans="1:8" ht="15">
      <c r="A177" s="14" t="s">
        <v>182</v>
      </c>
      <c r="B177">
        <v>0.4</v>
      </c>
      <c r="C177">
        <f>VLOOKUP(A177,'AVP Regulation (PTM &amp; Ca-cAMP'!B:K,10,FALSE)</f>
        <v>1.3841008577297398E-3</v>
      </c>
      <c r="D177">
        <f t="shared" si="8"/>
        <v>5.5364034309189592E-4</v>
      </c>
      <c r="E177">
        <f t="shared" si="9"/>
        <v>0.54181328220416436</v>
      </c>
      <c r="F177">
        <f t="shared" si="10"/>
        <v>1.0218286654760799E-3</v>
      </c>
      <c r="H177">
        <f t="shared" si="11"/>
        <v>1.0151490707253298E-2</v>
      </c>
    </row>
    <row r="178" spans="1:8" ht="15">
      <c r="A178" s="14" t="s">
        <v>190</v>
      </c>
      <c r="B178">
        <v>0.4</v>
      </c>
      <c r="C178">
        <f>VLOOKUP(A178,'AVP Regulation (PTM &amp; Ca-cAMP'!B:K,10,FALSE)</f>
        <v>1.3841008577297398E-3</v>
      </c>
      <c r="D178">
        <f t="shared" si="8"/>
        <v>5.5364034309189592E-4</v>
      </c>
      <c r="E178">
        <f t="shared" si="9"/>
        <v>0.54181328220416436</v>
      </c>
      <c r="F178">
        <f t="shared" si="10"/>
        <v>1.0218286654760799E-3</v>
      </c>
      <c r="H178">
        <f t="shared" si="11"/>
        <v>1.0151490707253298E-2</v>
      </c>
    </row>
    <row r="179" spans="1:8" ht="15">
      <c r="A179" s="14" t="s">
        <v>462</v>
      </c>
      <c r="B179">
        <v>0.6</v>
      </c>
      <c r="C179">
        <f>VLOOKUP(A179,'AVP Regulation (PTM &amp; Ca-cAMP'!B:K,10,FALSE)</f>
        <v>7.6894492096096648E-4</v>
      </c>
      <c r="D179">
        <f t="shared" si="8"/>
        <v>4.6136695257657984E-4</v>
      </c>
      <c r="E179">
        <f t="shared" si="9"/>
        <v>0.54181328220416436</v>
      </c>
      <c r="F179">
        <f t="shared" si="10"/>
        <v>8.5152388789673311E-4</v>
      </c>
      <c r="H179">
        <f t="shared" si="11"/>
        <v>8.6835556692839468E-3</v>
      </c>
    </row>
    <row r="180" spans="1:8" ht="15">
      <c r="A180" s="14" t="s">
        <v>5</v>
      </c>
      <c r="B180">
        <v>0.4</v>
      </c>
      <c r="C180">
        <f>VLOOKUP(A180,'AVP Regulation (PTM &amp; Ca-cAMP'!B:K,10,FALSE)</f>
        <v>1.0765228893453527E-3</v>
      </c>
      <c r="D180">
        <f t="shared" si="8"/>
        <v>4.3060915573814112E-4</v>
      </c>
      <c r="E180">
        <f t="shared" si="9"/>
        <v>0.54181328220416436</v>
      </c>
      <c r="F180">
        <f t="shared" si="10"/>
        <v>7.9475562870361734E-4</v>
      </c>
      <c r="H180">
        <f t="shared" si="11"/>
        <v>8.1837584948097428E-3</v>
      </c>
    </row>
    <row r="181" spans="1:8" ht="15">
      <c r="A181" s="14" t="s">
        <v>0</v>
      </c>
      <c r="B181">
        <v>0.4</v>
      </c>
      <c r="C181">
        <f>VLOOKUP(A181,'AVP Regulation (PTM &amp; Ca-cAMP'!B:K,10,FALSE)</f>
        <v>1.0765228893453527E-3</v>
      </c>
      <c r="D181">
        <f t="shared" si="8"/>
        <v>4.3060915573814112E-4</v>
      </c>
      <c r="E181">
        <f t="shared" si="9"/>
        <v>0.54181328220416436</v>
      </c>
      <c r="F181">
        <f t="shared" si="10"/>
        <v>7.9475562870361734E-4</v>
      </c>
      <c r="H181">
        <f t="shared" si="11"/>
        <v>8.1837584948097428E-3</v>
      </c>
    </row>
    <row r="182" spans="1:8" ht="15">
      <c r="A182" s="14" t="s">
        <v>3</v>
      </c>
      <c r="B182">
        <v>0.4</v>
      </c>
      <c r="C182">
        <f>VLOOKUP(A182,'AVP Regulation (PTM &amp; Ca-cAMP'!B:K,10,FALSE)</f>
        <v>1.0765228893453527E-3</v>
      </c>
      <c r="D182">
        <f t="shared" si="8"/>
        <v>4.3060915573814112E-4</v>
      </c>
      <c r="E182">
        <f t="shared" si="9"/>
        <v>0.54181328220416436</v>
      </c>
      <c r="F182">
        <f t="shared" si="10"/>
        <v>7.9475562870361734E-4</v>
      </c>
      <c r="H182">
        <f t="shared" si="11"/>
        <v>8.1837584948097428E-3</v>
      </c>
    </row>
    <row r="183" spans="1:8" ht="15">
      <c r="A183" s="14" t="s">
        <v>4</v>
      </c>
      <c r="B183">
        <v>0.4</v>
      </c>
      <c r="C183">
        <f>VLOOKUP(A183,'AVP Regulation (PTM &amp; Ca-cAMP'!B:K,10,FALSE)</f>
        <v>1.0765228893453527E-3</v>
      </c>
      <c r="D183">
        <f t="shared" si="8"/>
        <v>4.3060915573814112E-4</v>
      </c>
      <c r="E183">
        <f t="shared" si="9"/>
        <v>0.54181328220416436</v>
      </c>
      <c r="F183">
        <f t="shared" si="10"/>
        <v>7.9475562870361734E-4</v>
      </c>
      <c r="H183">
        <f t="shared" si="11"/>
        <v>8.1837584948097428E-3</v>
      </c>
    </row>
    <row r="184" spans="1:8" ht="15">
      <c r="A184" s="14" t="s">
        <v>73</v>
      </c>
      <c r="B184">
        <v>0.4</v>
      </c>
      <c r="C184">
        <f>VLOOKUP(A184,'AVP Regulation (PTM &amp; Ca-cAMP'!B:K,10,FALSE)</f>
        <v>1.0765228893453527E-3</v>
      </c>
      <c r="D184">
        <f t="shared" si="8"/>
        <v>4.3060915573814112E-4</v>
      </c>
      <c r="E184">
        <f t="shared" si="9"/>
        <v>0.54181328220416436</v>
      </c>
      <c r="F184">
        <f t="shared" si="10"/>
        <v>7.9475562870361734E-4</v>
      </c>
      <c r="H184">
        <f t="shared" si="11"/>
        <v>8.1837584948097428E-3</v>
      </c>
    </row>
    <row r="185" spans="1:8" ht="15">
      <c r="A185" s="14" t="s">
        <v>117</v>
      </c>
      <c r="B185">
        <v>0.4</v>
      </c>
      <c r="C185">
        <f>VLOOKUP(A185,'AVP Regulation (PTM &amp; Ca-cAMP'!B:K,10,FALSE)</f>
        <v>1.0765228893453527E-3</v>
      </c>
      <c r="D185">
        <f t="shared" si="8"/>
        <v>4.3060915573814112E-4</v>
      </c>
      <c r="E185">
        <f t="shared" si="9"/>
        <v>0.54181328220416436</v>
      </c>
      <c r="F185">
        <f t="shared" si="10"/>
        <v>7.9475562870361734E-4</v>
      </c>
      <c r="H185">
        <f t="shared" si="11"/>
        <v>8.1837584948097428E-3</v>
      </c>
    </row>
    <row r="186" spans="1:8" ht="15">
      <c r="A186" s="14" t="s">
        <v>322</v>
      </c>
      <c r="B186">
        <v>0.4</v>
      </c>
      <c r="C186">
        <f>VLOOKUP(A186,'AVP Regulation (PTM &amp; Ca-cAMP'!B:K,10,FALSE)</f>
        <v>1.0765228893453527E-3</v>
      </c>
      <c r="D186">
        <f t="shared" si="8"/>
        <v>4.3060915573814112E-4</v>
      </c>
      <c r="E186">
        <f t="shared" si="9"/>
        <v>0.54181328220416436</v>
      </c>
      <c r="F186">
        <f t="shared" si="10"/>
        <v>7.9475562870361734E-4</v>
      </c>
      <c r="H186">
        <f t="shared" si="11"/>
        <v>8.1837584948097428E-3</v>
      </c>
    </row>
    <row r="187" spans="1:8" ht="15">
      <c r="A187" s="14" t="s">
        <v>421</v>
      </c>
      <c r="B187">
        <v>0.2</v>
      </c>
      <c r="C187">
        <f>VLOOKUP(A187,'AVP Regulation (PTM &amp; Ca-cAMP'!B:K,10,FALSE)</f>
        <v>1.8992939547735864E-3</v>
      </c>
      <c r="D187">
        <f t="shared" si="8"/>
        <v>3.7985879095471731E-4</v>
      </c>
      <c r="E187">
        <f t="shared" si="9"/>
        <v>0.54181328220416436</v>
      </c>
      <c r="F187">
        <f t="shared" si="10"/>
        <v>7.0108800103497668E-4</v>
      </c>
      <c r="H187">
        <f t="shared" si="11"/>
        <v>7.3460819870925119E-3</v>
      </c>
    </row>
    <row r="188" spans="1:8" ht="15">
      <c r="A188" s="14" t="s">
        <v>512</v>
      </c>
      <c r="B188">
        <v>0.4</v>
      </c>
      <c r="C188">
        <f>VLOOKUP(A188,'AVP Regulation (PTM &amp; Ca-cAMP'!B:K,10,FALSE)</f>
        <v>7.6894492096096648E-4</v>
      </c>
      <c r="D188">
        <f t="shared" si="8"/>
        <v>3.0757796838438664E-4</v>
      </c>
      <c r="E188">
        <f t="shared" si="9"/>
        <v>0.54181328220416436</v>
      </c>
      <c r="F188">
        <f t="shared" si="10"/>
        <v>5.6768259193115548E-4</v>
      </c>
      <c r="H188">
        <f t="shared" si="11"/>
        <v>6.1211101414478811E-3</v>
      </c>
    </row>
    <row r="189" spans="1:8" ht="15">
      <c r="A189" s="14" t="s">
        <v>445</v>
      </c>
      <c r="B189">
        <v>0.4</v>
      </c>
      <c r="C189">
        <f>VLOOKUP(A189,'AVP Regulation (PTM &amp; Ca-cAMP'!B:K,10,FALSE)</f>
        <v>7.6894492096096648E-4</v>
      </c>
      <c r="D189">
        <f t="shared" si="8"/>
        <v>3.0757796838438664E-4</v>
      </c>
      <c r="E189">
        <f t="shared" si="9"/>
        <v>0.54181328220416436</v>
      </c>
      <c r="F189">
        <f t="shared" si="10"/>
        <v>5.6768259193115548E-4</v>
      </c>
      <c r="H189">
        <f t="shared" si="11"/>
        <v>6.1211101414478811E-3</v>
      </c>
    </row>
    <row r="190" spans="1:8" ht="15">
      <c r="A190" s="14" t="s">
        <v>493</v>
      </c>
      <c r="B190">
        <v>0.4</v>
      </c>
      <c r="C190">
        <f>VLOOKUP(A190,'AVP Regulation (PTM &amp; Ca-cAMP'!B:K,10,FALSE)</f>
        <v>7.6894492096096648E-4</v>
      </c>
      <c r="D190">
        <f t="shared" si="8"/>
        <v>3.0757796838438664E-4</v>
      </c>
      <c r="E190">
        <f t="shared" si="9"/>
        <v>0.54181328220416436</v>
      </c>
      <c r="F190">
        <f t="shared" si="10"/>
        <v>5.6768259193115548E-4</v>
      </c>
      <c r="H190">
        <f t="shared" si="11"/>
        <v>6.1211101414478811E-3</v>
      </c>
    </row>
    <row r="191" spans="1:8" ht="15">
      <c r="A191" s="14" t="s">
        <v>517</v>
      </c>
      <c r="B191">
        <v>0.4</v>
      </c>
      <c r="C191">
        <f>VLOOKUP(A191,'AVP Regulation (PTM &amp; Ca-cAMP'!B:K,10,FALSE)</f>
        <v>7.6894492096096648E-4</v>
      </c>
      <c r="D191">
        <f t="shared" si="8"/>
        <v>3.0757796838438664E-4</v>
      </c>
      <c r="E191">
        <f t="shared" si="9"/>
        <v>0.54181328220416436</v>
      </c>
      <c r="F191">
        <f t="shared" si="10"/>
        <v>5.6768259193115548E-4</v>
      </c>
      <c r="H191">
        <f t="shared" si="11"/>
        <v>6.1211101414478811E-3</v>
      </c>
    </row>
    <row r="192" spans="1:8" ht="15">
      <c r="A192" s="14" t="s">
        <v>516</v>
      </c>
      <c r="B192">
        <v>0.4</v>
      </c>
      <c r="C192">
        <f>VLOOKUP(A192,'AVP Regulation (PTM &amp; Ca-cAMP'!B:K,10,FALSE)</f>
        <v>7.6894492096096648E-4</v>
      </c>
      <c r="D192">
        <f t="shared" si="8"/>
        <v>3.0757796838438664E-4</v>
      </c>
      <c r="E192">
        <f t="shared" si="9"/>
        <v>0.54181328220416436</v>
      </c>
      <c r="F192">
        <f t="shared" si="10"/>
        <v>5.6768259193115548E-4</v>
      </c>
      <c r="H192">
        <f t="shared" si="11"/>
        <v>6.1211101414478811E-3</v>
      </c>
    </row>
    <row r="193" spans="1:8" ht="15">
      <c r="A193" s="14" t="s">
        <v>438</v>
      </c>
      <c r="B193">
        <v>0.4</v>
      </c>
      <c r="C193">
        <f>VLOOKUP(A193,'AVP Regulation (PTM &amp; Ca-cAMP'!B:K,10,FALSE)</f>
        <v>7.6894492096096648E-4</v>
      </c>
      <c r="D193">
        <f t="shared" si="8"/>
        <v>3.0757796838438664E-4</v>
      </c>
      <c r="E193">
        <f t="shared" si="9"/>
        <v>0.54181328220416436</v>
      </c>
      <c r="F193">
        <f t="shared" si="10"/>
        <v>5.6768259193115548E-4</v>
      </c>
      <c r="H193">
        <f t="shared" si="11"/>
        <v>6.1211101414478811E-3</v>
      </c>
    </row>
    <row r="194" spans="1:8" ht="15">
      <c r="A194" s="14" t="s">
        <v>468</v>
      </c>
      <c r="B194">
        <v>0.4</v>
      </c>
      <c r="C194">
        <f>VLOOKUP(A194,'AVP Regulation (PTM &amp; Ca-cAMP'!B:K,10,FALSE)</f>
        <v>7.6894492096096648E-4</v>
      </c>
      <c r="D194">
        <f t="shared" ref="D194:D257" si="12">C194*B194</f>
        <v>3.0757796838438664E-4</v>
      </c>
      <c r="E194">
        <f t="shared" ref="E194:E257" si="13">SUM($D$2:$D$522)</f>
        <v>0.54181328220416436</v>
      </c>
      <c r="F194">
        <f t="shared" ref="F194:F257" si="14">D194/E194</f>
        <v>5.6768259193115548E-4</v>
      </c>
      <c r="H194">
        <f t="shared" si="11"/>
        <v>6.1211101414478811E-3</v>
      </c>
    </row>
    <row r="195" spans="1:8" ht="15">
      <c r="A195" s="14" t="s">
        <v>431</v>
      </c>
      <c r="B195">
        <v>0.4</v>
      </c>
      <c r="C195">
        <f>VLOOKUP(A195,'AVP Regulation (PTM &amp; Ca-cAMP'!B:K,10,FALSE)</f>
        <v>7.6894492096096648E-4</v>
      </c>
      <c r="D195">
        <f t="shared" si="12"/>
        <v>3.0757796838438664E-4</v>
      </c>
      <c r="E195">
        <f t="shared" si="13"/>
        <v>0.54181328220416436</v>
      </c>
      <c r="F195">
        <f t="shared" si="14"/>
        <v>5.6768259193115548E-4</v>
      </c>
      <c r="H195">
        <f t="shared" ref="H195:H258" si="15">-F195*LOG(F195,2)</f>
        <v>6.1211101414478811E-3</v>
      </c>
    </row>
    <row r="196" spans="1:8" ht="15">
      <c r="A196" s="14" t="s">
        <v>463</v>
      </c>
      <c r="B196">
        <v>0.4</v>
      </c>
      <c r="C196">
        <f>VLOOKUP(A196,'AVP Regulation (PTM &amp; Ca-cAMP'!B:K,10,FALSE)</f>
        <v>7.6894492096096648E-4</v>
      </c>
      <c r="D196">
        <f t="shared" si="12"/>
        <v>3.0757796838438664E-4</v>
      </c>
      <c r="E196">
        <f t="shared" si="13"/>
        <v>0.54181328220416436</v>
      </c>
      <c r="F196">
        <f t="shared" si="14"/>
        <v>5.6768259193115548E-4</v>
      </c>
      <c r="H196">
        <f t="shared" si="15"/>
        <v>6.1211101414478811E-3</v>
      </c>
    </row>
    <row r="197" spans="1:8" ht="15">
      <c r="A197" s="14" t="s">
        <v>507</v>
      </c>
      <c r="B197">
        <v>0.4</v>
      </c>
      <c r="C197">
        <f>VLOOKUP(A197,'AVP Regulation (PTM &amp; Ca-cAMP'!B:K,10,FALSE)</f>
        <v>7.6894492096096648E-4</v>
      </c>
      <c r="D197">
        <f t="shared" si="12"/>
        <v>3.0757796838438664E-4</v>
      </c>
      <c r="E197">
        <f t="shared" si="13"/>
        <v>0.54181328220416436</v>
      </c>
      <c r="F197">
        <f t="shared" si="14"/>
        <v>5.6768259193115548E-4</v>
      </c>
      <c r="H197">
        <f t="shared" si="15"/>
        <v>6.1211101414478811E-3</v>
      </c>
    </row>
    <row r="198" spans="1:8" ht="15">
      <c r="A198" s="14" t="s">
        <v>500</v>
      </c>
      <c r="B198">
        <v>0.4</v>
      </c>
      <c r="C198">
        <f>VLOOKUP(A198,'AVP Regulation (PTM &amp; Ca-cAMP'!B:K,10,FALSE)</f>
        <v>7.6894492096096648E-4</v>
      </c>
      <c r="D198">
        <f t="shared" si="12"/>
        <v>3.0757796838438664E-4</v>
      </c>
      <c r="E198">
        <f t="shared" si="13"/>
        <v>0.54181328220416436</v>
      </c>
      <c r="F198">
        <f t="shared" si="14"/>
        <v>5.6768259193115548E-4</v>
      </c>
      <c r="H198">
        <f t="shared" si="15"/>
        <v>6.1211101414478811E-3</v>
      </c>
    </row>
    <row r="199" spans="1:8" ht="15">
      <c r="A199" s="14" t="s">
        <v>446</v>
      </c>
      <c r="B199">
        <v>0.4</v>
      </c>
      <c r="C199">
        <f>VLOOKUP(A199,'AVP Regulation (PTM &amp; Ca-cAMP'!B:K,10,FALSE)</f>
        <v>7.6894492096096648E-4</v>
      </c>
      <c r="D199">
        <f t="shared" si="12"/>
        <v>3.0757796838438664E-4</v>
      </c>
      <c r="E199">
        <f t="shared" si="13"/>
        <v>0.54181328220416436</v>
      </c>
      <c r="F199">
        <f t="shared" si="14"/>
        <v>5.6768259193115548E-4</v>
      </c>
      <c r="H199">
        <f t="shared" si="15"/>
        <v>6.1211101414478811E-3</v>
      </c>
    </row>
    <row r="200" spans="1:8" ht="15">
      <c r="A200" s="14" t="s">
        <v>502</v>
      </c>
      <c r="B200">
        <v>0.4</v>
      </c>
      <c r="C200">
        <f>VLOOKUP(A200,'AVP Regulation (PTM &amp; Ca-cAMP'!B:K,10,FALSE)</f>
        <v>7.6894492096096648E-4</v>
      </c>
      <c r="D200">
        <f t="shared" si="12"/>
        <v>3.0757796838438664E-4</v>
      </c>
      <c r="E200">
        <f t="shared" si="13"/>
        <v>0.54181328220416436</v>
      </c>
      <c r="F200">
        <f t="shared" si="14"/>
        <v>5.6768259193115548E-4</v>
      </c>
      <c r="H200">
        <f t="shared" si="15"/>
        <v>6.1211101414478811E-3</v>
      </c>
    </row>
    <row r="201" spans="1:8" ht="15">
      <c r="A201" s="14" t="s">
        <v>456</v>
      </c>
      <c r="B201">
        <v>0.4</v>
      </c>
      <c r="C201">
        <f>VLOOKUP(A201,'AVP Regulation (PTM &amp; Ca-cAMP'!B:K,10,FALSE)</f>
        <v>7.6894492096096648E-4</v>
      </c>
      <c r="D201">
        <f t="shared" si="12"/>
        <v>3.0757796838438664E-4</v>
      </c>
      <c r="E201">
        <f t="shared" si="13"/>
        <v>0.54181328220416436</v>
      </c>
      <c r="F201">
        <f t="shared" si="14"/>
        <v>5.6768259193115548E-4</v>
      </c>
      <c r="H201">
        <f t="shared" si="15"/>
        <v>6.1211101414478811E-3</v>
      </c>
    </row>
    <row r="202" spans="1:8" ht="15">
      <c r="A202" s="14" t="s">
        <v>482</v>
      </c>
      <c r="B202">
        <v>0.4</v>
      </c>
      <c r="C202">
        <f>VLOOKUP(A202,'AVP Regulation (PTM &amp; Ca-cAMP'!B:K,10,FALSE)</f>
        <v>7.6894492096096648E-4</v>
      </c>
      <c r="D202">
        <f t="shared" si="12"/>
        <v>3.0757796838438664E-4</v>
      </c>
      <c r="E202">
        <f t="shared" si="13"/>
        <v>0.54181328220416436</v>
      </c>
      <c r="F202">
        <f t="shared" si="14"/>
        <v>5.6768259193115548E-4</v>
      </c>
      <c r="H202">
        <f t="shared" si="15"/>
        <v>6.1211101414478811E-3</v>
      </c>
    </row>
    <row r="203" spans="1:8" ht="15">
      <c r="A203" s="14" t="s">
        <v>504</v>
      </c>
      <c r="B203">
        <v>0.4</v>
      </c>
      <c r="C203">
        <f>VLOOKUP(A203,'AVP Regulation (PTM &amp; Ca-cAMP'!B:K,10,FALSE)</f>
        <v>7.6894492096096648E-4</v>
      </c>
      <c r="D203">
        <f t="shared" si="12"/>
        <v>3.0757796838438664E-4</v>
      </c>
      <c r="E203">
        <f t="shared" si="13"/>
        <v>0.54181328220416436</v>
      </c>
      <c r="F203">
        <f t="shared" si="14"/>
        <v>5.6768259193115548E-4</v>
      </c>
      <c r="H203">
        <f t="shared" si="15"/>
        <v>6.1211101414478811E-3</v>
      </c>
    </row>
    <row r="204" spans="1:8" ht="15">
      <c r="A204" s="14" t="s">
        <v>509</v>
      </c>
      <c r="B204">
        <v>0.4</v>
      </c>
      <c r="C204">
        <f>VLOOKUP(A204,'AVP Regulation (PTM &amp; Ca-cAMP'!B:K,10,FALSE)</f>
        <v>7.6894492096096648E-4</v>
      </c>
      <c r="D204">
        <f t="shared" si="12"/>
        <v>3.0757796838438664E-4</v>
      </c>
      <c r="E204">
        <f t="shared" si="13"/>
        <v>0.54181328220416436</v>
      </c>
      <c r="F204">
        <f t="shared" si="14"/>
        <v>5.6768259193115548E-4</v>
      </c>
      <c r="H204">
        <f t="shared" si="15"/>
        <v>6.1211101414478811E-3</v>
      </c>
    </row>
    <row r="205" spans="1:8" ht="15">
      <c r="A205" s="14" t="s">
        <v>451</v>
      </c>
      <c r="B205">
        <v>0.4</v>
      </c>
      <c r="C205">
        <f>VLOOKUP(A205,'AVP Regulation (PTM &amp; Ca-cAMP'!B:K,10,FALSE)</f>
        <v>7.6894492096096648E-4</v>
      </c>
      <c r="D205">
        <f t="shared" si="12"/>
        <v>3.0757796838438664E-4</v>
      </c>
      <c r="E205">
        <f t="shared" si="13"/>
        <v>0.54181328220416436</v>
      </c>
      <c r="F205">
        <f t="shared" si="14"/>
        <v>5.6768259193115548E-4</v>
      </c>
      <c r="H205">
        <f t="shared" si="15"/>
        <v>6.1211101414478811E-3</v>
      </c>
    </row>
    <row r="206" spans="1:8" ht="15">
      <c r="A206" s="14" t="s">
        <v>499</v>
      </c>
      <c r="B206">
        <v>0.4</v>
      </c>
      <c r="C206">
        <f>VLOOKUP(A206,'AVP Regulation (PTM &amp; Ca-cAMP'!B:K,10,FALSE)</f>
        <v>7.6894492096096648E-4</v>
      </c>
      <c r="D206">
        <f t="shared" si="12"/>
        <v>3.0757796838438664E-4</v>
      </c>
      <c r="E206">
        <f t="shared" si="13"/>
        <v>0.54181328220416436</v>
      </c>
      <c r="F206">
        <f t="shared" si="14"/>
        <v>5.6768259193115548E-4</v>
      </c>
      <c r="H206">
        <f t="shared" si="15"/>
        <v>6.1211101414478811E-3</v>
      </c>
    </row>
    <row r="207" spans="1:8" ht="15">
      <c r="A207" s="14" t="s">
        <v>432</v>
      </c>
      <c r="B207">
        <v>0.4</v>
      </c>
      <c r="C207">
        <f>VLOOKUP(A207,'AVP Regulation (PTM &amp; Ca-cAMP'!B:K,10,FALSE)</f>
        <v>7.6894492096096648E-4</v>
      </c>
      <c r="D207">
        <f t="shared" si="12"/>
        <v>3.0757796838438664E-4</v>
      </c>
      <c r="E207">
        <f t="shared" si="13"/>
        <v>0.54181328220416436</v>
      </c>
      <c r="F207">
        <f t="shared" si="14"/>
        <v>5.6768259193115548E-4</v>
      </c>
      <c r="H207">
        <f t="shared" si="15"/>
        <v>6.1211101414478811E-3</v>
      </c>
    </row>
    <row r="208" spans="1:8" ht="15">
      <c r="A208" s="14" t="s">
        <v>435</v>
      </c>
      <c r="B208">
        <v>0.4</v>
      </c>
      <c r="C208">
        <f>VLOOKUP(A208,'AVP Regulation (PTM &amp; Ca-cAMP'!B:K,10,FALSE)</f>
        <v>7.6894492096096648E-4</v>
      </c>
      <c r="D208">
        <f t="shared" si="12"/>
        <v>3.0757796838438664E-4</v>
      </c>
      <c r="E208">
        <f t="shared" si="13"/>
        <v>0.54181328220416436</v>
      </c>
      <c r="F208">
        <f t="shared" si="14"/>
        <v>5.6768259193115548E-4</v>
      </c>
      <c r="H208">
        <f t="shared" si="15"/>
        <v>6.1211101414478811E-3</v>
      </c>
    </row>
    <row r="209" spans="1:8" ht="15">
      <c r="A209" s="14" t="s">
        <v>453</v>
      </c>
      <c r="B209">
        <v>0.4</v>
      </c>
      <c r="C209">
        <f>VLOOKUP(A209,'AVP Regulation (PTM &amp; Ca-cAMP'!B:K,10,FALSE)</f>
        <v>7.6894492096096648E-4</v>
      </c>
      <c r="D209">
        <f t="shared" si="12"/>
        <v>3.0757796838438664E-4</v>
      </c>
      <c r="E209">
        <f t="shared" si="13"/>
        <v>0.54181328220416436</v>
      </c>
      <c r="F209">
        <f t="shared" si="14"/>
        <v>5.6768259193115548E-4</v>
      </c>
      <c r="H209">
        <f t="shared" si="15"/>
        <v>6.1211101414478811E-3</v>
      </c>
    </row>
    <row r="210" spans="1:8" ht="15">
      <c r="A210" s="14" t="s">
        <v>484</v>
      </c>
      <c r="B210">
        <v>0.4</v>
      </c>
      <c r="C210">
        <f>VLOOKUP(A210,'AVP Regulation (PTM &amp; Ca-cAMP'!B:K,10,FALSE)</f>
        <v>7.6894492096096648E-4</v>
      </c>
      <c r="D210">
        <f t="shared" si="12"/>
        <v>3.0757796838438664E-4</v>
      </c>
      <c r="E210">
        <f t="shared" si="13"/>
        <v>0.54181328220416436</v>
      </c>
      <c r="F210">
        <f t="shared" si="14"/>
        <v>5.6768259193115548E-4</v>
      </c>
      <c r="H210">
        <f t="shared" si="15"/>
        <v>6.1211101414478811E-3</v>
      </c>
    </row>
    <row r="211" spans="1:8" ht="15">
      <c r="A211" s="14" t="s">
        <v>488</v>
      </c>
      <c r="B211">
        <v>0.4</v>
      </c>
      <c r="C211">
        <f>VLOOKUP(A211,'AVP Regulation (PTM &amp; Ca-cAMP'!B:K,10,FALSE)</f>
        <v>7.6894492096096648E-4</v>
      </c>
      <c r="D211">
        <f t="shared" si="12"/>
        <v>3.0757796838438664E-4</v>
      </c>
      <c r="E211">
        <f t="shared" si="13"/>
        <v>0.54181328220416436</v>
      </c>
      <c r="F211">
        <f t="shared" si="14"/>
        <v>5.6768259193115548E-4</v>
      </c>
      <c r="H211">
        <f t="shared" si="15"/>
        <v>6.1211101414478811E-3</v>
      </c>
    </row>
    <row r="212" spans="1:8" ht="15">
      <c r="A212" s="14" t="s">
        <v>457</v>
      </c>
      <c r="B212">
        <v>0.4</v>
      </c>
      <c r="C212">
        <f>VLOOKUP(A212,'AVP Regulation (PTM &amp; Ca-cAMP'!B:K,10,FALSE)</f>
        <v>7.6894492096096648E-4</v>
      </c>
      <c r="D212">
        <f t="shared" si="12"/>
        <v>3.0757796838438664E-4</v>
      </c>
      <c r="E212">
        <f t="shared" si="13"/>
        <v>0.54181328220416436</v>
      </c>
      <c r="F212">
        <f t="shared" si="14"/>
        <v>5.6768259193115548E-4</v>
      </c>
      <c r="H212">
        <f t="shared" si="15"/>
        <v>6.1211101414478811E-3</v>
      </c>
    </row>
    <row r="213" spans="1:8" ht="15">
      <c r="A213" s="14" t="s">
        <v>491</v>
      </c>
      <c r="B213">
        <v>0.4</v>
      </c>
      <c r="C213">
        <f>VLOOKUP(A213,'AVP Regulation (PTM &amp; Ca-cAMP'!B:K,10,FALSE)</f>
        <v>7.6894492096096648E-4</v>
      </c>
      <c r="D213">
        <f t="shared" si="12"/>
        <v>3.0757796838438664E-4</v>
      </c>
      <c r="E213">
        <f t="shared" si="13"/>
        <v>0.54181328220416436</v>
      </c>
      <c r="F213">
        <f t="shared" si="14"/>
        <v>5.6768259193115548E-4</v>
      </c>
      <c r="H213">
        <f t="shared" si="15"/>
        <v>6.1211101414478811E-3</v>
      </c>
    </row>
    <row r="214" spans="1:8" ht="15">
      <c r="A214" s="14" t="s">
        <v>105</v>
      </c>
      <c r="B214">
        <v>0.4</v>
      </c>
      <c r="C214">
        <f>VLOOKUP(A214,'AVP Regulation (PTM &amp; Ca-cAMP'!B:K,10,FALSE)</f>
        <v>7.6894492096096637E-4</v>
      </c>
      <c r="D214">
        <f t="shared" si="12"/>
        <v>3.0757796838438658E-4</v>
      </c>
      <c r="E214">
        <f t="shared" si="13"/>
        <v>0.54181328220416436</v>
      </c>
      <c r="F214">
        <f t="shared" si="14"/>
        <v>5.6768259193115537E-4</v>
      </c>
      <c r="H214">
        <f t="shared" si="15"/>
        <v>6.1211101414478794E-3</v>
      </c>
    </row>
    <row r="215" spans="1:8" ht="15">
      <c r="A215" s="14" t="s">
        <v>18</v>
      </c>
      <c r="B215">
        <v>0.4</v>
      </c>
      <c r="C215">
        <f>VLOOKUP(A215,'AVP Regulation (PTM &amp; Ca-cAMP'!B:K,10,FALSE)</f>
        <v>7.6894492096096637E-4</v>
      </c>
      <c r="D215">
        <f t="shared" si="12"/>
        <v>3.0757796838438658E-4</v>
      </c>
      <c r="E215">
        <f t="shared" si="13"/>
        <v>0.54181328220416436</v>
      </c>
      <c r="F215">
        <f t="shared" si="14"/>
        <v>5.6768259193115537E-4</v>
      </c>
      <c r="H215">
        <f t="shared" si="15"/>
        <v>6.1211101414478794E-3</v>
      </c>
    </row>
    <row r="216" spans="1:8" ht="15">
      <c r="A216" s="14" t="s">
        <v>54</v>
      </c>
      <c r="B216">
        <v>0.4</v>
      </c>
      <c r="C216">
        <f>VLOOKUP(A216,'AVP Regulation (PTM &amp; Ca-cAMP'!B:K,10,FALSE)</f>
        <v>7.6894492096096637E-4</v>
      </c>
      <c r="D216">
        <f t="shared" si="12"/>
        <v>3.0757796838438658E-4</v>
      </c>
      <c r="E216">
        <f t="shared" si="13"/>
        <v>0.54181328220416436</v>
      </c>
      <c r="F216">
        <f t="shared" si="14"/>
        <v>5.6768259193115537E-4</v>
      </c>
      <c r="H216">
        <f t="shared" si="15"/>
        <v>6.1211101414478794E-3</v>
      </c>
    </row>
    <row r="217" spans="1:8" ht="15">
      <c r="A217" s="14" t="s">
        <v>330</v>
      </c>
      <c r="B217">
        <v>0.4</v>
      </c>
      <c r="C217">
        <f>VLOOKUP(A217,'AVP Regulation (PTM &amp; Ca-cAMP'!B:K,10,FALSE)</f>
        <v>7.6894492096096637E-4</v>
      </c>
      <c r="D217">
        <f t="shared" si="12"/>
        <v>3.0757796838438658E-4</v>
      </c>
      <c r="E217">
        <f t="shared" si="13"/>
        <v>0.54181328220416436</v>
      </c>
      <c r="F217">
        <f t="shared" si="14"/>
        <v>5.6768259193115537E-4</v>
      </c>
      <c r="H217">
        <f t="shared" si="15"/>
        <v>6.1211101414478794E-3</v>
      </c>
    </row>
    <row r="218" spans="1:8" ht="15">
      <c r="A218" s="14" t="s">
        <v>395</v>
      </c>
      <c r="B218">
        <v>0.4</v>
      </c>
      <c r="C218">
        <f>VLOOKUP(A218,'AVP Regulation (PTM &amp; Ca-cAMP'!B:K,10,FALSE)</f>
        <v>7.6894492096096637E-4</v>
      </c>
      <c r="D218">
        <f t="shared" si="12"/>
        <v>3.0757796838438658E-4</v>
      </c>
      <c r="E218">
        <f t="shared" si="13"/>
        <v>0.54181328220416436</v>
      </c>
      <c r="F218">
        <f t="shared" si="14"/>
        <v>5.6768259193115537E-4</v>
      </c>
      <c r="H218">
        <f t="shared" si="15"/>
        <v>6.1211101414478794E-3</v>
      </c>
    </row>
    <row r="219" spans="1:8" ht="15">
      <c r="A219" s="14" t="s">
        <v>348</v>
      </c>
      <c r="B219">
        <v>0.4</v>
      </c>
      <c r="C219">
        <f>VLOOKUP(A219,'AVP Regulation (PTM &amp; Ca-cAMP'!B:K,10,FALSE)</f>
        <v>7.6894492096096637E-4</v>
      </c>
      <c r="D219">
        <f t="shared" si="12"/>
        <v>3.0757796838438658E-4</v>
      </c>
      <c r="E219">
        <f t="shared" si="13"/>
        <v>0.54181328220416436</v>
      </c>
      <c r="F219">
        <f t="shared" si="14"/>
        <v>5.6768259193115537E-4</v>
      </c>
      <c r="H219">
        <f t="shared" si="15"/>
        <v>6.1211101414478794E-3</v>
      </c>
    </row>
    <row r="220" spans="1:8" ht="15">
      <c r="A220" s="14" t="s">
        <v>407</v>
      </c>
      <c r="B220">
        <v>0.4</v>
      </c>
      <c r="C220">
        <f>VLOOKUP(A220,'AVP Regulation (PTM &amp; Ca-cAMP'!B:K,10,FALSE)</f>
        <v>7.6894492096096637E-4</v>
      </c>
      <c r="D220">
        <f t="shared" si="12"/>
        <v>3.0757796838438658E-4</v>
      </c>
      <c r="E220">
        <f t="shared" si="13"/>
        <v>0.54181328220416436</v>
      </c>
      <c r="F220">
        <f t="shared" si="14"/>
        <v>5.6768259193115537E-4</v>
      </c>
      <c r="H220">
        <f t="shared" si="15"/>
        <v>6.1211101414478794E-3</v>
      </c>
    </row>
    <row r="221" spans="1:8" ht="15">
      <c r="A221" s="14" t="s">
        <v>22</v>
      </c>
      <c r="B221">
        <v>0.2</v>
      </c>
      <c r="C221">
        <f>VLOOKUP(A221,'AVP Regulation (PTM &amp; Ca-cAMP'!B:K,10,FALSE)</f>
        <v>1.4609953498258359E-3</v>
      </c>
      <c r="D221">
        <f t="shared" si="12"/>
        <v>2.9219906996516722E-4</v>
      </c>
      <c r="E221">
        <f t="shared" si="13"/>
        <v>0.54181328220416436</v>
      </c>
      <c r="F221">
        <f t="shared" si="14"/>
        <v>5.3929846233459759E-4</v>
      </c>
      <c r="H221">
        <f t="shared" si="15"/>
        <v>5.8549630341599816E-3</v>
      </c>
    </row>
    <row r="222" spans="1:8">
      <c r="A222" s="15" t="s">
        <v>152</v>
      </c>
      <c r="B222">
        <v>0.4</v>
      </c>
      <c r="C222">
        <f>VLOOKUP(A222,'AVP Regulation (PTM &amp; Ca-cAMP'!B:K,10,FALSE)</f>
        <v>7.284741356472313E-4</v>
      </c>
      <c r="D222">
        <f t="shared" si="12"/>
        <v>2.9138965425889253E-4</v>
      </c>
      <c r="E222">
        <f t="shared" si="13"/>
        <v>0.54181328220416436</v>
      </c>
      <c r="F222">
        <f t="shared" si="14"/>
        <v>5.3780456077688404E-4</v>
      </c>
      <c r="H222">
        <f t="shared" si="15"/>
        <v>5.8408965564990664E-3</v>
      </c>
    </row>
    <row r="223" spans="1:8" ht="15">
      <c r="A223" s="14" t="s">
        <v>161</v>
      </c>
      <c r="B223">
        <v>0.4</v>
      </c>
      <c r="C223">
        <f>VLOOKUP(A223,'AVP Regulation (PTM &amp; Ca-cAMP'!B:K,10,FALSE)</f>
        <v>7.284741356472313E-4</v>
      </c>
      <c r="D223">
        <f t="shared" si="12"/>
        <v>2.9138965425889253E-4</v>
      </c>
      <c r="E223">
        <f t="shared" si="13"/>
        <v>0.54181328220416436</v>
      </c>
      <c r="F223">
        <f t="shared" si="14"/>
        <v>5.3780456077688404E-4</v>
      </c>
      <c r="H223">
        <f t="shared" si="15"/>
        <v>5.8408965564990664E-3</v>
      </c>
    </row>
    <row r="224" spans="1:8" ht="15">
      <c r="A224" s="14" t="s">
        <v>164</v>
      </c>
      <c r="B224">
        <v>0.4</v>
      </c>
      <c r="C224">
        <f>VLOOKUP(A224,'AVP Regulation (PTM &amp; Ca-cAMP'!B:K,10,FALSE)</f>
        <v>7.284741356472313E-4</v>
      </c>
      <c r="D224">
        <f t="shared" si="12"/>
        <v>2.9138965425889253E-4</v>
      </c>
      <c r="E224">
        <f t="shared" si="13"/>
        <v>0.54181328220416436</v>
      </c>
      <c r="F224">
        <f t="shared" si="14"/>
        <v>5.3780456077688404E-4</v>
      </c>
      <c r="H224">
        <f t="shared" si="15"/>
        <v>5.8408965564990664E-3</v>
      </c>
    </row>
    <row r="225" spans="1:8" ht="15">
      <c r="A225" s="14" t="s">
        <v>172</v>
      </c>
      <c r="B225">
        <v>0.4</v>
      </c>
      <c r="C225">
        <f>VLOOKUP(A225,'AVP Regulation (PTM &amp; Ca-cAMP'!B:K,10,FALSE)</f>
        <v>7.284741356472313E-4</v>
      </c>
      <c r="D225">
        <f t="shared" si="12"/>
        <v>2.9138965425889253E-4</v>
      </c>
      <c r="E225">
        <f t="shared" si="13"/>
        <v>0.54181328220416436</v>
      </c>
      <c r="F225">
        <f t="shared" si="14"/>
        <v>5.3780456077688404E-4</v>
      </c>
      <c r="H225">
        <f t="shared" si="15"/>
        <v>5.8408965564990664E-3</v>
      </c>
    </row>
    <row r="226" spans="1:8" ht="15">
      <c r="A226" s="14" t="s">
        <v>174</v>
      </c>
      <c r="B226">
        <v>0.4</v>
      </c>
      <c r="C226">
        <f>VLOOKUP(A226,'AVP Regulation (PTM &amp; Ca-cAMP'!B:K,10,FALSE)</f>
        <v>7.284741356472313E-4</v>
      </c>
      <c r="D226">
        <f t="shared" si="12"/>
        <v>2.9138965425889253E-4</v>
      </c>
      <c r="E226">
        <f t="shared" si="13"/>
        <v>0.54181328220416436</v>
      </c>
      <c r="F226">
        <f t="shared" si="14"/>
        <v>5.3780456077688404E-4</v>
      </c>
      <c r="H226">
        <f t="shared" si="15"/>
        <v>5.8408965564990664E-3</v>
      </c>
    </row>
    <row r="227" spans="1:8" ht="15">
      <c r="A227" s="14" t="s">
        <v>184</v>
      </c>
      <c r="B227">
        <v>0.4</v>
      </c>
      <c r="C227">
        <f>VLOOKUP(A227,'AVP Regulation (PTM &amp; Ca-cAMP'!B:K,10,FALSE)</f>
        <v>7.284741356472313E-4</v>
      </c>
      <c r="D227">
        <f t="shared" si="12"/>
        <v>2.9138965425889253E-4</v>
      </c>
      <c r="E227">
        <f t="shared" si="13"/>
        <v>0.54181328220416436</v>
      </c>
      <c r="F227">
        <f t="shared" si="14"/>
        <v>5.3780456077688404E-4</v>
      </c>
      <c r="H227">
        <f t="shared" si="15"/>
        <v>5.8408965564990664E-3</v>
      </c>
    </row>
    <row r="228" spans="1:8" ht="15">
      <c r="A228" s="14" t="s">
        <v>206</v>
      </c>
      <c r="B228">
        <v>0.4</v>
      </c>
      <c r="C228">
        <f>VLOOKUP(A228,'AVP Regulation (PTM &amp; Ca-cAMP'!B:K,10,FALSE)</f>
        <v>7.284741356472313E-4</v>
      </c>
      <c r="D228">
        <f t="shared" si="12"/>
        <v>2.9138965425889253E-4</v>
      </c>
      <c r="E228">
        <f t="shared" si="13"/>
        <v>0.54181328220416436</v>
      </c>
      <c r="F228">
        <f t="shared" si="14"/>
        <v>5.3780456077688404E-4</v>
      </c>
      <c r="H228">
        <f t="shared" si="15"/>
        <v>5.8408965564990664E-3</v>
      </c>
    </row>
    <row r="229" spans="1:8" ht="15">
      <c r="A229" s="14" t="s">
        <v>266</v>
      </c>
      <c r="B229">
        <v>0.6</v>
      </c>
      <c r="C229">
        <f>VLOOKUP(A229,'AVP Regulation (PTM &amp; Ca-cAMP'!B:K,10,FALSE)</f>
        <v>4.613669525765799E-4</v>
      </c>
      <c r="D229">
        <f t="shared" si="12"/>
        <v>2.7682017154594791E-4</v>
      </c>
      <c r="E229">
        <f t="shared" si="13"/>
        <v>0.54181328220416436</v>
      </c>
      <c r="F229">
        <f t="shared" si="14"/>
        <v>5.1091433273803982E-4</v>
      </c>
      <c r="H229">
        <f t="shared" si="15"/>
        <v>5.5866596863646881E-3</v>
      </c>
    </row>
    <row r="230" spans="1:8" ht="15">
      <c r="A230" s="14" t="s">
        <v>362</v>
      </c>
      <c r="B230">
        <v>0.9</v>
      </c>
      <c r="C230">
        <f>VLOOKUP(A230,'AVP Regulation (PTM &amp; Ca-cAMP'!B:K,10,FALSE)</f>
        <v>2.7682017154594796E-4</v>
      </c>
      <c r="D230">
        <f t="shared" si="12"/>
        <v>2.4913815439135315E-4</v>
      </c>
      <c r="E230">
        <f t="shared" si="13"/>
        <v>0.54181328220416436</v>
      </c>
      <c r="F230">
        <f t="shared" si="14"/>
        <v>4.5982289946423592E-4</v>
      </c>
      <c r="H230">
        <f t="shared" si="15"/>
        <v>5.0978882208836561E-3</v>
      </c>
    </row>
    <row r="231" spans="1:8" ht="15">
      <c r="A231" s="14" t="s">
        <v>285</v>
      </c>
      <c r="B231">
        <v>0.4</v>
      </c>
      <c r="C231">
        <f>VLOOKUP(A231,'AVP Regulation (PTM &amp; Ca-cAMP'!B:K,10,FALSE)</f>
        <v>5.9977703834955391E-4</v>
      </c>
      <c r="D231">
        <f t="shared" si="12"/>
        <v>2.3991081533982156E-4</v>
      </c>
      <c r="E231">
        <f t="shared" si="13"/>
        <v>0.54181328220416436</v>
      </c>
      <c r="F231">
        <f t="shared" si="14"/>
        <v>4.4279242170630129E-4</v>
      </c>
      <c r="H231">
        <f t="shared" si="15"/>
        <v>4.9331866121799239E-3</v>
      </c>
    </row>
    <row r="232" spans="1:8" ht="15">
      <c r="A232" s="14" t="s">
        <v>258</v>
      </c>
      <c r="B232">
        <v>0.4</v>
      </c>
      <c r="C232">
        <f>VLOOKUP(A232,'AVP Regulation (PTM &amp; Ca-cAMP'!B:K,10,FALSE)</f>
        <v>5.9977703834955391E-4</v>
      </c>
      <c r="D232">
        <f t="shared" si="12"/>
        <v>2.3991081533982156E-4</v>
      </c>
      <c r="E232">
        <f t="shared" si="13"/>
        <v>0.54181328220416436</v>
      </c>
      <c r="F232">
        <f t="shared" si="14"/>
        <v>4.4279242170630129E-4</v>
      </c>
      <c r="H232">
        <f t="shared" si="15"/>
        <v>4.9331866121799239E-3</v>
      </c>
    </row>
    <row r="233" spans="1:8" ht="15">
      <c r="A233" s="14" t="s">
        <v>250</v>
      </c>
      <c r="B233">
        <v>0.4</v>
      </c>
      <c r="C233">
        <f>VLOOKUP(A233,'AVP Regulation (PTM &amp; Ca-cAMP'!B:K,10,FALSE)</f>
        <v>5.9977703834955391E-4</v>
      </c>
      <c r="D233">
        <f t="shared" si="12"/>
        <v>2.3991081533982156E-4</v>
      </c>
      <c r="E233">
        <f t="shared" si="13"/>
        <v>0.54181328220416436</v>
      </c>
      <c r="F233">
        <f t="shared" si="14"/>
        <v>4.4279242170630129E-4</v>
      </c>
      <c r="H233">
        <f t="shared" si="15"/>
        <v>4.9331866121799239E-3</v>
      </c>
    </row>
    <row r="234" spans="1:8" ht="15">
      <c r="A234" s="14" t="s">
        <v>2</v>
      </c>
      <c r="B234">
        <v>0.4</v>
      </c>
      <c r="C234">
        <f>VLOOKUP(A234,'AVP Regulation (PTM &amp; Ca-cAMP'!B:K,10,FALSE)</f>
        <v>5.8439813993033443E-4</v>
      </c>
      <c r="D234">
        <f t="shared" si="12"/>
        <v>2.3375925597213378E-4</v>
      </c>
      <c r="E234">
        <f t="shared" si="13"/>
        <v>0.54181328220416436</v>
      </c>
      <c r="F234">
        <f t="shared" si="14"/>
        <v>4.314387698676781E-4</v>
      </c>
      <c r="H234">
        <f t="shared" si="15"/>
        <v>4.8228626885720343E-3</v>
      </c>
    </row>
    <row r="235" spans="1:8" ht="15">
      <c r="A235" s="14" t="s">
        <v>27</v>
      </c>
      <c r="B235">
        <v>0.8</v>
      </c>
      <c r="C235">
        <f>VLOOKUP(A235,'AVP Regulation (PTM &amp; Ca-cAMP'!B:K,10,FALSE)</f>
        <v>2.9219906996516711E-4</v>
      </c>
      <c r="D235">
        <f t="shared" si="12"/>
        <v>2.337592559721337E-4</v>
      </c>
      <c r="E235">
        <f t="shared" si="13"/>
        <v>0.54181328220416436</v>
      </c>
      <c r="F235">
        <f t="shared" si="14"/>
        <v>4.3143876986767793E-4</v>
      </c>
      <c r="H235">
        <f t="shared" si="15"/>
        <v>4.8228626885720325E-3</v>
      </c>
    </row>
    <row r="236" spans="1:8" ht="15">
      <c r="A236" s="14" t="s">
        <v>92</v>
      </c>
      <c r="B236">
        <v>0.6</v>
      </c>
      <c r="C236">
        <f>VLOOKUP(A236,'AVP Regulation (PTM &amp; Ca-cAMP'!B:K,10,FALSE)</f>
        <v>3.7985879095471726E-4</v>
      </c>
      <c r="D236">
        <f t="shared" si="12"/>
        <v>2.2791527457283035E-4</v>
      </c>
      <c r="E236">
        <f t="shared" si="13"/>
        <v>0.54181328220416436</v>
      </c>
      <c r="F236">
        <f t="shared" si="14"/>
        <v>4.2065280062098594E-4</v>
      </c>
      <c r="H236">
        <f t="shared" si="15"/>
        <v>4.7176558334028305E-3</v>
      </c>
    </row>
    <row r="237" spans="1:8" ht="15">
      <c r="A237" s="14" t="s">
        <v>41</v>
      </c>
      <c r="B237">
        <v>0.4</v>
      </c>
      <c r="C237">
        <f>VLOOKUP(A237,'AVP Regulation (PTM &amp; Ca-cAMP'!B:K,10,FALSE)</f>
        <v>5.665909943922909E-4</v>
      </c>
      <c r="D237">
        <f t="shared" si="12"/>
        <v>2.2663639775691638E-4</v>
      </c>
      <c r="E237">
        <f t="shared" si="13"/>
        <v>0.54181328220416436</v>
      </c>
      <c r="F237">
        <f t="shared" si="14"/>
        <v>4.1829243615979861E-4</v>
      </c>
      <c r="H237">
        <f t="shared" si="15"/>
        <v>4.6945798657281991E-3</v>
      </c>
    </row>
    <row r="238" spans="1:8" ht="15">
      <c r="A238" s="14" t="s">
        <v>121</v>
      </c>
      <c r="B238">
        <v>0.4</v>
      </c>
      <c r="C238">
        <f>VLOOKUP(A238,'AVP Regulation (PTM &amp; Ca-cAMP'!B:K,10,FALSE)</f>
        <v>5.665909943922909E-4</v>
      </c>
      <c r="D238">
        <f t="shared" si="12"/>
        <v>2.2663639775691638E-4</v>
      </c>
      <c r="E238">
        <f t="shared" si="13"/>
        <v>0.54181328220416436</v>
      </c>
      <c r="F238">
        <f t="shared" si="14"/>
        <v>4.1829243615979861E-4</v>
      </c>
      <c r="H238">
        <f t="shared" si="15"/>
        <v>4.6945798657281991E-3</v>
      </c>
    </row>
    <row r="239" spans="1:8" ht="15">
      <c r="A239" s="14" t="s">
        <v>103</v>
      </c>
      <c r="B239">
        <v>0.4</v>
      </c>
      <c r="C239">
        <f>VLOOKUP(A239,'AVP Regulation (PTM &amp; Ca-cAMP'!B:K,10,FALSE)</f>
        <v>5.665909943922909E-4</v>
      </c>
      <c r="D239">
        <f t="shared" si="12"/>
        <v>2.2663639775691638E-4</v>
      </c>
      <c r="E239">
        <f t="shared" si="13"/>
        <v>0.54181328220416436</v>
      </c>
      <c r="F239">
        <f t="shared" si="14"/>
        <v>4.1829243615979861E-4</v>
      </c>
      <c r="H239">
        <f t="shared" si="15"/>
        <v>4.6945798657281991E-3</v>
      </c>
    </row>
    <row r="240" spans="1:8" ht="15">
      <c r="A240" s="14" t="s">
        <v>406</v>
      </c>
      <c r="B240">
        <v>0.4</v>
      </c>
      <c r="C240">
        <f>VLOOKUP(A240,'AVP Regulation (PTM &amp; Ca-cAMP'!B:K,10,FALSE)</f>
        <v>5.665909943922909E-4</v>
      </c>
      <c r="D240">
        <f t="shared" si="12"/>
        <v>2.2663639775691638E-4</v>
      </c>
      <c r="E240">
        <f t="shared" si="13"/>
        <v>0.54181328220416436</v>
      </c>
      <c r="F240">
        <f t="shared" si="14"/>
        <v>4.1829243615979861E-4</v>
      </c>
      <c r="H240">
        <f t="shared" si="15"/>
        <v>4.6945798657281991E-3</v>
      </c>
    </row>
    <row r="241" spans="1:8" ht="15">
      <c r="A241" s="14" t="s">
        <v>321</v>
      </c>
      <c r="B241">
        <v>0.2</v>
      </c>
      <c r="C241">
        <f>VLOOKUP(A241,'AVP Regulation (PTM &amp; Ca-cAMP'!B:K,10,FALSE)</f>
        <v>1.0765228893453527E-3</v>
      </c>
      <c r="D241">
        <f t="shared" si="12"/>
        <v>2.1530457786907056E-4</v>
      </c>
      <c r="E241">
        <f t="shared" si="13"/>
        <v>0.54181328220416436</v>
      </c>
      <c r="F241">
        <f t="shared" si="14"/>
        <v>3.9737781435180867E-4</v>
      </c>
      <c r="H241">
        <f t="shared" si="15"/>
        <v>4.4892570617566805E-3</v>
      </c>
    </row>
    <row r="242" spans="1:8" ht="15">
      <c r="A242" s="14" t="s">
        <v>82</v>
      </c>
      <c r="B242">
        <v>0.2</v>
      </c>
      <c r="C242">
        <f>VLOOKUP(A242,'AVP Regulation (PTM &amp; Ca-cAMP'!B:K,10,FALSE)</f>
        <v>1.0765228893453527E-3</v>
      </c>
      <c r="D242">
        <f t="shared" si="12"/>
        <v>2.1530457786907056E-4</v>
      </c>
      <c r="E242">
        <f t="shared" si="13"/>
        <v>0.54181328220416436</v>
      </c>
      <c r="F242">
        <f t="shared" si="14"/>
        <v>3.9737781435180867E-4</v>
      </c>
      <c r="H242">
        <f t="shared" si="15"/>
        <v>4.4892570617566805E-3</v>
      </c>
    </row>
    <row r="243" spans="1:8" ht="15">
      <c r="A243" s="14" t="s">
        <v>84</v>
      </c>
      <c r="B243">
        <v>0.2</v>
      </c>
      <c r="C243">
        <f>VLOOKUP(A243,'AVP Regulation (PTM &amp; Ca-cAMP'!B:K,10,FALSE)</f>
        <v>1.0765228893453527E-3</v>
      </c>
      <c r="D243">
        <f t="shared" si="12"/>
        <v>2.1530457786907056E-4</v>
      </c>
      <c r="E243">
        <f t="shared" si="13"/>
        <v>0.54181328220416436</v>
      </c>
      <c r="F243">
        <f t="shared" si="14"/>
        <v>3.9737781435180867E-4</v>
      </c>
      <c r="H243">
        <f t="shared" si="15"/>
        <v>4.4892570617566805E-3</v>
      </c>
    </row>
    <row r="244" spans="1:8" ht="15">
      <c r="A244" s="14" t="s">
        <v>51</v>
      </c>
      <c r="B244">
        <v>0.2</v>
      </c>
      <c r="C244">
        <f>VLOOKUP(A244,'AVP Regulation (PTM &amp; Ca-cAMP'!B:K,10,FALSE)</f>
        <v>1.0765228893453527E-3</v>
      </c>
      <c r="D244">
        <f t="shared" si="12"/>
        <v>2.1530457786907056E-4</v>
      </c>
      <c r="E244">
        <f t="shared" si="13"/>
        <v>0.54181328220416436</v>
      </c>
      <c r="F244">
        <f t="shared" si="14"/>
        <v>3.9737781435180867E-4</v>
      </c>
      <c r="H244">
        <f t="shared" si="15"/>
        <v>4.4892570617566805E-3</v>
      </c>
    </row>
    <row r="245" spans="1:8" ht="15">
      <c r="A245" s="14" t="s">
        <v>368</v>
      </c>
      <c r="B245">
        <v>0.2</v>
      </c>
      <c r="C245">
        <f>VLOOKUP(A245,'AVP Regulation (PTM &amp; Ca-cAMP'!B:K,10,FALSE)</f>
        <v>1.0765228893453527E-3</v>
      </c>
      <c r="D245">
        <f t="shared" si="12"/>
        <v>2.1530457786907056E-4</v>
      </c>
      <c r="E245">
        <f t="shared" si="13"/>
        <v>0.54181328220416436</v>
      </c>
      <c r="F245">
        <f t="shared" si="14"/>
        <v>3.9737781435180867E-4</v>
      </c>
      <c r="H245">
        <f t="shared" si="15"/>
        <v>4.4892570617566805E-3</v>
      </c>
    </row>
    <row r="246" spans="1:8" ht="15">
      <c r="A246" s="14" t="s">
        <v>485</v>
      </c>
      <c r="B246">
        <v>0.4</v>
      </c>
      <c r="C246">
        <f>VLOOKUP(A246,'AVP Regulation (PTM &amp; Ca-cAMP'!B:K,10,FALSE)</f>
        <v>5.2612020907855594E-4</v>
      </c>
      <c r="D246">
        <f t="shared" si="12"/>
        <v>2.1044808363142239E-4</v>
      </c>
      <c r="E246">
        <f t="shared" si="13"/>
        <v>0.54181328220416436</v>
      </c>
      <c r="F246">
        <f t="shared" si="14"/>
        <v>3.8841440500552734E-4</v>
      </c>
      <c r="H246">
        <f t="shared" si="15"/>
        <v>4.4007801377771768E-3</v>
      </c>
    </row>
    <row r="247" spans="1:8" ht="15">
      <c r="A247" s="14" t="s">
        <v>28</v>
      </c>
      <c r="B247">
        <v>0.7</v>
      </c>
      <c r="C247">
        <f>VLOOKUP(A247,'AVP Regulation (PTM &amp; Ca-cAMP'!B:K,10,FALSE)</f>
        <v>2.9219906996516711E-4</v>
      </c>
      <c r="D247">
        <f t="shared" si="12"/>
        <v>2.0453934897561696E-4</v>
      </c>
      <c r="E247">
        <f t="shared" si="13"/>
        <v>0.54181328220416436</v>
      </c>
      <c r="F247">
        <f t="shared" si="14"/>
        <v>3.7750892363421813E-4</v>
      </c>
      <c r="H247">
        <f t="shared" si="15"/>
        <v>4.2927300885179914E-3</v>
      </c>
    </row>
    <row r="248" spans="1:8" ht="15">
      <c r="A248" s="14" t="s">
        <v>65</v>
      </c>
      <c r="B248">
        <v>0.9</v>
      </c>
      <c r="C248">
        <f>VLOOKUP(A248,'AVP Regulation (PTM &amp; Ca-cAMP'!B:K,10,FALSE)</f>
        <v>2.153045778690705E-4</v>
      </c>
      <c r="D248">
        <f t="shared" si="12"/>
        <v>1.9377412008216347E-4</v>
      </c>
      <c r="E248">
        <f t="shared" si="13"/>
        <v>0.54181328220416436</v>
      </c>
      <c r="F248">
        <f t="shared" si="14"/>
        <v>3.5764003291662775E-4</v>
      </c>
      <c r="H248">
        <f t="shared" si="15"/>
        <v>4.0946937469241284E-3</v>
      </c>
    </row>
    <row r="249" spans="1:8" ht="15">
      <c r="A249" s="14" t="s">
        <v>284</v>
      </c>
      <c r="B249">
        <v>0.4</v>
      </c>
      <c r="C249">
        <f>VLOOKUP(A249,'AVP Regulation (PTM &amp; Ca-cAMP'!B:K,10,FALSE)</f>
        <v>4.613669525765799E-4</v>
      </c>
      <c r="D249">
        <f t="shared" si="12"/>
        <v>1.8454678103063197E-4</v>
      </c>
      <c r="E249">
        <f t="shared" si="13"/>
        <v>0.54181328220416436</v>
      </c>
      <c r="F249">
        <f t="shared" si="14"/>
        <v>3.4060955515869329E-4</v>
      </c>
      <c r="H249">
        <f t="shared" si="15"/>
        <v>3.9236836080649429E-3</v>
      </c>
    </row>
    <row r="250" spans="1:8" ht="15">
      <c r="A250" s="14" t="s">
        <v>238</v>
      </c>
      <c r="B250">
        <v>0.4</v>
      </c>
      <c r="C250">
        <f>VLOOKUP(A250,'AVP Regulation (PTM &amp; Ca-cAMP'!B:K,10,FALSE)</f>
        <v>4.613669525765799E-4</v>
      </c>
      <c r="D250">
        <f t="shared" si="12"/>
        <v>1.8454678103063197E-4</v>
      </c>
      <c r="E250">
        <f t="shared" si="13"/>
        <v>0.54181328220416436</v>
      </c>
      <c r="F250">
        <f t="shared" si="14"/>
        <v>3.4060955515869329E-4</v>
      </c>
      <c r="H250">
        <f t="shared" si="15"/>
        <v>3.9236836080649429E-3</v>
      </c>
    </row>
    <row r="251" spans="1:8" ht="15">
      <c r="A251" s="14" t="s">
        <v>239</v>
      </c>
      <c r="B251">
        <v>0.4</v>
      </c>
      <c r="C251">
        <f>VLOOKUP(A251,'AVP Regulation (PTM &amp; Ca-cAMP'!B:K,10,FALSE)</f>
        <v>4.613669525765799E-4</v>
      </c>
      <c r="D251">
        <f t="shared" si="12"/>
        <v>1.8454678103063197E-4</v>
      </c>
      <c r="E251">
        <f t="shared" si="13"/>
        <v>0.54181328220416436</v>
      </c>
      <c r="F251">
        <f t="shared" si="14"/>
        <v>3.4060955515869329E-4</v>
      </c>
      <c r="H251">
        <f t="shared" si="15"/>
        <v>3.9236836080649429E-3</v>
      </c>
    </row>
    <row r="252" spans="1:8" ht="15">
      <c r="A252" s="14" t="s">
        <v>252</v>
      </c>
      <c r="B252">
        <v>0.4</v>
      </c>
      <c r="C252">
        <f>VLOOKUP(A252,'AVP Regulation (PTM &amp; Ca-cAMP'!B:K,10,FALSE)</f>
        <v>4.613669525765799E-4</v>
      </c>
      <c r="D252">
        <f t="shared" si="12"/>
        <v>1.8454678103063197E-4</v>
      </c>
      <c r="E252">
        <f t="shared" si="13"/>
        <v>0.54181328220416436</v>
      </c>
      <c r="F252">
        <f t="shared" si="14"/>
        <v>3.4060955515869329E-4</v>
      </c>
      <c r="H252">
        <f t="shared" si="15"/>
        <v>3.9236836080649429E-3</v>
      </c>
    </row>
    <row r="253" spans="1:8" ht="15">
      <c r="A253" s="14" t="s">
        <v>303</v>
      </c>
      <c r="B253">
        <v>0.4</v>
      </c>
      <c r="C253">
        <f>VLOOKUP(A253,'AVP Regulation (PTM &amp; Ca-cAMP'!B:K,10,FALSE)</f>
        <v>4.613669525765799E-4</v>
      </c>
      <c r="D253">
        <f t="shared" si="12"/>
        <v>1.8454678103063197E-4</v>
      </c>
      <c r="E253">
        <f t="shared" si="13"/>
        <v>0.54181328220416436</v>
      </c>
      <c r="F253">
        <f t="shared" si="14"/>
        <v>3.4060955515869329E-4</v>
      </c>
      <c r="H253">
        <f t="shared" si="15"/>
        <v>3.9236836080649429E-3</v>
      </c>
    </row>
    <row r="254" spans="1:8" ht="15">
      <c r="A254" s="14" t="s">
        <v>248</v>
      </c>
      <c r="B254">
        <v>0.4</v>
      </c>
      <c r="C254">
        <f>VLOOKUP(A254,'AVP Regulation (PTM &amp; Ca-cAMP'!B:K,10,FALSE)</f>
        <v>4.613669525765799E-4</v>
      </c>
      <c r="D254">
        <f t="shared" si="12"/>
        <v>1.8454678103063197E-4</v>
      </c>
      <c r="E254">
        <f t="shared" si="13"/>
        <v>0.54181328220416436</v>
      </c>
      <c r="F254">
        <f t="shared" si="14"/>
        <v>3.4060955515869329E-4</v>
      </c>
      <c r="H254">
        <f t="shared" si="15"/>
        <v>3.9236836080649429E-3</v>
      </c>
    </row>
    <row r="255" spans="1:8" ht="15">
      <c r="A255" s="14" t="s">
        <v>219</v>
      </c>
      <c r="B255">
        <v>0.4</v>
      </c>
      <c r="C255">
        <f>VLOOKUP(A255,'AVP Regulation (PTM &amp; Ca-cAMP'!B:K,10,FALSE)</f>
        <v>4.613669525765799E-4</v>
      </c>
      <c r="D255">
        <f t="shared" si="12"/>
        <v>1.8454678103063197E-4</v>
      </c>
      <c r="E255">
        <f t="shared" si="13"/>
        <v>0.54181328220416436</v>
      </c>
      <c r="F255">
        <f t="shared" si="14"/>
        <v>3.4060955515869329E-4</v>
      </c>
      <c r="H255">
        <f t="shared" si="15"/>
        <v>3.9236836080649429E-3</v>
      </c>
    </row>
    <row r="256" spans="1:8" ht="15">
      <c r="A256" s="14" t="s">
        <v>263</v>
      </c>
      <c r="B256">
        <v>0.4</v>
      </c>
      <c r="C256">
        <f>VLOOKUP(A256,'AVP Regulation (PTM &amp; Ca-cAMP'!B:K,10,FALSE)</f>
        <v>4.613669525765799E-4</v>
      </c>
      <c r="D256">
        <f t="shared" si="12"/>
        <v>1.8454678103063197E-4</v>
      </c>
      <c r="E256">
        <f t="shared" si="13"/>
        <v>0.54181328220416436</v>
      </c>
      <c r="F256">
        <f t="shared" si="14"/>
        <v>3.4060955515869329E-4</v>
      </c>
      <c r="H256">
        <f t="shared" si="15"/>
        <v>3.9236836080649429E-3</v>
      </c>
    </row>
    <row r="257" spans="1:8" ht="15">
      <c r="A257" s="14" t="s">
        <v>254</v>
      </c>
      <c r="B257">
        <v>0.4</v>
      </c>
      <c r="C257">
        <f>VLOOKUP(A257,'AVP Regulation (PTM &amp; Ca-cAMP'!B:K,10,FALSE)</f>
        <v>4.613669525765799E-4</v>
      </c>
      <c r="D257">
        <f t="shared" si="12"/>
        <v>1.8454678103063197E-4</v>
      </c>
      <c r="E257">
        <f t="shared" si="13"/>
        <v>0.54181328220416436</v>
      </c>
      <c r="F257">
        <f t="shared" si="14"/>
        <v>3.4060955515869329E-4</v>
      </c>
      <c r="H257">
        <f t="shared" si="15"/>
        <v>3.9236836080649429E-3</v>
      </c>
    </row>
    <row r="258" spans="1:8" ht="15">
      <c r="A258" s="14" t="s">
        <v>243</v>
      </c>
      <c r="B258">
        <v>0.4</v>
      </c>
      <c r="C258">
        <f>VLOOKUP(A258,'AVP Regulation (PTM &amp; Ca-cAMP'!B:K,10,FALSE)</f>
        <v>4.613669525765799E-4</v>
      </c>
      <c r="D258">
        <f t="shared" ref="D258:D321" si="16">C258*B258</f>
        <v>1.8454678103063197E-4</v>
      </c>
      <c r="E258">
        <f t="shared" ref="E258:E321" si="17">SUM($D$2:$D$522)</f>
        <v>0.54181328220416436</v>
      </c>
      <c r="F258">
        <f t="shared" ref="F258:F321" si="18">D258/E258</f>
        <v>3.4060955515869329E-4</v>
      </c>
      <c r="H258">
        <f t="shared" si="15"/>
        <v>3.9236836080649429E-3</v>
      </c>
    </row>
    <row r="259" spans="1:8" ht="15">
      <c r="A259" s="14" t="s">
        <v>274</v>
      </c>
      <c r="B259">
        <v>0.4</v>
      </c>
      <c r="C259">
        <f>VLOOKUP(A259,'AVP Regulation (PTM &amp; Ca-cAMP'!B:K,10,FALSE)</f>
        <v>4.613669525765799E-4</v>
      </c>
      <c r="D259">
        <f t="shared" si="16"/>
        <v>1.8454678103063197E-4</v>
      </c>
      <c r="E259">
        <f t="shared" si="17"/>
        <v>0.54181328220416436</v>
      </c>
      <c r="F259">
        <f t="shared" si="18"/>
        <v>3.4060955515869329E-4</v>
      </c>
      <c r="H259">
        <f t="shared" ref="H259:H322" si="19">-F259*LOG(F259,2)</f>
        <v>3.9236836080649429E-3</v>
      </c>
    </row>
    <row r="260" spans="1:8" ht="15">
      <c r="A260" s="14" t="s">
        <v>146</v>
      </c>
      <c r="B260">
        <v>0.4</v>
      </c>
      <c r="C260">
        <f>VLOOKUP(A260,'AVP Regulation (PTM &amp; Ca-cAMP'!B:K,10,FALSE)</f>
        <v>4.613669525765799E-4</v>
      </c>
      <c r="D260">
        <f t="shared" si="16"/>
        <v>1.8454678103063197E-4</v>
      </c>
      <c r="E260">
        <f t="shared" si="17"/>
        <v>0.54181328220416436</v>
      </c>
      <c r="F260">
        <f t="shared" si="18"/>
        <v>3.4060955515869329E-4</v>
      </c>
      <c r="H260">
        <f t="shared" si="19"/>
        <v>3.9236836080649429E-3</v>
      </c>
    </row>
    <row r="261" spans="1:8" ht="15">
      <c r="A261" s="14" t="s">
        <v>242</v>
      </c>
      <c r="B261">
        <v>0.4</v>
      </c>
      <c r="C261">
        <f>VLOOKUP(A261,'AVP Regulation (PTM &amp; Ca-cAMP'!B:K,10,FALSE)</f>
        <v>4.613669525765799E-4</v>
      </c>
      <c r="D261">
        <f t="shared" si="16"/>
        <v>1.8454678103063197E-4</v>
      </c>
      <c r="E261">
        <f t="shared" si="17"/>
        <v>0.54181328220416436</v>
      </c>
      <c r="F261">
        <f t="shared" si="18"/>
        <v>3.4060955515869329E-4</v>
      </c>
      <c r="H261">
        <f t="shared" si="19"/>
        <v>3.9236836080649429E-3</v>
      </c>
    </row>
    <row r="262" spans="1:8" ht="15">
      <c r="A262" s="14" t="s">
        <v>309</v>
      </c>
      <c r="B262">
        <v>0.4</v>
      </c>
      <c r="C262">
        <f>VLOOKUP(A262,'AVP Regulation (PTM &amp; Ca-cAMP'!B:K,10,FALSE)</f>
        <v>4.613669525765799E-4</v>
      </c>
      <c r="D262">
        <f t="shared" si="16"/>
        <v>1.8454678103063197E-4</v>
      </c>
      <c r="E262">
        <f t="shared" si="17"/>
        <v>0.54181328220416436</v>
      </c>
      <c r="F262">
        <f t="shared" si="18"/>
        <v>3.4060955515869329E-4</v>
      </c>
      <c r="H262">
        <f t="shared" si="19"/>
        <v>3.9236836080649429E-3</v>
      </c>
    </row>
    <row r="263" spans="1:8" ht="15">
      <c r="A263" s="14" t="s">
        <v>283</v>
      </c>
      <c r="B263">
        <v>0.4</v>
      </c>
      <c r="C263">
        <f>VLOOKUP(A263,'AVP Regulation (PTM &amp; Ca-cAMP'!B:K,10,FALSE)</f>
        <v>4.613669525765799E-4</v>
      </c>
      <c r="D263">
        <f t="shared" si="16"/>
        <v>1.8454678103063197E-4</v>
      </c>
      <c r="E263">
        <f t="shared" si="17"/>
        <v>0.54181328220416436</v>
      </c>
      <c r="F263">
        <f t="shared" si="18"/>
        <v>3.4060955515869329E-4</v>
      </c>
      <c r="H263">
        <f t="shared" si="19"/>
        <v>3.9236836080649429E-3</v>
      </c>
    </row>
    <row r="264" spans="1:8" ht="15">
      <c r="A264" s="14" t="s">
        <v>148</v>
      </c>
      <c r="B264">
        <v>0.4</v>
      </c>
      <c r="C264">
        <f>VLOOKUP(A264,'AVP Regulation (PTM &amp; Ca-cAMP'!B:K,10,FALSE)</f>
        <v>4.613669525765799E-4</v>
      </c>
      <c r="D264">
        <f t="shared" si="16"/>
        <v>1.8454678103063197E-4</v>
      </c>
      <c r="E264">
        <f t="shared" si="17"/>
        <v>0.54181328220416436</v>
      </c>
      <c r="F264">
        <f t="shared" si="18"/>
        <v>3.4060955515869329E-4</v>
      </c>
      <c r="H264">
        <f t="shared" si="19"/>
        <v>3.9236836080649429E-3</v>
      </c>
    </row>
    <row r="265" spans="1:8" ht="15">
      <c r="A265" s="14" t="s">
        <v>237</v>
      </c>
      <c r="B265">
        <v>0.4</v>
      </c>
      <c r="C265">
        <f>VLOOKUP(A265,'AVP Regulation (PTM &amp; Ca-cAMP'!B:K,10,FALSE)</f>
        <v>4.613669525765799E-4</v>
      </c>
      <c r="D265">
        <f t="shared" si="16"/>
        <v>1.8454678103063197E-4</v>
      </c>
      <c r="E265">
        <f t="shared" si="17"/>
        <v>0.54181328220416436</v>
      </c>
      <c r="F265">
        <f t="shared" si="18"/>
        <v>3.4060955515869329E-4</v>
      </c>
      <c r="H265">
        <f t="shared" si="19"/>
        <v>3.9236836080649429E-3</v>
      </c>
    </row>
    <row r="266" spans="1:8" ht="15">
      <c r="A266" s="14" t="s">
        <v>264</v>
      </c>
      <c r="B266">
        <v>0.4</v>
      </c>
      <c r="C266">
        <f>VLOOKUP(A266,'AVP Regulation (PTM &amp; Ca-cAMP'!B:K,10,FALSE)</f>
        <v>4.613669525765799E-4</v>
      </c>
      <c r="D266">
        <f t="shared" si="16"/>
        <v>1.8454678103063197E-4</v>
      </c>
      <c r="E266">
        <f t="shared" si="17"/>
        <v>0.54181328220416436</v>
      </c>
      <c r="F266">
        <f t="shared" si="18"/>
        <v>3.4060955515869329E-4</v>
      </c>
      <c r="H266">
        <f t="shared" si="19"/>
        <v>3.9236836080649429E-3</v>
      </c>
    </row>
    <row r="267" spans="1:8" ht="15">
      <c r="A267" s="14" t="s">
        <v>251</v>
      </c>
      <c r="B267">
        <v>0.4</v>
      </c>
      <c r="C267">
        <f>VLOOKUP(A267,'AVP Regulation (PTM &amp; Ca-cAMP'!B:K,10,FALSE)</f>
        <v>4.613669525765799E-4</v>
      </c>
      <c r="D267">
        <f t="shared" si="16"/>
        <v>1.8454678103063197E-4</v>
      </c>
      <c r="E267">
        <f t="shared" si="17"/>
        <v>0.54181328220416436</v>
      </c>
      <c r="F267">
        <f t="shared" si="18"/>
        <v>3.4060955515869329E-4</v>
      </c>
      <c r="H267">
        <f t="shared" si="19"/>
        <v>3.9236836080649429E-3</v>
      </c>
    </row>
    <row r="268" spans="1:8" ht="15">
      <c r="A268" s="14" t="s">
        <v>316</v>
      </c>
      <c r="B268">
        <v>0.4</v>
      </c>
      <c r="C268">
        <f>VLOOKUP(A268,'AVP Regulation (PTM &amp; Ca-cAMP'!B:K,10,FALSE)</f>
        <v>4.613669525765799E-4</v>
      </c>
      <c r="D268">
        <f t="shared" si="16"/>
        <v>1.8454678103063197E-4</v>
      </c>
      <c r="E268">
        <f t="shared" si="17"/>
        <v>0.54181328220416436</v>
      </c>
      <c r="F268">
        <f t="shared" si="18"/>
        <v>3.4060955515869329E-4</v>
      </c>
      <c r="H268">
        <f t="shared" si="19"/>
        <v>3.9236836080649429E-3</v>
      </c>
    </row>
    <row r="269" spans="1:8" ht="15">
      <c r="A269" s="14" t="s">
        <v>296</v>
      </c>
      <c r="B269">
        <v>0.4</v>
      </c>
      <c r="C269">
        <f>VLOOKUP(A269,'AVP Regulation (PTM &amp; Ca-cAMP'!B:K,10,FALSE)</f>
        <v>4.613669525765799E-4</v>
      </c>
      <c r="D269">
        <f t="shared" si="16"/>
        <v>1.8454678103063197E-4</v>
      </c>
      <c r="E269">
        <f t="shared" si="17"/>
        <v>0.54181328220416436</v>
      </c>
      <c r="F269">
        <f t="shared" si="18"/>
        <v>3.4060955515869329E-4</v>
      </c>
      <c r="H269">
        <f t="shared" si="19"/>
        <v>3.9236836080649429E-3</v>
      </c>
    </row>
    <row r="270" spans="1:8" ht="15">
      <c r="A270" s="14" t="s">
        <v>304</v>
      </c>
      <c r="B270">
        <v>0.4</v>
      </c>
      <c r="C270">
        <f>VLOOKUP(A270,'AVP Regulation (PTM &amp; Ca-cAMP'!B:K,10,FALSE)</f>
        <v>4.613669525765799E-4</v>
      </c>
      <c r="D270">
        <f t="shared" si="16"/>
        <v>1.8454678103063197E-4</v>
      </c>
      <c r="E270">
        <f t="shared" si="17"/>
        <v>0.54181328220416436</v>
      </c>
      <c r="F270">
        <f t="shared" si="18"/>
        <v>3.4060955515869329E-4</v>
      </c>
      <c r="H270">
        <f t="shared" si="19"/>
        <v>3.9236836080649429E-3</v>
      </c>
    </row>
    <row r="271" spans="1:8" ht="15">
      <c r="A271" s="14" t="s">
        <v>306</v>
      </c>
      <c r="B271">
        <v>0.4</v>
      </c>
      <c r="C271">
        <f>VLOOKUP(A271,'AVP Regulation (PTM &amp; Ca-cAMP'!B:K,10,FALSE)</f>
        <v>4.613669525765799E-4</v>
      </c>
      <c r="D271">
        <f t="shared" si="16"/>
        <v>1.8454678103063197E-4</v>
      </c>
      <c r="E271">
        <f t="shared" si="17"/>
        <v>0.54181328220416436</v>
      </c>
      <c r="F271">
        <f t="shared" si="18"/>
        <v>3.4060955515869329E-4</v>
      </c>
      <c r="H271">
        <f t="shared" si="19"/>
        <v>3.9236836080649429E-3</v>
      </c>
    </row>
    <row r="272" spans="1:8" ht="15">
      <c r="A272" s="14" t="s">
        <v>253</v>
      </c>
      <c r="B272">
        <v>0.4</v>
      </c>
      <c r="C272">
        <f>VLOOKUP(A272,'AVP Regulation (PTM &amp; Ca-cAMP'!B:K,10,FALSE)</f>
        <v>4.613669525765799E-4</v>
      </c>
      <c r="D272">
        <f t="shared" si="16"/>
        <v>1.8454678103063197E-4</v>
      </c>
      <c r="E272">
        <f t="shared" si="17"/>
        <v>0.54181328220416436</v>
      </c>
      <c r="F272">
        <f t="shared" si="18"/>
        <v>3.4060955515869329E-4</v>
      </c>
      <c r="H272">
        <f t="shared" si="19"/>
        <v>3.9236836080649429E-3</v>
      </c>
    </row>
    <row r="273" spans="1:8" ht="15">
      <c r="A273" s="14" t="s">
        <v>262</v>
      </c>
      <c r="B273">
        <v>0.4</v>
      </c>
      <c r="C273">
        <f>VLOOKUP(A273,'AVP Regulation (PTM &amp; Ca-cAMP'!B:K,10,FALSE)</f>
        <v>4.613669525765799E-4</v>
      </c>
      <c r="D273">
        <f t="shared" si="16"/>
        <v>1.8454678103063197E-4</v>
      </c>
      <c r="E273">
        <f t="shared" si="17"/>
        <v>0.54181328220416436</v>
      </c>
      <c r="F273">
        <f t="shared" si="18"/>
        <v>3.4060955515869329E-4</v>
      </c>
      <c r="H273">
        <f t="shared" si="19"/>
        <v>3.9236836080649429E-3</v>
      </c>
    </row>
    <row r="274" spans="1:8" ht="15">
      <c r="A274" s="14" t="s">
        <v>213</v>
      </c>
      <c r="B274">
        <v>0.4</v>
      </c>
      <c r="C274">
        <f>VLOOKUP(A274,'AVP Regulation (PTM &amp; Ca-cAMP'!B:K,10,FALSE)</f>
        <v>4.613669525765799E-4</v>
      </c>
      <c r="D274">
        <f t="shared" si="16"/>
        <v>1.8454678103063197E-4</v>
      </c>
      <c r="E274">
        <f t="shared" si="17"/>
        <v>0.54181328220416436</v>
      </c>
      <c r="F274">
        <f t="shared" si="18"/>
        <v>3.4060955515869329E-4</v>
      </c>
      <c r="H274">
        <f t="shared" si="19"/>
        <v>3.9236836080649429E-3</v>
      </c>
    </row>
    <row r="275" spans="1:8" ht="15">
      <c r="A275" s="14" t="s">
        <v>217</v>
      </c>
      <c r="B275">
        <v>0.4</v>
      </c>
      <c r="C275">
        <f>VLOOKUP(A275,'AVP Regulation (PTM &amp; Ca-cAMP'!B:K,10,FALSE)</f>
        <v>4.613669525765799E-4</v>
      </c>
      <c r="D275">
        <f t="shared" si="16"/>
        <v>1.8454678103063197E-4</v>
      </c>
      <c r="E275">
        <f t="shared" si="17"/>
        <v>0.54181328220416436</v>
      </c>
      <c r="F275">
        <f t="shared" si="18"/>
        <v>3.4060955515869329E-4</v>
      </c>
      <c r="H275">
        <f t="shared" si="19"/>
        <v>3.9236836080649429E-3</v>
      </c>
    </row>
    <row r="276" spans="1:8" ht="15">
      <c r="A276" s="14" t="s">
        <v>218</v>
      </c>
      <c r="B276">
        <v>0.4</v>
      </c>
      <c r="C276">
        <f>VLOOKUP(A276,'AVP Regulation (PTM &amp; Ca-cAMP'!B:K,10,FALSE)</f>
        <v>4.613669525765799E-4</v>
      </c>
      <c r="D276">
        <f t="shared" si="16"/>
        <v>1.8454678103063197E-4</v>
      </c>
      <c r="E276">
        <f t="shared" si="17"/>
        <v>0.54181328220416436</v>
      </c>
      <c r="F276">
        <f t="shared" si="18"/>
        <v>3.4060955515869329E-4</v>
      </c>
      <c r="H276">
        <f t="shared" si="19"/>
        <v>3.9236836080649429E-3</v>
      </c>
    </row>
    <row r="277" spans="1:8" ht="15">
      <c r="A277" s="14" t="s">
        <v>315</v>
      </c>
      <c r="B277">
        <v>0.4</v>
      </c>
      <c r="C277">
        <f>VLOOKUP(A277,'AVP Regulation (PTM &amp; Ca-cAMP'!B:K,10,FALSE)</f>
        <v>4.613669525765799E-4</v>
      </c>
      <c r="D277">
        <f t="shared" si="16"/>
        <v>1.8454678103063197E-4</v>
      </c>
      <c r="E277">
        <f t="shared" si="17"/>
        <v>0.54181328220416436</v>
      </c>
      <c r="F277">
        <f t="shared" si="18"/>
        <v>3.4060955515869329E-4</v>
      </c>
      <c r="H277">
        <f t="shared" si="19"/>
        <v>3.9236836080649429E-3</v>
      </c>
    </row>
    <row r="278" spans="1:8" ht="15">
      <c r="A278" s="14" t="s">
        <v>214</v>
      </c>
      <c r="B278">
        <v>0.4</v>
      </c>
      <c r="C278">
        <f>VLOOKUP(A278,'AVP Regulation (PTM &amp; Ca-cAMP'!B:K,10,FALSE)</f>
        <v>4.613669525765799E-4</v>
      </c>
      <c r="D278">
        <f t="shared" si="16"/>
        <v>1.8454678103063197E-4</v>
      </c>
      <c r="E278">
        <f t="shared" si="17"/>
        <v>0.54181328220416436</v>
      </c>
      <c r="F278">
        <f t="shared" si="18"/>
        <v>3.4060955515869329E-4</v>
      </c>
      <c r="H278">
        <f t="shared" si="19"/>
        <v>3.9236836080649429E-3</v>
      </c>
    </row>
    <row r="279" spans="1:8" ht="15">
      <c r="A279" s="14" t="s">
        <v>235</v>
      </c>
      <c r="B279">
        <v>0.4</v>
      </c>
      <c r="C279">
        <f>VLOOKUP(A279,'AVP Regulation (PTM &amp; Ca-cAMP'!B:K,10,FALSE)</f>
        <v>4.3708448138833877E-4</v>
      </c>
      <c r="D279">
        <f t="shared" si="16"/>
        <v>1.7483379255533551E-4</v>
      </c>
      <c r="E279">
        <f t="shared" si="17"/>
        <v>0.54181328220416436</v>
      </c>
      <c r="F279">
        <f t="shared" si="18"/>
        <v>3.226827364661304E-4</v>
      </c>
      <c r="H279">
        <f t="shared" si="19"/>
        <v>3.7423440085063791E-3</v>
      </c>
    </row>
    <row r="280" spans="1:8" ht="15">
      <c r="A280" s="14" t="s">
        <v>428</v>
      </c>
      <c r="B280">
        <v>0.4</v>
      </c>
      <c r="C280">
        <f>VLOOKUP(A280,'AVP Regulation (PTM &amp; Ca-cAMP'!B:K,10,FALSE)</f>
        <v>4.0470785313735072E-4</v>
      </c>
      <c r="D280">
        <f t="shared" si="16"/>
        <v>1.6188314125494029E-4</v>
      </c>
      <c r="E280">
        <f t="shared" si="17"/>
        <v>0.54181328220416436</v>
      </c>
      <c r="F280">
        <f t="shared" si="18"/>
        <v>2.9878031154271335E-4</v>
      </c>
      <c r="H280">
        <f t="shared" si="19"/>
        <v>3.4983073113161157E-3</v>
      </c>
    </row>
    <row r="281" spans="1:8" ht="15">
      <c r="A281" s="14" t="s">
        <v>459</v>
      </c>
      <c r="B281">
        <v>0.4</v>
      </c>
      <c r="C281">
        <f>VLOOKUP(A281,'AVP Regulation (PTM &amp; Ca-cAMP'!B:K,10,FALSE)</f>
        <v>4.0470785313735072E-4</v>
      </c>
      <c r="D281">
        <f t="shared" si="16"/>
        <v>1.6188314125494029E-4</v>
      </c>
      <c r="E281">
        <f t="shared" si="17"/>
        <v>0.54181328220416436</v>
      </c>
      <c r="F281">
        <f t="shared" si="18"/>
        <v>2.9878031154271335E-4</v>
      </c>
      <c r="H281">
        <f t="shared" si="19"/>
        <v>3.4983073113161157E-3</v>
      </c>
    </row>
    <row r="282" spans="1:8" ht="15">
      <c r="A282" s="14" t="s">
        <v>496</v>
      </c>
      <c r="B282">
        <v>0.4</v>
      </c>
      <c r="C282">
        <f>VLOOKUP(A282,'AVP Regulation (PTM &amp; Ca-cAMP'!B:K,10,FALSE)</f>
        <v>4.0470785313735072E-4</v>
      </c>
      <c r="D282">
        <f t="shared" si="16"/>
        <v>1.6188314125494029E-4</v>
      </c>
      <c r="E282">
        <f t="shared" si="17"/>
        <v>0.54181328220416436</v>
      </c>
      <c r="F282">
        <f t="shared" si="18"/>
        <v>2.9878031154271335E-4</v>
      </c>
      <c r="H282">
        <f t="shared" si="19"/>
        <v>3.4983073113161157E-3</v>
      </c>
    </row>
    <row r="283" spans="1:8" ht="15">
      <c r="A283" s="14" t="s">
        <v>498</v>
      </c>
      <c r="B283">
        <v>0.4</v>
      </c>
      <c r="C283">
        <f>VLOOKUP(A283,'AVP Regulation (PTM &amp; Ca-cAMP'!B:K,10,FALSE)</f>
        <v>4.0470785313735072E-4</v>
      </c>
      <c r="D283">
        <f t="shared" si="16"/>
        <v>1.6188314125494029E-4</v>
      </c>
      <c r="E283">
        <f t="shared" si="17"/>
        <v>0.54181328220416436</v>
      </c>
      <c r="F283">
        <f t="shared" si="18"/>
        <v>2.9878031154271335E-4</v>
      </c>
      <c r="H283">
        <f t="shared" si="19"/>
        <v>3.4983073113161157E-3</v>
      </c>
    </row>
    <row r="284" spans="1:8" ht="15">
      <c r="A284" s="14" t="s">
        <v>433</v>
      </c>
      <c r="B284">
        <v>0.4</v>
      </c>
      <c r="C284">
        <f>VLOOKUP(A284,'AVP Regulation (PTM &amp; Ca-cAMP'!B:K,10,FALSE)</f>
        <v>4.0470785313735072E-4</v>
      </c>
      <c r="D284">
        <f t="shared" si="16"/>
        <v>1.6188314125494029E-4</v>
      </c>
      <c r="E284">
        <f t="shared" si="17"/>
        <v>0.54181328220416436</v>
      </c>
      <c r="F284">
        <f t="shared" si="18"/>
        <v>2.9878031154271335E-4</v>
      </c>
      <c r="H284">
        <f t="shared" si="19"/>
        <v>3.4983073113161157E-3</v>
      </c>
    </row>
    <row r="285" spans="1:8" ht="15">
      <c r="A285" s="14" t="s">
        <v>494</v>
      </c>
      <c r="B285">
        <v>0.4</v>
      </c>
      <c r="C285">
        <f>VLOOKUP(A285,'AVP Regulation (PTM &amp; Ca-cAMP'!B:K,10,FALSE)</f>
        <v>4.0470785313735072E-4</v>
      </c>
      <c r="D285">
        <f t="shared" si="16"/>
        <v>1.6188314125494029E-4</v>
      </c>
      <c r="E285">
        <f t="shared" si="17"/>
        <v>0.54181328220416436</v>
      </c>
      <c r="F285">
        <f t="shared" si="18"/>
        <v>2.9878031154271335E-4</v>
      </c>
      <c r="H285">
        <f t="shared" si="19"/>
        <v>3.4983073113161157E-3</v>
      </c>
    </row>
    <row r="286" spans="1:8" ht="15">
      <c r="A286" s="14" t="s">
        <v>495</v>
      </c>
      <c r="B286">
        <v>0.4</v>
      </c>
      <c r="C286">
        <f>VLOOKUP(A286,'AVP Regulation (PTM &amp; Ca-cAMP'!B:K,10,FALSE)</f>
        <v>4.0470785313735072E-4</v>
      </c>
      <c r="D286">
        <f t="shared" si="16"/>
        <v>1.6188314125494029E-4</v>
      </c>
      <c r="E286">
        <f t="shared" si="17"/>
        <v>0.54181328220416436</v>
      </c>
      <c r="F286">
        <f t="shared" si="18"/>
        <v>2.9878031154271335E-4</v>
      </c>
      <c r="H286">
        <f t="shared" si="19"/>
        <v>3.4983073113161157E-3</v>
      </c>
    </row>
    <row r="287" spans="1:8" ht="15">
      <c r="A287" s="14" t="s">
        <v>416</v>
      </c>
      <c r="B287">
        <v>0.4</v>
      </c>
      <c r="C287">
        <f>VLOOKUP(A287,'AVP Regulation (PTM &amp; Ca-cAMP'!B:K,10,FALSE)</f>
        <v>4.0470785313735072E-4</v>
      </c>
      <c r="D287">
        <f t="shared" si="16"/>
        <v>1.6188314125494029E-4</v>
      </c>
      <c r="E287">
        <f t="shared" si="17"/>
        <v>0.54181328220416436</v>
      </c>
      <c r="F287">
        <f t="shared" si="18"/>
        <v>2.9878031154271335E-4</v>
      </c>
      <c r="H287">
        <f t="shared" si="19"/>
        <v>3.4983073113161157E-3</v>
      </c>
    </row>
    <row r="288" spans="1:8">
      <c r="A288" s="15" t="s">
        <v>426</v>
      </c>
      <c r="B288">
        <v>0.4</v>
      </c>
      <c r="C288">
        <f>VLOOKUP(A288,'AVP Regulation (PTM &amp; Ca-cAMP'!B:K,10,FALSE)</f>
        <v>4.0470785313735072E-4</v>
      </c>
      <c r="D288">
        <f t="shared" si="16"/>
        <v>1.6188314125494029E-4</v>
      </c>
      <c r="E288">
        <f t="shared" si="17"/>
        <v>0.54181328220416436</v>
      </c>
      <c r="F288">
        <f t="shared" si="18"/>
        <v>2.9878031154271335E-4</v>
      </c>
      <c r="H288">
        <f t="shared" si="19"/>
        <v>3.4983073113161157E-3</v>
      </c>
    </row>
    <row r="289" spans="1:8" ht="15">
      <c r="A289" s="14" t="s">
        <v>427</v>
      </c>
      <c r="B289">
        <v>0.4</v>
      </c>
      <c r="C289">
        <f>VLOOKUP(A289,'AVP Regulation (PTM &amp; Ca-cAMP'!B:K,10,FALSE)</f>
        <v>4.0470785313735072E-4</v>
      </c>
      <c r="D289">
        <f t="shared" si="16"/>
        <v>1.6188314125494029E-4</v>
      </c>
      <c r="E289">
        <f t="shared" si="17"/>
        <v>0.54181328220416436</v>
      </c>
      <c r="F289">
        <f t="shared" si="18"/>
        <v>2.9878031154271335E-4</v>
      </c>
      <c r="H289">
        <f t="shared" si="19"/>
        <v>3.4983073113161157E-3</v>
      </c>
    </row>
    <row r="290" spans="1:8" ht="15">
      <c r="A290" s="14" t="s">
        <v>437</v>
      </c>
      <c r="B290">
        <v>0.4</v>
      </c>
      <c r="C290">
        <f>VLOOKUP(A290,'AVP Regulation (PTM &amp; Ca-cAMP'!B:K,10,FALSE)</f>
        <v>4.0470785313735072E-4</v>
      </c>
      <c r="D290">
        <f t="shared" si="16"/>
        <v>1.6188314125494029E-4</v>
      </c>
      <c r="E290">
        <f t="shared" si="17"/>
        <v>0.54181328220416436</v>
      </c>
      <c r="F290">
        <f t="shared" si="18"/>
        <v>2.9878031154271335E-4</v>
      </c>
      <c r="H290">
        <f t="shared" si="19"/>
        <v>3.4983073113161157E-3</v>
      </c>
    </row>
    <row r="291" spans="1:8" ht="15">
      <c r="A291" s="14" t="s">
        <v>439</v>
      </c>
      <c r="B291">
        <v>0.4</v>
      </c>
      <c r="C291">
        <f>VLOOKUP(A291,'AVP Regulation (PTM &amp; Ca-cAMP'!B:K,10,FALSE)</f>
        <v>4.0470785313735072E-4</v>
      </c>
      <c r="D291">
        <f t="shared" si="16"/>
        <v>1.6188314125494029E-4</v>
      </c>
      <c r="E291">
        <f t="shared" si="17"/>
        <v>0.54181328220416436</v>
      </c>
      <c r="F291">
        <f t="shared" si="18"/>
        <v>2.9878031154271335E-4</v>
      </c>
      <c r="H291">
        <f t="shared" si="19"/>
        <v>3.4983073113161157E-3</v>
      </c>
    </row>
    <row r="292" spans="1:8" ht="15">
      <c r="A292" s="14" t="s">
        <v>444</v>
      </c>
      <c r="B292">
        <v>0.4</v>
      </c>
      <c r="C292">
        <f>VLOOKUP(A292,'AVP Regulation (PTM &amp; Ca-cAMP'!B:K,10,FALSE)</f>
        <v>4.0470785313735072E-4</v>
      </c>
      <c r="D292">
        <f t="shared" si="16"/>
        <v>1.6188314125494029E-4</v>
      </c>
      <c r="E292">
        <f t="shared" si="17"/>
        <v>0.54181328220416436</v>
      </c>
      <c r="F292">
        <f t="shared" si="18"/>
        <v>2.9878031154271335E-4</v>
      </c>
      <c r="H292">
        <f t="shared" si="19"/>
        <v>3.4983073113161157E-3</v>
      </c>
    </row>
    <row r="293" spans="1:8" ht="15">
      <c r="A293" s="14" t="s">
        <v>514</v>
      </c>
      <c r="B293">
        <v>0.4</v>
      </c>
      <c r="C293">
        <f>VLOOKUP(A293,'AVP Regulation (PTM &amp; Ca-cAMP'!B:K,10,FALSE)</f>
        <v>4.0470785313735072E-4</v>
      </c>
      <c r="D293">
        <f t="shared" si="16"/>
        <v>1.6188314125494029E-4</v>
      </c>
      <c r="E293">
        <f t="shared" si="17"/>
        <v>0.54181328220416436</v>
      </c>
      <c r="F293">
        <f t="shared" si="18"/>
        <v>2.9878031154271335E-4</v>
      </c>
      <c r="H293">
        <f t="shared" si="19"/>
        <v>3.4983073113161157E-3</v>
      </c>
    </row>
    <row r="294" spans="1:8" ht="15">
      <c r="A294" s="14" t="s">
        <v>447</v>
      </c>
      <c r="B294">
        <v>0.4</v>
      </c>
      <c r="C294">
        <f>VLOOKUP(A294,'AVP Regulation (PTM &amp; Ca-cAMP'!B:K,10,FALSE)</f>
        <v>4.0470785313735072E-4</v>
      </c>
      <c r="D294">
        <f t="shared" si="16"/>
        <v>1.6188314125494029E-4</v>
      </c>
      <c r="E294">
        <f t="shared" si="17"/>
        <v>0.54181328220416436</v>
      </c>
      <c r="F294">
        <f t="shared" si="18"/>
        <v>2.9878031154271335E-4</v>
      </c>
      <c r="H294">
        <f t="shared" si="19"/>
        <v>3.4983073113161157E-3</v>
      </c>
    </row>
    <row r="295" spans="1:8" ht="15">
      <c r="A295" s="14" t="s">
        <v>454</v>
      </c>
      <c r="B295">
        <v>0.4</v>
      </c>
      <c r="C295">
        <f>VLOOKUP(A295,'AVP Regulation (PTM &amp; Ca-cAMP'!B:K,10,FALSE)</f>
        <v>4.0470785313735072E-4</v>
      </c>
      <c r="D295">
        <f t="shared" si="16"/>
        <v>1.6188314125494029E-4</v>
      </c>
      <c r="E295">
        <f t="shared" si="17"/>
        <v>0.54181328220416436</v>
      </c>
      <c r="F295">
        <f t="shared" si="18"/>
        <v>2.9878031154271335E-4</v>
      </c>
      <c r="H295">
        <f t="shared" si="19"/>
        <v>3.4983073113161157E-3</v>
      </c>
    </row>
    <row r="296" spans="1:8" ht="15">
      <c r="A296" s="14" t="s">
        <v>518</v>
      </c>
      <c r="B296">
        <v>0.4</v>
      </c>
      <c r="C296">
        <f>VLOOKUP(A296,'AVP Regulation (PTM &amp; Ca-cAMP'!B:K,10,FALSE)</f>
        <v>4.0470785313735072E-4</v>
      </c>
      <c r="D296">
        <f t="shared" si="16"/>
        <v>1.6188314125494029E-4</v>
      </c>
      <c r="E296">
        <f t="shared" si="17"/>
        <v>0.54181328220416436</v>
      </c>
      <c r="F296">
        <f t="shared" si="18"/>
        <v>2.9878031154271335E-4</v>
      </c>
      <c r="H296">
        <f t="shared" si="19"/>
        <v>3.4983073113161157E-3</v>
      </c>
    </row>
    <row r="297" spans="1:8" ht="15">
      <c r="A297" s="14" t="s">
        <v>458</v>
      </c>
      <c r="B297">
        <v>0.4</v>
      </c>
      <c r="C297">
        <f>VLOOKUP(A297,'AVP Regulation (PTM &amp; Ca-cAMP'!B:K,10,FALSE)</f>
        <v>4.0470785313735072E-4</v>
      </c>
      <c r="D297">
        <f t="shared" si="16"/>
        <v>1.6188314125494029E-4</v>
      </c>
      <c r="E297">
        <f t="shared" si="17"/>
        <v>0.54181328220416436</v>
      </c>
      <c r="F297">
        <f t="shared" si="18"/>
        <v>2.9878031154271335E-4</v>
      </c>
      <c r="H297">
        <f t="shared" si="19"/>
        <v>3.4983073113161157E-3</v>
      </c>
    </row>
    <row r="298" spans="1:8" ht="15">
      <c r="A298" s="14" t="s">
        <v>460</v>
      </c>
      <c r="B298">
        <v>0.4</v>
      </c>
      <c r="C298">
        <f>VLOOKUP(A298,'AVP Regulation (PTM &amp; Ca-cAMP'!B:K,10,FALSE)</f>
        <v>4.0470785313735072E-4</v>
      </c>
      <c r="D298">
        <f t="shared" si="16"/>
        <v>1.6188314125494029E-4</v>
      </c>
      <c r="E298">
        <f t="shared" si="17"/>
        <v>0.54181328220416436</v>
      </c>
      <c r="F298">
        <f t="shared" si="18"/>
        <v>2.9878031154271335E-4</v>
      </c>
      <c r="H298">
        <f t="shared" si="19"/>
        <v>3.4983073113161157E-3</v>
      </c>
    </row>
    <row r="299" spans="1:8" ht="15">
      <c r="A299" s="14" t="s">
        <v>464</v>
      </c>
      <c r="B299">
        <v>0.4</v>
      </c>
      <c r="C299">
        <f>VLOOKUP(A299,'AVP Regulation (PTM &amp; Ca-cAMP'!B:K,10,FALSE)</f>
        <v>4.0470785313735072E-4</v>
      </c>
      <c r="D299">
        <f t="shared" si="16"/>
        <v>1.6188314125494029E-4</v>
      </c>
      <c r="E299">
        <f t="shared" si="17"/>
        <v>0.54181328220416436</v>
      </c>
      <c r="F299">
        <f t="shared" si="18"/>
        <v>2.9878031154271335E-4</v>
      </c>
      <c r="H299">
        <f t="shared" si="19"/>
        <v>3.4983073113161157E-3</v>
      </c>
    </row>
    <row r="300" spans="1:8" ht="15">
      <c r="A300" s="14" t="s">
        <v>465</v>
      </c>
      <c r="B300">
        <v>0.4</v>
      </c>
      <c r="C300">
        <f>VLOOKUP(A300,'AVP Regulation (PTM &amp; Ca-cAMP'!B:K,10,FALSE)</f>
        <v>4.0470785313735072E-4</v>
      </c>
      <c r="D300">
        <f t="shared" si="16"/>
        <v>1.6188314125494029E-4</v>
      </c>
      <c r="E300">
        <f t="shared" si="17"/>
        <v>0.54181328220416436</v>
      </c>
      <c r="F300">
        <f t="shared" si="18"/>
        <v>2.9878031154271335E-4</v>
      </c>
      <c r="H300">
        <f t="shared" si="19"/>
        <v>3.4983073113161157E-3</v>
      </c>
    </row>
    <row r="301" spans="1:8" ht="15">
      <c r="A301" s="14" t="s">
        <v>466</v>
      </c>
      <c r="B301">
        <v>0.4</v>
      </c>
      <c r="C301">
        <f>VLOOKUP(A301,'AVP Regulation (PTM &amp; Ca-cAMP'!B:K,10,FALSE)</f>
        <v>4.0470785313735072E-4</v>
      </c>
      <c r="D301">
        <f t="shared" si="16"/>
        <v>1.6188314125494029E-4</v>
      </c>
      <c r="E301">
        <f t="shared" si="17"/>
        <v>0.54181328220416436</v>
      </c>
      <c r="F301">
        <f t="shared" si="18"/>
        <v>2.9878031154271335E-4</v>
      </c>
      <c r="H301">
        <f t="shared" si="19"/>
        <v>3.4983073113161157E-3</v>
      </c>
    </row>
    <row r="302" spans="1:8" ht="15">
      <c r="A302" s="14" t="s">
        <v>467</v>
      </c>
      <c r="B302">
        <v>0.4</v>
      </c>
      <c r="C302">
        <f>VLOOKUP(A302,'AVP Regulation (PTM &amp; Ca-cAMP'!B:K,10,FALSE)</f>
        <v>4.0470785313735072E-4</v>
      </c>
      <c r="D302">
        <f t="shared" si="16"/>
        <v>1.6188314125494029E-4</v>
      </c>
      <c r="E302">
        <f t="shared" si="17"/>
        <v>0.54181328220416436</v>
      </c>
      <c r="F302">
        <f t="shared" si="18"/>
        <v>2.9878031154271335E-4</v>
      </c>
      <c r="H302">
        <f t="shared" si="19"/>
        <v>3.4983073113161157E-3</v>
      </c>
    </row>
    <row r="303" spans="1:8" ht="15">
      <c r="A303" s="14" t="s">
        <v>469</v>
      </c>
      <c r="B303">
        <v>0.4</v>
      </c>
      <c r="C303">
        <f>VLOOKUP(A303,'AVP Regulation (PTM &amp; Ca-cAMP'!B:K,10,FALSE)</f>
        <v>4.0470785313735072E-4</v>
      </c>
      <c r="D303">
        <f t="shared" si="16"/>
        <v>1.6188314125494029E-4</v>
      </c>
      <c r="E303">
        <f t="shared" si="17"/>
        <v>0.54181328220416436</v>
      </c>
      <c r="F303">
        <f t="shared" si="18"/>
        <v>2.9878031154271335E-4</v>
      </c>
      <c r="H303">
        <f t="shared" si="19"/>
        <v>3.4983073113161157E-3</v>
      </c>
    </row>
    <row r="304" spans="1:8" ht="15">
      <c r="A304" s="14" t="s">
        <v>470</v>
      </c>
      <c r="B304">
        <v>0.4</v>
      </c>
      <c r="C304">
        <f>VLOOKUP(A304,'AVP Regulation (PTM &amp; Ca-cAMP'!B:K,10,FALSE)</f>
        <v>4.0470785313735072E-4</v>
      </c>
      <c r="D304">
        <f t="shared" si="16"/>
        <v>1.6188314125494029E-4</v>
      </c>
      <c r="E304">
        <f t="shared" si="17"/>
        <v>0.54181328220416436</v>
      </c>
      <c r="F304">
        <f t="shared" si="18"/>
        <v>2.9878031154271335E-4</v>
      </c>
      <c r="H304">
        <f t="shared" si="19"/>
        <v>3.4983073113161157E-3</v>
      </c>
    </row>
    <row r="305" spans="1:8" ht="15">
      <c r="A305" s="14" t="s">
        <v>471</v>
      </c>
      <c r="B305">
        <v>0.4</v>
      </c>
      <c r="C305">
        <f>VLOOKUP(A305,'AVP Regulation (PTM &amp; Ca-cAMP'!B:K,10,FALSE)</f>
        <v>4.0470785313735072E-4</v>
      </c>
      <c r="D305">
        <f t="shared" si="16"/>
        <v>1.6188314125494029E-4</v>
      </c>
      <c r="E305">
        <f t="shared" si="17"/>
        <v>0.54181328220416436</v>
      </c>
      <c r="F305">
        <f t="shared" si="18"/>
        <v>2.9878031154271335E-4</v>
      </c>
      <c r="H305">
        <f t="shared" si="19"/>
        <v>3.4983073113161157E-3</v>
      </c>
    </row>
    <row r="306" spans="1:8" ht="15">
      <c r="A306" s="14" t="s">
        <v>472</v>
      </c>
      <c r="B306">
        <v>0.4</v>
      </c>
      <c r="C306">
        <f>VLOOKUP(A306,'AVP Regulation (PTM &amp; Ca-cAMP'!B:K,10,FALSE)</f>
        <v>4.0470785313735072E-4</v>
      </c>
      <c r="D306">
        <f t="shared" si="16"/>
        <v>1.6188314125494029E-4</v>
      </c>
      <c r="E306">
        <f t="shared" si="17"/>
        <v>0.54181328220416436</v>
      </c>
      <c r="F306">
        <f t="shared" si="18"/>
        <v>2.9878031154271335E-4</v>
      </c>
      <c r="H306">
        <f t="shared" si="19"/>
        <v>3.4983073113161157E-3</v>
      </c>
    </row>
    <row r="307" spans="1:8" ht="15">
      <c r="A307" s="14" t="s">
        <v>473</v>
      </c>
      <c r="B307">
        <v>0.4</v>
      </c>
      <c r="C307">
        <f>VLOOKUP(A307,'AVP Regulation (PTM &amp; Ca-cAMP'!B:K,10,FALSE)</f>
        <v>4.0470785313735072E-4</v>
      </c>
      <c r="D307">
        <f t="shared" si="16"/>
        <v>1.6188314125494029E-4</v>
      </c>
      <c r="E307">
        <f t="shared" si="17"/>
        <v>0.54181328220416436</v>
      </c>
      <c r="F307">
        <f t="shared" si="18"/>
        <v>2.9878031154271335E-4</v>
      </c>
      <c r="H307">
        <f t="shared" si="19"/>
        <v>3.4983073113161157E-3</v>
      </c>
    </row>
    <row r="308" spans="1:8" ht="15">
      <c r="A308" s="14" t="s">
        <v>474</v>
      </c>
      <c r="B308">
        <v>0.4</v>
      </c>
      <c r="C308">
        <f>VLOOKUP(A308,'AVP Regulation (PTM &amp; Ca-cAMP'!B:K,10,FALSE)</f>
        <v>4.0470785313735072E-4</v>
      </c>
      <c r="D308">
        <f t="shared" si="16"/>
        <v>1.6188314125494029E-4</v>
      </c>
      <c r="E308">
        <f t="shared" si="17"/>
        <v>0.54181328220416436</v>
      </c>
      <c r="F308">
        <f t="shared" si="18"/>
        <v>2.9878031154271335E-4</v>
      </c>
      <c r="H308">
        <f t="shared" si="19"/>
        <v>3.4983073113161157E-3</v>
      </c>
    </row>
    <row r="309" spans="1:8" ht="15">
      <c r="A309" s="14" t="s">
        <v>475</v>
      </c>
      <c r="B309">
        <v>0.4</v>
      </c>
      <c r="C309">
        <f>VLOOKUP(A309,'AVP Regulation (PTM &amp; Ca-cAMP'!B:K,10,FALSE)</f>
        <v>4.0470785313735072E-4</v>
      </c>
      <c r="D309">
        <f t="shared" si="16"/>
        <v>1.6188314125494029E-4</v>
      </c>
      <c r="E309">
        <f t="shared" si="17"/>
        <v>0.54181328220416436</v>
      </c>
      <c r="F309">
        <f t="shared" si="18"/>
        <v>2.9878031154271335E-4</v>
      </c>
      <c r="H309">
        <f t="shared" si="19"/>
        <v>3.4983073113161157E-3</v>
      </c>
    </row>
    <row r="310" spans="1:8" ht="15">
      <c r="A310" s="14" t="s">
        <v>477</v>
      </c>
      <c r="B310">
        <v>0.4</v>
      </c>
      <c r="C310">
        <f>VLOOKUP(A310,'AVP Regulation (PTM &amp; Ca-cAMP'!B:K,10,FALSE)</f>
        <v>4.0470785313735072E-4</v>
      </c>
      <c r="D310">
        <f t="shared" si="16"/>
        <v>1.6188314125494029E-4</v>
      </c>
      <c r="E310">
        <f t="shared" si="17"/>
        <v>0.54181328220416436</v>
      </c>
      <c r="F310">
        <f t="shared" si="18"/>
        <v>2.9878031154271335E-4</v>
      </c>
      <c r="H310">
        <f t="shared" si="19"/>
        <v>3.4983073113161157E-3</v>
      </c>
    </row>
    <row r="311" spans="1:8" ht="15">
      <c r="A311" s="14" t="s">
        <v>480</v>
      </c>
      <c r="B311">
        <v>0.4</v>
      </c>
      <c r="C311">
        <f>VLOOKUP(A311,'AVP Regulation (PTM &amp; Ca-cAMP'!B:K,10,FALSE)</f>
        <v>4.0470785313735072E-4</v>
      </c>
      <c r="D311">
        <f t="shared" si="16"/>
        <v>1.6188314125494029E-4</v>
      </c>
      <c r="E311">
        <f t="shared" si="17"/>
        <v>0.54181328220416436</v>
      </c>
      <c r="F311">
        <f t="shared" si="18"/>
        <v>2.9878031154271335E-4</v>
      </c>
      <c r="H311">
        <f t="shared" si="19"/>
        <v>3.4983073113161157E-3</v>
      </c>
    </row>
    <row r="312" spans="1:8" ht="15">
      <c r="A312" s="14" t="s">
        <v>486</v>
      </c>
      <c r="B312">
        <v>0.4</v>
      </c>
      <c r="C312">
        <f>VLOOKUP(A312,'AVP Regulation (PTM &amp; Ca-cAMP'!B:K,10,FALSE)</f>
        <v>4.0470785313735072E-4</v>
      </c>
      <c r="D312">
        <f t="shared" si="16"/>
        <v>1.6188314125494029E-4</v>
      </c>
      <c r="E312">
        <f t="shared" si="17"/>
        <v>0.54181328220416436</v>
      </c>
      <c r="F312">
        <f t="shared" si="18"/>
        <v>2.9878031154271335E-4</v>
      </c>
      <c r="H312">
        <f t="shared" si="19"/>
        <v>3.4983073113161157E-3</v>
      </c>
    </row>
    <row r="313" spans="1:8" ht="15">
      <c r="A313" s="14" t="s">
        <v>490</v>
      </c>
      <c r="B313">
        <v>0.2</v>
      </c>
      <c r="C313">
        <f>VLOOKUP(A313,'AVP Regulation (PTM &amp; Ca-cAMP'!B:K,10,FALSE)</f>
        <v>7.6894492096096648E-4</v>
      </c>
      <c r="D313">
        <f t="shared" si="16"/>
        <v>1.5378898419219332E-4</v>
      </c>
      <c r="E313">
        <f t="shared" si="17"/>
        <v>0.54181328220416436</v>
      </c>
      <c r="F313">
        <f t="shared" si="18"/>
        <v>2.8384129596557774E-4</v>
      </c>
      <c r="H313">
        <f t="shared" si="19"/>
        <v>3.3443963666895185E-3</v>
      </c>
    </row>
    <row r="314" spans="1:8" ht="15">
      <c r="A314" s="14" t="s">
        <v>396</v>
      </c>
      <c r="B314">
        <v>0.9</v>
      </c>
      <c r="C314">
        <f>VLOOKUP(A314,'AVP Regulation (PTM &amp; Ca-cAMP'!B:K,10,FALSE)</f>
        <v>1.5378898419219332E-4</v>
      </c>
      <c r="D314">
        <f t="shared" si="16"/>
        <v>1.3841008577297398E-4</v>
      </c>
      <c r="E314">
        <f t="shared" si="17"/>
        <v>0.54181328220416436</v>
      </c>
      <c r="F314">
        <f t="shared" si="18"/>
        <v>2.5545716636901996E-4</v>
      </c>
      <c r="H314">
        <f t="shared" si="19"/>
        <v>3.0487870095513643E-3</v>
      </c>
    </row>
    <row r="315" spans="1:8" ht="15">
      <c r="A315" s="14" t="s">
        <v>361</v>
      </c>
      <c r="B315">
        <v>0.9</v>
      </c>
      <c r="C315">
        <f>VLOOKUP(A315,'AVP Regulation (PTM &amp; Ca-cAMP'!B:K,10,FALSE)</f>
        <v>1.5378898419219332E-4</v>
      </c>
      <c r="D315">
        <f t="shared" si="16"/>
        <v>1.3841008577297398E-4</v>
      </c>
      <c r="E315">
        <f t="shared" si="17"/>
        <v>0.54181328220416436</v>
      </c>
      <c r="F315">
        <f t="shared" si="18"/>
        <v>2.5545716636901996E-4</v>
      </c>
      <c r="H315">
        <f t="shared" si="19"/>
        <v>3.0487870095513643E-3</v>
      </c>
    </row>
    <row r="316" spans="1:8" ht="15">
      <c r="A316" s="14" t="s">
        <v>411</v>
      </c>
      <c r="B316">
        <v>0.9</v>
      </c>
      <c r="C316">
        <f>VLOOKUP(A316,'AVP Regulation (PTM &amp; Ca-cAMP'!B:K,10,FALSE)</f>
        <v>1.5378898419219332E-4</v>
      </c>
      <c r="D316">
        <f t="shared" si="16"/>
        <v>1.3841008577297398E-4</v>
      </c>
      <c r="E316">
        <f t="shared" si="17"/>
        <v>0.54181328220416436</v>
      </c>
      <c r="F316">
        <f t="shared" si="18"/>
        <v>2.5545716636901996E-4</v>
      </c>
      <c r="H316">
        <f t="shared" si="19"/>
        <v>3.0487870095513643E-3</v>
      </c>
    </row>
    <row r="317" spans="1:8" ht="15">
      <c r="A317" s="14" t="s">
        <v>107</v>
      </c>
      <c r="B317">
        <v>0.9</v>
      </c>
      <c r="C317">
        <f>VLOOKUP(A317,'AVP Regulation (PTM &amp; Ca-cAMP'!B:K,10,FALSE)</f>
        <v>1.5378898419219332E-4</v>
      </c>
      <c r="D317">
        <f t="shared" si="16"/>
        <v>1.3841008577297398E-4</v>
      </c>
      <c r="E317">
        <f t="shared" si="17"/>
        <v>0.54181328220416436</v>
      </c>
      <c r="F317">
        <f t="shared" si="18"/>
        <v>2.5545716636901996E-4</v>
      </c>
      <c r="H317">
        <f t="shared" si="19"/>
        <v>3.0487870095513643E-3</v>
      </c>
    </row>
    <row r="318" spans="1:8" ht="15">
      <c r="A318" s="14" t="s">
        <v>397</v>
      </c>
      <c r="B318">
        <v>0.8</v>
      </c>
      <c r="C318">
        <f>VLOOKUP(A318,'AVP Regulation (PTM &amp; Ca-cAMP'!B:K,10,FALSE)</f>
        <v>1.5378898419219332E-4</v>
      </c>
      <c r="D318">
        <f t="shared" si="16"/>
        <v>1.2303118735375467E-4</v>
      </c>
      <c r="E318">
        <f t="shared" si="17"/>
        <v>0.54181328220416436</v>
      </c>
      <c r="F318">
        <f t="shared" si="18"/>
        <v>2.2707303677246224E-4</v>
      </c>
      <c r="H318">
        <f t="shared" si="19"/>
        <v>2.7486182834800623E-3</v>
      </c>
    </row>
    <row r="319" spans="1:8" ht="15">
      <c r="A319" s="14" t="s">
        <v>372</v>
      </c>
      <c r="B319">
        <v>0.8</v>
      </c>
      <c r="C319">
        <f>VLOOKUP(A319,'AVP Regulation (PTM &amp; Ca-cAMP'!B:K,10,FALSE)</f>
        <v>1.5378898419219332E-4</v>
      </c>
      <c r="D319">
        <f t="shared" si="16"/>
        <v>1.2303118735375467E-4</v>
      </c>
      <c r="E319">
        <f t="shared" si="17"/>
        <v>0.54181328220416436</v>
      </c>
      <c r="F319">
        <f t="shared" si="18"/>
        <v>2.2707303677246224E-4</v>
      </c>
      <c r="H319">
        <f t="shared" si="19"/>
        <v>2.7486182834800623E-3</v>
      </c>
    </row>
    <row r="320" spans="1:8" ht="15">
      <c r="A320" s="14" t="s">
        <v>376</v>
      </c>
      <c r="B320">
        <v>0.8</v>
      </c>
      <c r="C320">
        <f>VLOOKUP(A320,'AVP Regulation (PTM &amp; Ca-cAMP'!B:K,10,FALSE)</f>
        <v>1.5378898419219332E-4</v>
      </c>
      <c r="D320">
        <f t="shared" si="16"/>
        <v>1.2303118735375467E-4</v>
      </c>
      <c r="E320">
        <f t="shared" si="17"/>
        <v>0.54181328220416436</v>
      </c>
      <c r="F320">
        <f t="shared" si="18"/>
        <v>2.2707303677246224E-4</v>
      </c>
      <c r="H320">
        <f t="shared" si="19"/>
        <v>2.7486182834800623E-3</v>
      </c>
    </row>
    <row r="321" spans="1:8" ht="15">
      <c r="A321" s="14" t="s">
        <v>268</v>
      </c>
      <c r="B321">
        <v>0.6</v>
      </c>
      <c r="C321">
        <f>VLOOKUP(A321,'AVP Regulation (PTM &amp; Ca-cAMP'!B:K,10,FALSE)</f>
        <v>1.8454678103063197E-4</v>
      </c>
      <c r="D321">
        <f t="shared" si="16"/>
        <v>1.1072806861837917E-4</v>
      </c>
      <c r="E321">
        <f t="shared" si="17"/>
        <v>0.54181328220416436</v>
      </c>
      <c r="F321">
        <f t="shared" si="18"/>
        <v>2.0436573309521593E-4</v>
      </c>
      <c r="H321">
        <f t="shared" si="19"/>
        <v>2.5048206787566933E-3</v>
      </c>
    </row>
    <row r="322" spans="1:8" ht="15">
      <c r="A322" s="14" t="s">
        <v>390</v>
      </c>
      <c r="B322">
        <v>0.7</v>
      </c>
      <c r="C322">
        <f>VLOOKUP(A322,'AVP Regulation (PTM &amp; Ca-cAMP'!B:K,10,FALSE)</f>
        <v>1.5378898419219332E-4</v>
      </c>
      <c r="D322">
        <f t="shared" ref="D322:D385" si="20">C322*B322</f>
        <v>1.0765228893453532E-4</v>
      </c>
      <c r="E322">
        <f t="shared" ref="E322:E385" si="21">SUM($D$2:$D$522)</f>
        <v>0.54181328220416436</v>
      </c>
      <c r="F322">
        <f t="shared" ref="F322:F385" si="22">D322/E322</f>
        <v>1.9868890717590442E-4</v>
      </c>
      <c r="H322">
        <f t="shared" si="19"/>
        <v>2.4433174380542456E-3</v>
      </c>
    </row>
    <row r="323" spans="1:8" ht="15">
      <c r="A323" s="14" t="s">
        <v>356</v>
      </c>
      <c r="B323">
        <v>0.7</v>
      </c>
      <c r="C323">
        <f>VLOOKUP(A323,'AVP Regulation (PTM &amp; Ca-cAMP'!B:K,10,FALSE)</f>
        <v>1.5378898419219332E-4</v>
      </c>
      <c r="D323">
        <f t="shared" si="20"/>
        <v>1.0765228893453532E-4</v>
      </c>
      <c r="E323">
        <f t="shared" si="21"/>
        <v>0.54181328220416436</v>
      </c>
      <c r="F323">
        <f t="shared" si="22"/>
        <v>1.9868890717590442E-4</v>
      </c>
      <c r="H323">
        <f t="shared" ref="H323:H386" si="23">-F323*LOG(F323,2)</f>
        <v>2.4433174380542456E-3</v>
      </c>
    </row>
    <row r="324" spans="1:8" ht="15">
      <c r="A324" s="14" t="s">
        <v>325</v>
      </c>
      <c r="B324">
        <v>0.7</v>
      </c>
      <c r="C324">
        <f>VLOOKUP(A324,'AVP Regulation (PTM &amp; Ca-cAMP'!B:K,10,FALSE)</f>
        <v>1.5378898419219332E-4</v>
      </c>
      <c r="D324">
        <f t="shared" si="20"/>
        <v>1.0765228893453532E-4</v>
      </c>
      <c r="E324">
        <f t="shared" si="21"/>
        <v>0.54181328220416436</v>
      </c>
      <c r="F324">
        <f t="shared" si="22"/>
        <v>1.9868890717590442E-4</v>
      </c>
      <c r="H324">
        <f t="shared" si="23"/>
        <v>2.4433174380542456E-3</v>
      </c>
    </row>
    <row r="325" spans="1:8" ht="15">
      <c r="A325" s="14" t="s">
        <v>63</v>
      </c>
      <c r="B325">
        <v>0.9</v>
      </c>
      <c r="C325">
        <f>VLOOKUP(A325,'AVP Regulation (PTM &amp; Ca-cAMP'!B:K,10,FALSE)</f>
        <v>1.1687962798606687E-4</v>
      </c>
      <c r="D325">
        <f t="shared" si="20"/>
        <v>1.0519166518746018E-4</v>
      </c>
      <c r="E325">
        <f t="shared" si="21"/>
        <v>0.54181328220416436</v>
      </c>
      <c r="F325">
        <f t="shared" si="22"/>
        <v>1.9414744644045509E-4</v>
      </c>
      <c r="H325">
        <f t="shared" si="23"/>
        <v>2.393946668741276E-3</v>
      </c>
    </row>
    <row r="326" spans="1:8">
      <c r="A326" s="15" t="s">
        <v>139</v>
      </c>
      <c r="B326">
        <v>0.4</v>
      </c>
      <c r="C326">
        <f>VLOOKUP(A326,'AVP Regulation (PTM &amp; Ca-cAMP'!B:K,10,FALSE)</f>
        <v>2.4282471188241043E-4</v>
      </c>
      <c r="D326">
        <f t="shared" si="20"/>
        <v>9.7129884752964181E-5</v>
      </c>
      <c r="E326">
        <f t="shared" si="21"/>
        <v>0.54181328220416436</v>
      </c>
      <c r="F326">
        <f t="shared" si="22"/>
        <v>1.7926818692562803E-4</v>
      </c>
      <c r="H326">
        <f t="shared" si="23"/>
        <v>2.2310988726824132E-3</v>
      </c>
    </row>
    <row r="327" spans="1:8" ht="15">
      <c r="A327" s="14" t="s">
        <v>145</v>
      </c>
      <c r="B327">
        <v>0.4</v>
      </c>
      <c r="C327">
        <f>VLOOKUP(A327,'AVP Regulation (PTM &amp; Ca-cAMP'!B:K,10,FALSE)</f>
        <v>2.4282471188241043E-4</v>
      </c>
      <c r="D327">
        <f t="shared" si="20"/>
        <v>9.7129884752964181E-5</v>
      </c>
      <c r="E327">
        <f t="shared" si="21"/>
        <v>0.54181328220416436</v>
      </c>
      <c r="F327">
        <f t="shared" si="22"/>
        <v>1.7926818692562803E-4</v>
      </c>
      <c r="H327">
        <f t="shared" si="23"/>
        <v>2.2310988726824132E-3</v>
      </c>
    </row>
    <row r="328" spans="1:8" ht="15">
      <c r="A328" s="14" t="s">
        <v>278</v>
      </c>
      <c r="B328">
        <v>0.4</v>
      </c>
      <c r="C328">
        <f>VLOOKUP(A328,'AVP Regulation (PTM &amp; Ca-cAMP'!B:K,10,FALSE)</f>
        <v>2.4282471188241043E-4</v>
      </c>
      <c r="D328">
        <f t="shared" si="20"/>
        <v>9.7129884752964181E-5</v>
      </c>
      <c r="E328">
        <f t="shared" si="21"/>
        <v>0.54181328220416436</v>
      </c>
      <c r="F328">
        <f t="shared" si="22"/>
        <v>1.7926818692562803E-4</v>
      </c>
      <c r="H328">
        <f t="shared" si="23"/>
        <v>2.2310988726824132E-3</v>
      </c>
    </row>
    <row r="329" spans="1:8" ht="15">
      <c r="A329" s="14" t="s">
        <v>301</v>
      </c>
      <c r="B329">
        <v>0.4</v>
      </c>
      <c r="C329">
        <f>VLOOKUP(A329,'AVP Regulation (PTM &amp; Ca-cAMP'!B:K,10,FALSE)</f>
        <v>2.4282471188241043E-4</v>
      </c>
      <c r="D329">
        <f t="shared" si="20"/>
        <v>9.7129884752964181E-5</v>
      </c>
      <c r="E329">
        <f t="shared" si="21"/>
        <v>0.54181328220416436</v>
      </c>
      <c r="F329">
        <f t="shared" si="22"/>
        <v>1.7926818692562803E-4</v>
      </c>
      <c r="H329">
        <f t="shared" si="23"/>
        <v>2.2310988726824132E-3</v>
      </c>
    </row>
    <row r="330" spans="1:8" ht="15">
      <c r="A330" s="14" t="s">
        <v>312</v>
      </c>
      <c r="B330">
        <v>0.4</v>
      </c>
      <c r="C330">
        <f>VLOOKUP(A330,'AVP Regulation (PTM &amp; Ca-cAMP'!B:K,10,FALSE)</f>
        <v>2.4282471188241043E-4</v>
      </c>
      <c r="D330">
        <f t="shared" si="20"/>
        <v>9.7129884752964181E-5</v>
      </c>
      <c r="E330">
        <f t="shared" si="21"/>
        <v>0.54181328220416436</v>
      </c>
      <c r="F330">
        <f t="shared" si="22"/>
        <v>1.7926818692562803E-4</v>
      </c>
      <c r="H330">
        <f t="shared" si="23"/>
        <v>2.2310988726824132E-3</v>
      </c>
    </row>
    <row r="331" spans="1:8" ht="15">
      <c r="A331" s="14" t="s">
        <v>313</v>
      </c>
      <c r="B331">
        <v>0.4</v>
      </c>
      <c r="C331">
        <f>VLOOKUP(A331,'AVP Regulation (PTM &amp; Ca-cAMP'!B:K,10,FALSE)</f>
        <v>2.4282471188241043E-4</v>
      </c>
      <c r="D331">
        <f t="shared" si="20"/>
        <v>9.7129884752964181E-5</v>
      </c>
      <c r="E331">
        <f t="shared" si="21"/>
        <v>0.54181328220416436</v>
      </c>
      <c r="F331">
        <f t="shared" si="22"/>
        <v>1.7926818692562803E-4</v>
      </c>
      <c r="H331">
        <f t="shared" si="23"/>
        <v>2.2310988726824132E-3</v>
      </c>
    </row>
    <row r="332" spans="1:8" ht="15">
      <c r="A332" s="14" t="s">
        <v>241</v>
      </c>
      <c r="B332">
        <v>0.4</v>
      </c>
      <c r="C332">
        <f>VLOOKUP(A332,'AVP Regulation (PTM &amp; Ca-cAMP'!B:K,10,FALSE)</f>
        <v>2.4282471188241043E-4</v>
      </c>
      <c r="D332">
        <f t="shared" si="20"/>
        <v>9.7129884752964181E-5</v>
      </c>
      <c r="E332">
        <f t="shared" si="21"/>
        <v>0.54181328220416436</v>
      </c>
      <c r="F332">
        <f t="shared" si="22"/>
        <v>1.7926818692562803E-4</v>
      </c>
      <c r="H332">
        <f t="shared" si="23"/>
        <v>2.2310988726824132E-3</v>
      </c>
    </row>
    <row r="333" spans="1:8" ht="15">
      <c r="A333" s="14" t="s">
        <v>261</v>
      </c>
      <c r="B333">
        <v>0.4</v>
      </c>
      <c r="C333">
        <f>VLOOKUP(A333,'AVP Regulation (PTM &amp; Ca-cAMP'!B:K,10,FALSE)</f>
        <v>2.4282471188241043E-4</v>
      </c>
      <c r="D333">
        <f t="shared" si="20"/>
        <v>9.7129884752964181E-5</v>
      </c>
      <c r="E333">
        <f t="shared" si="21"/>
        <v>0.54181328220416436</v>
      </c>
      <c r="F333">
        <f t="shared" si="22"/>
        <v>1.7926818692562803E-4</v>
      </c>
      <c r="H333">
        <f t="shared" si="23"/>
        <v>2.2310988726824132E-3</v>
      </c>
    </row>
    <row r="334" spans="1:8" ht="15">
      <c r="A334" s="14" t="s">
        <v>216</v>
      </c>
      <c r="B334">
        <v>0.4</v>
      </c>
      <c r="C334">
        <f>VLOOKUP(A334,'AVP Regulation (PTM &amp; Ca-cAMP'!B:K,10,FALSE)</f>
        <v>2.4282471188241043E-4</v>
      </c>
      <c r="D334">
        <f t="shared" si="20"/>
        <v>9.7129884752964181E-5</v>
      </c>
      <c r="E334">
        <f t="shared" si="21"/>
        <v>0.54181328220416436</v>
      </c>
      <c r="F334">
        <f t="shared" si="22"/>
        <v>1.7926818692562803E-4</v>
      </c>
      <c r="H334">
        <f t="shared" si="23"/>
        <v>2.2310988726824132E-3</v>
      </c>
    </row>
    <row r="335" spans="1:8" ht="15">
      <c r="A335" s="14" t="s">
        <v>221</v>
      </c>
      <c r="B335">
        <v>0.4</v>
      </c>
      <c r="C335">
        <f>VLOOKUP(A335,'AVP Regulation (PTM &amp; Ca-cAMP'!B:K,10,FALSE)</f>
        <v>2.4282471188241043E-4</v>
      </c>
      <c r="D335">
        <f t="shared" si="20"/>
        <v>9.7129884752964181E-5</v>
      </c>
      <c r="E335">
        <f t="shared" si="21"/>
        <v>0.54181328220416436</v>
      </c>
      <c r="F335">
        <f t="shared" si="22"/>
        <v>1.7926818692562803E-4</v>
      </c>
      <c r="H335">
        <f t="shared" si="23"/>
        <v>2.2310988726824132E-3</v>
      </c>
    </row>
    <row r="336" spans="1:8" ht="15">
      <c r="A336" s="14" t="s">
        <v>286</v>
      </c>
      <c r="B336">
        <v>0.4</v>
      </c>
      <c r="C336">
        <f>VLOOKUP(A336,'AVP Regulation (PTM &amp; Ca-cAMP'!B:K,10,FALSE)</f>
        <v>2.4282471188241043E-4</v>
      </c>
      <c r="D336">
        <f t="shared" si="20"/>
        <v>9.7129884752964181E-5</v>
      </c>
      <c r="E336">
        <f t="shared" si="21"/>
        <v>0.54181328220416436</v>
      </c>
      <c r="F336">
        <f t="shared" si="22"/>
        <v>1.7926818692562803E-4</v>
      </c>
      <c r="H336">
        <f t="shared" si="23"/>
        <v>2.2310988726824132E-3</v>
      </c>
    </row>
    <row r="337" spans="1:8" ht="15">
      <c r="A337" s="14" t="s">
        <v>288</v>
      </c>
      <c r="B337">
        <v>0.4</v>
      </c>
      <c r="C337">
        <f>VLOOKUP(A337,'AVP Regulation (PTM &amp; Ca-cAMP'!B:K,10,FALSE)</f>
        <v>2.4282471188241043E-4</v>
      </c>
      <c r="D337">
        <f t="shared" si="20"/>
        <v>9.7129884752964181E-5</v>
      </c>
      <c r="E337">
        <f t="shared" si="21"/>
        <v>0.54181328220416436</v>
      </c>
      <c r="F337">
        <f t="shared" si="22"/>
        <v>1.7926818692562803E-4</v>
      </c>
      <c r="H337">
        <f t="shared" si="23"/>
        <v>2.2310988726824132E-3</v>
      </c>
    </row>
    <row r="338" spans="1:8" ht="15">
      <c r="A338" s="14" t="s">
        <v>290</v>
      </c>
      <c r="B338">
        <v>0.4</v>
      </c>
      <c r="C338">
        <f>VLOOKUP(A338,'AVP Regulation (PTM &amp; Ca-cAMP'!B:K,10,FALSE)</f>
        <v>2.4282471188241043E-4</v>
      </c>
      <c r="D338">
        <f t="shared" si="20"/>
        <v>9.7129884752964181E-5</v>
      </c>
      <c r="E338">
        <f t="shared" si="21"/>
        <v>0.54181328220416436</v>
      </c>
      <c r="F338">
        <f t="shared" si="22"/>
        <v>1.7926818692562803E-4</v>
      </c>
      <c r="H338">
        <f t="shared" si="23"/>
        <v>2.2310988726824132E-3</v>
      </c>
    </row>
    <row r="339" spans="1:8" ht="15">
      <c r="A339" s="14" t="s">
        <v>291</v>
      </c>
      <c r="B339">
        <v>0.4</v>
      </c>
      <c r="C339">
        <f>VLOOKUP(A339,'AVP Regulation (PTM &amp; Ca-cAMP'!B:K,10,FALSE)</f>
        <v>2.4282471188241043E-4</v>
      </c>
      <c r="D339">
        <f t="shared" si="20"/>
        <v>9.7129884752964181E-5</v>
      </c>
      <c r="E339">
        <f t="shared" si="21"/>
        <v>0.54181328220416436</v>
      </c>
      <c r="F339">
        <f t="shared" si="22"/>
        <v>1.7926818692562803E-4</v>
      </c>
      <c r="H339">
        <f t="shared" si="23"/>
        <v>2.2310988726824132E-3</v>
      </c>
    </row>
    <row r="340" spans="1:8" ht="15">
      <c r="A340" s="14" t="s">
        <v>292</v>
      </c>
      <c r="B340">
        <v>0.4</v>
      </c>
      <c r="C340">
        <f>VLOOKUP(A340,'AVP Regulation (PTM &amp; Ca-cAMP'!B:K,10,FALSE)</f>
        <v>2.4282471188241043E-4</v>
      </c>
      <c r="D340">
        <f t="shared" si="20"/>
        <v>9.7129884752964181E-5</v>
      </c>
      <c r="E340">
        <f t="shared" si="21"/>
        <v>0.54181328220416436</v>
      </c>
      <c r="F340">
        <f t="shared" si="22"/>
        <v>1.7926818692562803E-4</v>
      </c>
      <c r="H340">
        <f t="shared" si="23"/>
        <v>2.2310988726824132E-3</v>
      </c>
    </row>
    <row r="341" spans="1:8" ht="15">
      <c r="A341" s="14" t="s">
        <v>293</v>
      </c>
      <c r="B341">
        <v>0.4</v>
      </c>
      <c r="C341">
        <f>VLOOKUP(A341,'AVP Regulation (PTM &amp; Ca-cAMP'!B:K,10,FALSE)</f>
        <v>2.4282471188241043E-4</v>
      </c>
      <c r="D341">
        <f t="shared" si="20"/>
        <v>9.7129884752964181E-5</v>
      </c>
      <c r="E341">
        <f t="shared" si="21"/>
        <v>0.54181328220416436</v>
      </c>
      <c r="F341">
        <f t="shared" si="22"/>
        <v>1.7926818692562803E-4</v>
      </c>
      <c r="H341">
        <f t="shared" si="23"/>
        <v>2.2310988726824132E-3</v>
      </c>
    </row>
    <row r="342" spans="1:8" ht="15">
      <c r="A342" s="14" t="s">
        <v>302</v>
      </c>
      <c r="B342">
        <v>0.4</v>
      </c>
      <c r="C342">
        <f>VLOOKUP(A342,'AVP Regulation (PTM &amp; Ca-cAMP'!B:K,10,FALSE)</f>
        <v>2.4282471188241043E-4</v>
      </c>
      <c r="D342">
        <f t="shared" si="20"/>
        <v>9.7129884752964181E-5</v>
      </c>
      <c r="E342">
        <f t="shared" si="21"/>
        <v>0.54181328220416436</v>
      </c>
      <c r="F342">
        <f t="shared" si="22"/>
        <v>1.7926818692562803E-4</v>
      </c>
      <c r="H342">
        <f t="shared" si="23"/>
        <v>2.2310988726824132E-3</v>
      </c>
    </row>
    <row r="343" spans="1:8" ht="15">
      <c r="A343" s="14" t="s">
        <v>305</v>
      </c>
      <c r="B343">
        <v>0.4</v>
      </c>
      <c r="C343">
        <f>VLOOKUP(A343,'AVP Regulation (PTM &amp; Ca-cAMP'!B:K,10,FALSE)</f>
        <v>2.4282471188241043E-4</v>
      </c>
      <c r="D343">
        <f t="shared" si="20"/>
        <v>9.7129884752964181E-5</v>
      </c>
      <c r="E343">
        <f t="shared" si="21"/>
        <v>0.54181328220416436</v>
      </c>
      <c r="F343">
        <f t="shared" si="22"/>
        <v>1.7926818692562803E-4</v>
      </c>
      <c r="H343">
        <f t="shared" si="23"/>
        <v>2.2310988726824132E-3</v>
      </c>
    </row>
    <row r="344" spans="1:8" ht="15">
      <c r="A344" s="14" t="s">
        <v>244</v>
      </c>
      <c r="B344">
        <v>0.4</v>
      </c>
      <c r="C344">
        <f>VLOOKUP(A344,'AVP Regulation (PTM &amp; Ca-cAMP'!B:K,10,FALSE)</f>
        <v>2.4282471188241043E-4</v>
      </c>
      <c r="D344">
        <f t="shared" si="20"/>
        <v>9.7129884752964181E-5</v>
      </c>
      <c r="E344">
        <f t="shared" si="21"/>
        <v>0.54181328220416436</v>
      </c>
      <c r="F344">
        <f t="shared" si="22"/>
        <v>1.7926818692562803E-4</v>
      </c>
      <c r="H344">
        <f t="shared" si="23"/>
        <v>2.2310988726824132E-3</v>
      </c>
    </row>
    <row r="345" spans="1:8" ht="15">
      <c r="A345" s="14" t="s">
        <v>249</v>
      </c>
      <c r="B345">
        <v>0.4</v>
      </c>
      <c r="C345">
        <f>VLOOKUP(A345,'AVP Regulation (PTM &amp; Ca-cAMP'!B:K,10,FALSE)</f>
        <v>2.4282471188241043E-4</v>
      </c>
      <c r="D345">
        <f t="shared" si="20"/>
        <v>9.7129884752964181E-5</v>
      </c>
      <c r="E345">
        <f t="shared" si="21"/>
        <v>0.54181328220416436</v>
      </c>
      <c r="F345">
        <f t="shared" si="22"/>
        <v>1.7926818692562803E-4</v>
      </c>
      <c r="H345">
        <f t="shared" si="23"/>
        <v>2.2310988726824132E-3</v>
      </c>
    </row>
    <row r="346" spans="1:8" ht="15">
      <c r="A346" s="14" t="s">
        <v>259</v>
      </c>
      <c r="B346">
        <v>0.4</v>
      </c>
      <c r="C346">
        <f>VLOOKUP(A346,'AVP Regulation (PTM &amp; Ca-cAMP'!B:K,10,FALSE)</f>
        <v>2.4282471188241043E-4</v>
      </c>
      <c r="D346">
        <f t="shared" si="20"/>
        <v>9.7129884752964181E-5</v>
      </c>
      <c r="E346">
        <f t="shared" si="21"/>
        <v>0.54181328220416436</v>
      </c>
      <c r="F346">
        <f t="shared" si="22"/>
        <v>1.7926818692562803E-4</v>
      </c>
      <c r="H346">
        <f t="shared" si="23"/>
        <v>2.2310988726824132E-3</v>
      </c>
    </row>
    <row r="347" spans="1:8" ht="15">
      <c r="A347" s="14" t="s">
        <v>260</v>
      </c>
      <c r="B347">
        <v>0.4</v>
      </c>
      <c r="C347">
        <f>VLOOKUP(A347,'AVP Regulation (PTM &amp; Ca-cAMP'!B:K,10,FALSE)</f>
        <v>2.4282471188241043E-4</v>
      </c>
      <c r="D347">
        <f t="shared" si="20"/>
        <v>9.7129884752964181E-5</v>
      </c>
      <c r="E347">
        <f t="shared" si="21"/>
        <v>0.54181328220416436</v>
      </c>
      <c r="F347">
        <f t="shared" si="22"/>
        <v>1.7926818692562803E-4</v>
      </c>
      <c r="H347">
        <f t="shared" si="23"/>
        <v>2.2310988726824132E-3</v>
      </c>
    </row>
    <row r="348" spans="1:8" ht="15">
      <c r="A348" s="14" t="s">
        <v>271</v>
      </c>
      <c r="B348">
        <v>0.4</v>
      </c>
      <c r="C348">
        <f>VLOOKUP(A348,'AVP Regulation (PTM &amp; Ca-cAMP'!B:K,10,FALSE)</f>
        <v>2.4282471188241043E-4</v>
      </c>
      <c r="D348">
        <f t="shared" si="20"/>
        <v>9.7129884752964181E-5</v>
      </c>
      <c r="E348">
        <f t="shared" si="21"/>
        <v>0.54181328220416436</v>
      </c>
      <c r="F348">
        <f t="shared" si="22"/>
        <v>1.7926818692562803E-4</v>
      </c>
      <c r="H348">
        <f t="shared" si="23"/>
        <v>2.2310988726824132E-3</v>
      </c>
    </row>
    <row r="349" spans="1:8" ht="15">
      <c r="A349" s="14" t="s">
        <v>280</v>
      </c>
      <c r="B349">
        <v>0.4</v>
      </c>
      <c r="C349">
        <f>VLOOKUP(A349,'AVP Regulation (PTM &amp; Ca-cAMP'!B:K,10,FALSE)</f>
        <v>2.4282471188241043E-4</v>
      </c>
      <c r="D349">
        <f t="shared" si="20"/>
        <v>9.7129884752964181E-5</v>
      </c>
      <c r="E349">
        <f t="shared" si="21"/>
        <v>0.54181328220416436</v>
      </c>
      <c r="F349">
        <f t="shared" si="22"/>
        <v>1.7926818692562803E-4</v>
      </c>
      <c r="H349">
        <f t="shared" si="23"/>
        <v>2.2310988726824132E-3</v>
      </c>
    </row>
    <row r="350" spans="1:8" ht="15">
      <c r="A350" s="14" t="s">
        <v>281</v>
      </c>
      <c r="B350">
        <v>0.4</v>
      </c>
      <c r="C350">
        <f>VLOOKUP(A350,'AVP Regulation (PTM &amp; Ca-cAMP'!B:K,10,FALSE)</f>
        <v>2.4282471188241043E-4</v>
      </c>
      <c r="D350">
        <f t="shared" si="20"/>
        <v>9.7129884752964181E-5</v>
      </c>
      <c r="E350">
        <f t="shared" si="21"/>
        <v>0.54181328220416436</v>
      </c>
      <c r="F350">
        <f t="shared" si="22"/>
        <v>1.7926818692562803E-4</v>
      </c>
      <c r="H350">
        <f t="shared" si="23"/>
        <v>2.2310988726824132E-3</v>
      </c>
    </row>
    <row r="351" spans="1:8" ht="15">
      <c r="A351" s="14" t="s">
        <v>319</v>
      </c>
      <c r="B351">
        <v>0.4</v>
      </c>
      <c r="C351">
        <f>VLOOKUP(A351,'AVP Regulation (PTM &amp; Ca-cAMP'!B:K,10,FALSE)</f>
        <v>2.4282471188241043E-4</v>
      </c>
      <c r="D351">
        <f t="shared" si="20"/>
        <v>9.7129884752964181E-5</v>
      </c>
      <c r="E351">
        <f t="shared" si="21"/>
        <v>0.54181328220416436</v>
      </c>
      <c r="F351">
        <f t="shared" si="22"/>
        <v>1.7926818692562803E-4</v>
      </c>
      <c r="H351">
        <f t="shared" si="23"/>
        <v>2.2310988726824132E-3</v>
      </c>
    </row>
    <row r="352" spans="1:8" ht="15">
      <c r="A352" s="14" t="s">
        <v>380</v>
      </c>
      <c r="B352">
        <v>0.6</v>
      </c>
      <c r="C352">
        <f>VLOOKUP(A352,'AVP Regulation (PTM &amp; Ca-cAMP'!B:K,10,FALSE)</f>
        <v>1.5378898419219332E-4</v>
      </c>
      <c r="D352">
        <f t="shared" si="20"/>
        <v>9.2273390515315983E-5</v>
      </c>
      <c r="E352">
        <f t="shared" si="21"/>
        <v>0.54181328220416436</v>
      </c>
      <c r="F352">
        <f t="shared" si="22"/>
        <v>1.7030477757934664E-4</v>
      </c>
      <c r="H352">
        <f t="shared" si="23"/>
        <v>2.1321465816118179E-3</v>
      </c>
    </row>
    <row r="353" spans="1:8" ht="15">
      <c r="A353" s="14" t="s">
        <v>85</v>
      </c>
      <c r="B353">
        <v>0.6</v>
      </c>
      <c r="C353">
        <f>VLOOKUP(A353,'AVP Regulation (PTM &amp; Ca-cAMP'!B:K,10,FALSE)</f>
        <v>1.5378898419219332E-4</v>
      </c>
      <c r="D353">
        <f t="shared" si="20"/>
        <v>9.2273390515315983E-5</v>
      </c>
      <c r="E353">
        <f t="shared" si="21"/>
        <v>0.54181328220416436</v>
      </c>
      <c r="F353">
        <f t="shared" si="22"/>
        <v>1.7030477757934664E-4</v>
      </c>
      <c r="H353">
        <f t="shared" si="23"/>
        <v>2.1321465816118179E-3</v>
      </c>
    </row>
    <row r="354" spans="1:8" ht="15">
      <c r="A354" s="14" t="s">
        <v>379</v>
      </c>
      <c r="B354">
        <v>0.6</v>
      </c>
      <c r="C354">
        <f>VLOOKUP(A354,'AVP Regulation (PTM &amp; Ca-cAMP'!B:K,10,FALSE)</f>
        <v>1.5378898419219332E-4</v>
      </c>
      <c r="D354">
        <f t="shared" si="20"/>
        <v>9.2273390515315983E-5</v>
      </c>
      <c r="E354">
        <f t="shared" si="21"/>
        <v>0.54181328220416436</v>
      </c>
      <c r="F354">
        <f t="shared" si="22"/>
        <v>1.7030477757934664E-4</v>
      </c>
      <c r="H354">
        <f t="shared" si="23"/>
        <v>2.1321465816118179E-3</v>
      </c>
    </row>
    <row r="355" spans="1:8" ht="15">
      <c r="A355" s="14" t="s">
        <v>349</v>
      </c>
      <c r="B355">
        <v>0.6</v>
      </c>
      <c r="C355">
        <f>VLOOKUP(A355,'AVP Regulation (PTM &amp; Ca-cAMP'!B:K,10,FALSE)</f>
        <v>1.5378898419219332E-4</v>
      </c>
      <c r="D355">
        <f t="shared" si="20"/>
        <v>9.2273390515315983E-5</v>
      </c>
      <c r="E355">
        <f t="shared" si="21"/>
        <v>0.54181328220416436</v>
      </c>
      <c r="F355">
        <f t="shared" si="22"/>
        <v>1.7030477757934664E-4</v>
      </c>
      <c r="H355">
        <f t="shared" si="23"/>
        <v>2.1321465816118179E-3</v>
      </c>
    </row>
    <row r="356" spans="1:8" ht="15">
      <c r="A356" s="14" t="s">
        <v>225</v>
      </c>
      <c r="B356">
        <v>0.6</v>
      </c>
      <c r="C356">
        <f>VLOOKUP(A356,'AVP Regulation (PTM &amp; Ca-cAMP'!B:K,10,FALSE)</f>
        <v>1.5378898419219332E-4</v>
      </c>
      <c r="D356">
        <f t="shared" si="20"/>
        <v>9.2273390515315983E-5</v>
      </c>
      <c r="E356">
        <f t="shared" si="21"/>
        <v>0.54181328220416436</v>
      </c>
      <c r="F356">
        <f t="shared" si="22"/>
        <v>1.7030477757934664E-4</v>
      </c>
      <c r="H356">
        <f t="shared" si="23"/>
        <v>2.1321465816118179E-3</v>
      </c>
    </row>
    <row r="357" spans="1:8" ht="15">
      <c r="A357" s="14" t="s">
        <v>47</v>
      </c>
      <c r="B357">
        <v>0.6</v>
      </c>
      <c r="C357">
        <f>VLOOKUP(A357,'AVP Regulation (PTM &amp; Ca-cAMP'!B:K,10,FALSE)</f>
        <v>1.5378898419219332E-4</v>
      </c>
      <c r="D357">
        <f t="shared" si="20"/>
        <v>9.2273390515315983E-5</v>
      </c>
      <c r="E357">
        <f t="shared" si="21"/>
        <v>0.54181328220416436</v>
      </c>
      <c r="F357">
        <f t="shared" si="22"/>
        <v>1.7030477757934664E-4</v>
      </c>
      <c r="H357">
        <f t="shared" si="23"/>
        <v>2.1321465816118179E-3</v>
      </c>
    </row>
    <row r="358" spans="1:8" ht="15">
      <c r="A358" s="14" t="s">
        <v>352</v>
      </c>
      <c r="B358">
        <v>0.6</v>
      </c>
      <c r="C358">
        <f>VLOOKUP(A358,'AVP Regulation (PTM &amp; Ca-cAMP'!B:K,10,FALSE)</f>
        <v>1.5378898419219332E-4</v>
      </c>
      <c r="D358">
        <f t="shared" si="20"/>
        <v>9.2273390515315983E-5</v>
      </c>
      <c r="E358">
        <f t="shared" si="21"/>
        <v>0.54181328220416436</v>
      </c>
      <c r="F358">
        <f t="shared" si="22"/>
        <v>1.7030477757934664E-4</v>
      </c>
      <c r="H358">
        <f t="shared" si="23"/>
        <v>2.1321465816118179E-3</v>
      </c>
    </row>
    <row r="359" spans="1:8" ht="15">
      <c r="A359" s="14" t="s">
        <v>354</v>
      </c>
      <c r="B359">
        <v>0.6</v>
      </c>
      <c r="C359">
        <f>VLOOKUP(A359,'AVP Regulation (PTM &amp; Ca-cAMP'!B:K,10,FALSE)</f>
        <v>1.5378898419219332E-4</v>
      </c>
      <c r="D359">
        <f t="shared" si="20"/>
        <v>9.2273390515315983E-5</v>
      </c>
      <c r="E359">
        <f t="shared" si="21"/>
        <v>0.54181328220416436</v>
      </c>
      <c r="F359">
        <f t="shared" si="22"/>
        <v>1.7030477757934664E-4</v>
      </c>
      <c r="H359">
        <f t="shared" si="23"/>
        <v>2.1321465816118179E-3</v>
      </c>
    </row>
    <row r="360" spans="1:8" ht="15">
      <c r="A360" s="14" t="s">
        <v>355</v>
      </c>
      <c r="B360">
        <v>0.6</v>
      </c>
      <c r="C360">
        <f>VLOOKUP(A360,'AVP Regulation (PTM &amp; Ca-cAMP'!B:K,10,FALSE)</f>
        <v>1.5378898419219332E-4</v>
      </c>
      <c r="D360">
        <f t="shared" si="20"/>
        <v>9.2273390515315983E-5</v>
      </c>
      <c r="E360">
        <f t="shared" si="21"/>
        <v>0.54181328220416436</v>
      </c>
      <c r="F360">
        <f t="shared" si="22"/>
        <v>1.7030477757934664E-4</v>
      </c>
      <c r="H360">
        <f t="shared" si="23"/>
        <v>2.1321465816118179E-3</v>
      </c>
    </row>
    <row r="361" spans="1:8" ht="15">
      <c r="A361" s="14" t="s">
        <v>370</v>
      </c>
      <c r="B361">
        <v>0.6</v>
      </c>
      <c r="C361">
        <f>VLOOKUP(A361,'AVP Regulation (PTM &amp; Ca-cAMP'!B:K,10,FALSE)</f>
        <v>1.5378898419219332E-4</v>
      </c>
      <c r="D361">
        <f t="shared" si="20"/>
        <v>9.2273390515315983E-5</v>
      </c>
      <c r="E361">
        <f t="shared" si="21"/>
        <v>0.54181328220416436</v>
      </c>
      <c r="F361">
        <f t="shared" si="22"/>
        <v>1.7030477757934664E-4</v>
      </c>
      <c r="H361">
        <f t="shared" si="23"/>
        <v>2.1321465816118179E-3</v>
      </c>
    </row>
    <row r="362" spans="1:8" ht="15">
      <c r="A362" s="14" t="s">
        <v>358</v>
      </c>
      <c r="B362">
        <v>0.6</v>
      </c>
      <c r="C362">
        <f>VLOOKUP(A362,'AVP Regulation (PTM &amp; Ca-cAMP'!B:K,10,FALSE)</f>
        <v>1.5378898419219332E-4</v>
      </c>
      <c r="D362">
        <f t="shared" si="20"/>
        <v>9.2273390515315983E-5</v>
      </c>
      <c r="E362">
        <f t="shared" si="21"/>
        <v>0.54181328220416436</v>
      </c>
      <c r="F362">
        <f t="shared" si="22"/>
        <v>1.7030477757934664E-4</v>
      </c>
      <c r="H362">
        <f t="shared" si="23"/>
        <v>2.1321465816118179E-3</v>
      </c>
    </row>
    <row r="363" spans="1:8" ht="15">
      <c r="A363" s="14" t="s">
        <v>357</v>
      </c>
      <c r="B363">
        <v>0.6</v>
      </c>
      <c r="C363">
        <f>VLOOKUP(A363,'AVP Regulation (PTM &amp; Ca-cAMP'!B:K,10,FALSE)</f>
        <v>1.5378898419219332E-4</v>
      </c>
      <c r="D363">
        <f t="shared" si="20"/>
        <v>9.2273390515315983E-5</v>
      </c>
      <c r="E363">
        <f t="shared" si="21"/>
        <v>0.54181328220416436</v>
      </c>
      <c r="F363">
        <f t="shared" si="22"/>
        <v>1.7030477757934664E-4</v>
      </c>
      <c r="H363">
        <f t="shared" si="23"/>
        <v>2.1321465816118179E-3</v>
      </c>
    </row>
    <row r="364" spans="1:8" ht="15">
      <c r="A364" s="14" t="s">
        <v>359</v>
      </c>
      <c r="B364">
        <v>0.6</v>
      </c>
      <c r="C364">
        <f>VLOOKUP(A364,'AVP Regulation (PTM &amp; Ca-cAMP'!B:K,10,FALSE)</f>
        <v>1.5378898419219332E-4</v>
      </c>
      <c r="D364">
        <f t="shared" si="20"/>
        <v>9.2273390515315983E-5</v>
      </c>
      <c r="E364">
        <f t="shared" si="21"/>
        <v>0.54181328220416436</v>
      </c>
      <c r="F364">
        <f t="shared" si="22"/>
        <v>1.7030477757934664E-4</v>
      </c>
      <c r="H364">
        <f t="shared" si="23"/>
        <v>2.1321465816118179E-3</v>
      </c>
    </row>
    <row r="365" spans="1:8" ht="15">
      <c r="A365" s="14" t="s">
        <v>371</v>
      </c>
      <c r="B365">
        <v>0.6</v>
      </c>
      <c r="C365">
        <f>VLOOKUP(A365,'AVP Regulation (PTM &amp; Ca-cAMP'!B:K,10,FALSE)</f>
        <v>1.5378898419219332E-4</v>
      </c>
      <c r="D365">
        <f t="shared" si="20"/>
        <v>9.2273390515315983E-5</v>
      </c>
      <c r="E365">
        <f t="shared" si="21"/>
        <v>0.54181328220416436</v>
      </c>
      <c r="F365">
        <f t="shared" si="22"/>
        <v>1.7030477757934664E-4</v>
      </c>
      <c r="H365">
        <f t="shared" si="23"/>
        <v>2.1321465816118179E-3</v>
      </c>
    </row>
    <row r="366" spans="1:8" ht="15">
      <c r="A366" s="14" t="s">
        <v>385</v>
      </c>
      <c r="B366">
        <v>0.6</v>
      </c>
      <c r="C366">
        <f>VLOOKUP(A366,'AVP Regulation (PTM &amp; Ca-cAMP'!B:K,10,FALSE)</f>
        <v>1.5378898419219332E-4</v>
      </c>
      <c r="D366">
        <f t="shared" si="20"/>
        <v>9.2273390515315983E-5</v>
      </c>
      <c r="E366">
        <f t="shared" si="21"/>
        <v>0.54181328220416436</v>
      </c>
      <c r="F366">
        <f t="shared" si="22"/>
        <v>1.7030477757934664E-4</v>
      </c>
      <c r="H366">
        <f t="shared" si="23"/>
        <v>2.1321465816118179E-3</v>
      </c>
    </row>
    <row r="367" spans="1:8" ht="15">
      <c r="A367" s="14" t="s">
        <v>386</v>
      </c>
      <c r="B367">
        <v>0.6</v>
      </c>
      <c r="C367">
        <f>VLOOKUP(A367,'AVP Regulation (PTM &amp; Ca-cAMP'!B:K,10,FALSE)</f>
        <v>1.5378898419219332E-4</v>
      </c>
      <c r="D367">
        <f t="shared" si="20"/>
        <v>9.2273390515315983E-5</v>
      </c>
      <c r="E367">
        <f t="shared" si="21"/>
        <v>0.54181328220416436</v>
      </c>
      <c r="F367">
        <f t="shared" si="22"/>
        <v>1.7030477757934664E-4</v>
      </c>
      <c r="H367">
        <f t="shared" si="23"/>
        <v>2.1321465816118179E-3</v>
      </c>
    </row>
    <row r="368" spans="1:8" ht="15">
      <c r="A368" s="14" t="s">
        <v>64</v>
      </c>
      <c r="B368">
        <v>0.9</v>
      </c>
      <c r="C368">
        <f>VLOOKUP(A368,'AVP Regulation (PTM &amp; Ca-cAMP'!B:K,10,FALSE)</f>
        <v>8.6121831147628204E-5</v>
      </c>
      <c r="D368">
        <f t="shared" si="20"/>
        <v>7.7509648032865385E-5</v>
      </c>
      <c r="E368">
        <f t="shared" si="21"/>
        <v>0.54181328220416436</v>
      </c>
      <c r="F368">
        <f t="shared" si="22"/>
        <v>1.4305601316665111E-4</v>
      </c>
      <c r="H368">
        <f t="shared" si="23"/>
        <v>1.8269872617172243E-3</v>
      </c>
    </row>
    <row r="369" spans="1:8" ht="15">
      <c r="A369" s="14" t="s">
        <v>88</v>
      </c>
      <c r="B369">
        <v>0.4</v>
      </c>
      <c r="C369">
        <f>VLOOKUP(A369,'AVP Regulation (PTM &amp; Ca-cAMP'!B:K,10,FALSE)</f>
        <v>1.5378898419219332E-4</v>
      </c>
      <c r="D369">
        <f t="shared" si="20"/>
        <v>6.1515593676877335E-5</v>
      </c>
      <c r="E369">
        <f t="shared" si="21"/>
        <v>0.54181328220416436</v>
      </c>
      <c r="F369">
        <f t="shared" si="22"/>
        <v>1.1353651838623112E-4</v>
      </c>
      <c r="H369">
        <f t="shared" si="23"/>
        <v>1.4878456601262623E-3</v>
      </c>
    </row>
    <row r="370" spans="1:8" ht="15">
      <c r="A370" s="14" t="s">
        <v>33</v>
      </c>
      <c r="B370">
        <v>0.4</v>
      </c>
      <c r="C370">
        <f>VLOOKUP(A370,'AVP Regulation (PTM &amp; Ca-cAMP'!B:K,10,FALSE)</f>
        <v>1.5378898419219332E-4</v>
      </c>
      <c r="D370">
        <f t="shared" si="20"/>
        <v>6.1515593676877335E-5</v>
      </c>
      <c r="E370">
        <f t="shared" si="21"/>
        <v>0.54181328220416436</v>
      </c>
      <c r="F370">
        <f t="shared" si="22"/>
        <v>1.1353651838623112E-4</v>
      </c>
      <c r="H370">
        <f t="shared" si="23"/>
        <v>1.4878456601262623E-3</v>
      </c>
    </row>
    <row r="371" spans="1:8" ht="15">
      <c r="A371" s="14" t="s">
        <v>38</v>
      </c>
      <c r="B371">
        <v>0.4</v>
      </c>
      <c r="C371">
        <f>VLOOKUP(A371,'AVP Regulation (PTM &amp; Ca-cAMP'!B:K,10,FALSE)</f>
        <v>1.5378898419219332E-4</v>
      </c>
      <c r="D371">
        <f t="shared" si="20"/>
        <v>6.1515593676877335E-5</v>
      </c>
      <c r="E371">
        <f t="shared" si="21"/>
        <v>0.54181328220416436</v>
      </c>
      <c r="F371">
        <f t="shared" si="22"/>
        <v>1.1353651838623112E-4</v>
      </c>
      <c r="H371">
        <f t="shared" si="23"/>
        <v>1.4878456601262623E-3</v>
      </c>
    </row>
    <row r="372" spans="1:8" ht="15">
      <c r="A372" s="14" t="s">
        <v>343</v>
      </c>
      <c r="B372">
        <v>0.4</v>
      </c>
      <c r="C372">
        <f>VLOOKUP(A372,'AVP Regulation (PTM &amp; Ca-cAMP'!B:K,10,FALSE)</f>
        <v>1.5378898419219332E-4</v>
      </c>
      <c r="D372">
        <f t="shared" si="20"/>
        <v>6.1515593676877335E-5</v>
      </c>
      <c r="E372">
        <f t="shared" si="21"/>
        <v>0.54181328220416436</v>
      </c>
      <c r="F372">
        <f t="shared" si="22"/>
        <v>1.1353651838623112E-4</v>
      </c>
      <c r="H372">
        <f t="shared" si="23"/>
        <v>1.4878456601262623E-3</v>
      </c>
    </row>
    <row r="373" spans="1:8" ht="15">
      <c r="A373" s="14" t="s">
        <v>364</v>
      </c>
      <c r="B373">
        <v>0.4</v>
      </c>
      <c r="C373">
        <f>VLOOKUP(A373,'AVP Regulation (PTM &amp; Ca-cAMP'!B:K,10,FALSE)</f>
        <v>1.5378898419219332E-4</v>
      </c>
      <c r="D373">
        <f t="shared" si="20"/>
        <v>6.1515593676877335E-5</v>
      </c>
      <c r="E373">
        <f t="shared" si="21"/>
        <v>0.54181328220416436</v>
      </c>
      <c r="F373">
        <f t="shared" si="22"/>
        <v>1.1353651838623112E-4</v>
      </c>
      <c r="H373">
        <f t="shared" si="23"/>
        <v>1.4878456601262623E-3</v>
      </c>
    </row>
    <row r="374" spans="1:8" ht="15">
      <c r="A374" s="14" t="s">
        <v>345</v>
      </c>
      <c r="B374">
        <v>0.4</v>
      </c>
      <c r="C374">
        <f>VLOOKUP(A374,'AVP Regulation (PTM &amp; Ca-cAMP'!B:K,10,FALSE)</f>
        <v>1.5378898419219332E-4</v>
      </c>
      <c r="D374">
        <f t="shared" si="20"/>
        <v>6.1515593676877335E-5</v>
      </c>
      <c r="E374">
        <f t="shared" si="21"/>
        <v>0.54181328220416436</v>
      </c>
      <c r="F374">
        <f t="shared" si="22"/>
        <v>1.1353651838623112E-4</v>
      </c>
      <c r="H374">
        <f t="shared" si="23"/>
        <v>1.4878456601262623E-3</v>
      </c>
    </row>
    <row r="375" spans="1:8" ht="15">
      <c r="A375" s="14" t="s">
        <v>409</v>
      </c>
      <c r="B375">
        <v>0.4</v>
      </c>
      <c r="C375">
        <f>VLOOKUP(A375,'AVP Regulation (PTM &amp; Ca-cAMP'!B:K,10,FALSE)</f>
        <v>1.5378898419219332E-4</v>
      </c>
      <c r="D375">
        <f t="shared" si="20"/>
        <v>6.1515593676877335E-5</v>
      </c>
      <c r="E375">
        <f t="shared" si="21"/>
        <v>0.54181328220416436</v>
      </c>
      <c r="F375">
        <f t="shared" si="22"/>
        <v>1.1353651838623112E-4</v>
      </c>
      <c r="H375">
        <f t="shared" si="23"/>
        <v>1.4878456601262623E-3</v>
      </c>
    </row>
    <row r="376" spans="1:8" ht="15">
      <c r="A376" s="14" t="s">
        <v>108</v>
      </c>
      <c r="B376">
        <v>0.4</v>
      </c>
      <c r="C376">
        <f>VLOOKUP(A376,'AVP Regulation (PTM &amp; Ca-cAMP'!B:K,10,FALSE)</f>
        <v>1.5378898419219332E-4</v>
      </c>
      <c r="D376">
        <f t="shared" si="20"/>
        <v>6.1515593676877335E-5</v>
      </c>
      <c r="E376">
        <f t="shared" si="21"/>
        <v>0.54181328220416436</v>
      </c>
      <c r="F376">
        <f t="shared" si="22"/>
        <v>1.1353651838623112E-4</v>
      </c>
      <c r="H376">
        <f t="shared" si="23"/>
        <v>1.4878456601262623E-3</v>
      </c>
    </row>
    <row r="377" spans="1:8" ht="15">
      <c r="A377" s="14" t="s">
        <v>136</v>
      </c>
      <c r="B377">
        <v>0.4</v>
      </c>
      <c r="C377">
        <f>VLOOKUP(A377,'AVP Regulation (PTM &amp; Ca-cAMP'!B:K,10,FALSE)</f>
        <v>1.5378898419219332E-4</v>
      </c>
      <c r="D377">
        <f t="shared" si="20"/>
        <v>6.1515593676877335E-5</v>
      </c>
      <c r="E377">
        <f t="shared" si="21"/>
        <v>0.54181328220416436</v>
      </c>
      <c r="F377">
        <f t="shared" si="22"/>
        <v>1.1353651838623112E-4</v>
      </c>
      <c r="H377">
        <f t="shared" si="23"/>
        <v>1.4878456601262623E-3</v>
      </c>
    </row>
    <row r="378" spans="1:8" ht="15">
      <c r="A378" s="14" t="s">
        <v>24</v>
      </c>
      <c r="B378">
        <v>0.4</v>
      </c>
      <c r="C378">
        <f>VLOOKUP(A378,'AVP Regulation (PTM &amp; Ca-cAMP'!B:K,10,FALSE)</f>
        <v>1.5378898419219332E-4</v>
      </c>
      <c r="D378">
        <f t="shared" si="20"/>
        <v>6.1515593676877335E-5</v>
      </c>
      <c r="E378">
        <f t="shared" si="21"/>
        <v>0.54181328220416436</v>
      </c>
      <c r="F378">
        <f t="shared" si="22"/>
        <v>1.1353651838623112E-4</v>
      </c>
      <c r="H378">
        <f t="shared" si="23"/>
        <v>1.4878456601262623E-3</v>
      </c>
    </row>
    <row r="379" spans="1:8" ht="15">
      <c r="A379" s="14" t="s">
        <v>49</v>
      </c>
      <c r="B379">
        <v>0.4</v>
      </c>
      <c r="C379">
        <f>VLOOKUP(A379,'AVP Regulation (PTM &amp; Ca-cAMP'!B:K,10,FALSE)</f>
        <v>1.5378898419219332E-4</v>
      </c>
      <c r="D379">
        <f t="shared" si="20"/>
        <v>6.1515593676877335E-5</v>
      </c>
      <c r="E379">
        <f t="shared" si="21"/>
        <v>0.54181328220416436</v>
      </c>
      <c r="F379">
        <f t="shared" si="22"/>
        <v>1.1353651838623112E-4</v>
      </c>
      <c r="H379">
        <f t="shared" si="23"/>
        <v>1.4878456601262623E-3</v>
      </c>
    </row>
    <row r="380" spans="1:8" ht="15">
      <c r="A380" s="14" t="s">
        <v>46</v>
      </c>
      <c r="B380">
        <v>0.4</v>
      </c>
      <c r="C380">
        <f>VLOOKUP(A380,'AVP Regulation (PTM &amp; Ca-cAMP'!B:K,10,FALSE)</f>
        <v>1.5378898419219332E-4</v>
      </c>
      <c r="D380">
        <f t="shared" si="20"/>
        <v>6.1515593676877335E-5</v>
      </c>
      <c r="E380">
        <f t="shared" si="21"/>
        <v>0.54181328220416436</v>
      </c>
      <c r="F380">
        <f t="shared" si="22"/>
        <v>1.1353651838623112E-4</v>
      </c>
      <c r="H380">
        <f t="shared" si="23"/>
        <v>1.4878456601262623E-3</v>
      </c>
    </row>
    <row r="381" spans="1:8" ht="15">
      <c r="A381" s="14" t="s">
        <v>26</v>
      </c>
      <c r="B381">
        <v>0.4</v>
      </c>
      <c r="C381">
        <f>VLOOKUP(A381,'AVP Regulation (PTM &amp; Ca-cAMP'!B:K,10,FALSE)</f>
        <v>1.5378898419219332E-4</v>
      </c>
      <c r="D381">
        <f t="shared" si="20"/>
        <v>6.1515593676877335E-5</v>
      </c>
      <c r="E381">
        <f t="shared" si="21"/>
        <v>0.54181328220416436</v>
      </c>
      <c r="F381">
        <f t="shared" si="22"/>
        <v>1.1353651838623112E-4</v>
      </c>
      <c r="H381">
        <f t="shared" si="23"/>
        <v>1.4878456601262623E-3</v>
      </c>
    </row>
    <row r="382" spans="1:8" ht="15">
      <c r="A382" s="14" t="s">
        <v>335</v>
      </c>
      <c r="B382">
        <v>0.4</v>
      </c>
      <c r="C382">
        <f>VLOOKUP(A382,'AVP Regulation (PTM &amp; Ca-cAMP'!B:K,10,FALSE)</f>
        <v>1.5378898419219332E-4</v>
      </c>
      <c r="D382">
        <f t="shared" si="20"/>
        <v>6.1515593676877335E-5</v>
      </c>
      <c r="E382">
        <f t="shared" si="21"/>
        <v>0.54181328220416436</v>
      </c>
      <c r="F382">
        <f t="shared" si="22"/>
        <v>1.1353651838623112E-4</v>
      </c>
      <c r="H382">
        <f t="shared" si="23"/>
        <v>1.4878456601262623E-3</v>
      </c>
    </row>
    <row r="383" spans="1:8" ht="15">
      <c r="A383" s="14" t="s">
        <v>340</v>
      </c>
      <c r="B383">
        <v>0.4</v>
      </c>
      <c r="C383">
        <f>VLOOKUP(A383,'AVP Regulation (PTM &amp; Ca-cAMP'!B:K,10,FALSE)</f>
        <v>1.5378898419219332E-4</v>
      </c>
      <c r="D383">
        <f t="shared" si="20"/>
        <v>6.1515593676877335E-5</v>
      </c>
      <c r="E383">
        <f t="shared" si="21"/>
        <v>0.54181328220416436</v>
      </c>
      <c r="F383">
        <f t="shared" si="22"/>
        <v>1.1353651838623112E-4</v>
      </c>
      <c r="H383">
        <f t="shared" si="23"/>
        <v>1.4878456601262623E-3</v>
      </c>
    </row>
    <row r="384" spans="1:8" ht="15">
      <c r="A384" s="14" t="s">
        <v>337</v>
      </c>
      <c r="B384">
        <v>0.4</v>
      </c>
      <c r="C384">
        <f>VLOOKUP(A384,'AVP Regulation (PTM &amp; Ca-cAMP'!B:K,10,FALSE)</f>
        <v>1.5378898419219332E-4</v>
      </c>
      <c r="D384">
        <f t="shared" si="20"/>
        <v>6.1515593676877335E-5</v>
      </c>
      <c r="E384">
        <f t="shared" si="21"/>
        <v>0.54181328220416436</v>
      </c>
      <c r="F384">
        <f t="shared" si="22"/>
        <v>1.1353651838623112E-4</v>
      </c>
      <c r="H384">
        <f t="shared" si="23"/>
        <v>1.4878456601262623E-3</v>
      </c>
    </row>
    <row r="385" spans="1:8" ht="15">
      <c r="A385" s="14" t="s">
        <v>339</v>
      </c>
      <c r="B385">
        <v>0.4</v>
      </c>
      <c r="C385">
        <f>VLOOKUP(A385,'AVP Regulation (PTM &amp; Ca-cAMP'!B:K,10,FALSE)</f>
        <v>1.5378898419219332E-4</v>
      </c>
      <c r="D385">
        <f t="shared" si="20"/>
        <v>6.1515593676877335E-5</v>
      </c>
      <c r="E385">
        <f t="shared" si="21"/>
        <v>0.54181328220416436</v>
      </c>
      <c r="F385">
        <f t="shared" si="22"/>
        <v>1.1353651838623112E-4</v>
      </c>
      <c r="H385">
        <f t="shared" si="23"/>
        <v>1.4878456601262623E-3</v>
      </c>
    </row>
    <row r="386" spans="1:8" ht="15">
      <c r="A386" s="14" t="s">
        <v>342</v>
      </c>
      <c r="B386">
        <v>0.4</v>
      </c>
      <c r="C386">
        <f>VLOOKUP(A386,'AVP Regulation (PTM &amp; Ca-cAMP'!B:K,10,FALSE)</f>
        <v>1.5378898419219332E-4</v>
      </c>
      <c r="D386">
        <f t="shared" ref="D386:D449" si="24">C386*B386</f>
        <v>6.1515593676877335E-5</v>
      </c>
      <c r="E386">
        <f t="shared" ref="E386:E449" si="25">SUM($D$2:$D$522)</f>
        <v>0.54181328220416436</v>
      </c>
      <c r="F386">
        <f t="shared" ref="F386:F449" si="26">D386/E386</f>
        <v>1.1353651838623112E-4</v>
      </c>
      <c r="H386">
        <f t="shared" si="23"/>
        <v>1.4878456601262623E-3</v>
      </c>
    </row>
    <row r="387" spans="1:8" ht="15">
      <c r="A387" s="14" t="s">
        <v>344</v>
      </c>
      <c r="B387">
        <v>0.4</v>
      </c>
      <c r="C387">
        <f>VLOOKUP(A387,'AVP Regulation (PTM &amp; Ca-cAMP'!B:K,10,FALSE)</f>
        <v>1.5378898419219332E-4</v>
      </c>
      <c r="D387">
        <f t="shared" si="24"/>
        <v>6.1515593676877335E-5</v>
      </c>
      <c r="E387">
        <f t="shared" si="25"/>
        <v>0.54181328220416436</v>
      </c>
      <c r="F387">
        <f t="shared" si="26"/>
        <v>1.1353651838623112E-4</v>
      </c>
      <c r="H387">
        <f t="shared" ref="H387:H450" si="27">-F387*LOG(F387,2)</f>
        <v>1.4878456601262623E-3</v>
      </c>
    </row>
    <row r="388" spans="1:8" ht="15">
      <c r="A388" s="14" t="s">
        <v>110</v>
      </c>
      <c r="B388">
        <v>0.4</v>
      </c>
      <c r="C388">
        <f>VLOOKUP(A388,'AVP Regulation (PTM &amp; Ca-cAMP'!B:K,10,FALSE)</f>
        <v>1.5378898419219332E-4</v>
      </c>
      <c r="D388">
        <f t="shared" si="24"/>
        <v>6.1515593676877335E-5</v>
      </c>
      <c r="E388">
        <f t="shared" si="25"/>
        <v>0.54181328220416436</v>
      </c>
      <c r="F388">
        <f t="shared" si="26"/>
        <v>1.1353651838623112E-4</v>
      </c>
      <c r="H388">
        <f t="shared" si="27"/>
        <v>1.4878456601262623E-3</v>
      </c>
    </row>
    <row r="389" spans="1:8" ht="15">
      <c r="A389" s="14" t="s">
        <v>52</v>
      </c>
      <c r="B389">
        <v>0.4</v>
      </c>
      <c r="C389">
        <f>VLOOKUP(A389,'AVP Regulation (PTM &amp; Ca-cAMP'!B:K,10,FALSE)</f>
        <v>1.5378898419219332E-4</v>
      </c>
      <c r="D389">
        <f t="shared" si="24"/>
        <v>6.1515593676877335E-5</v>
      </c>
      <c r="E389">
        <f t="shared" si="25"/>
        <v>0.54181328220416436</v>
      </c>
      <c r="F389">
        <f t="shared" si="26"/>
        <v>1.1353651838623112E-4</v>
      </c>
      <c r="H389">
        <f t="shared" si="27"/>
        <v>1.4878456601262623E-3</v>
      </c>
    </row>
    <row r="390" spans="1:8" ht="15">
      <c r="A390" s="14" t="s">
        <v>35</v>
      </c>
      <c r="B390">
        <v>0.4</v>
      </c>
      <c r="C390">
        <f>VLOOKUP(A390,'AVP Regulation (PTM &amp; Ca-cAMP'!B:K,10,FALSE)</f>
        <v>1.5378898419219332E-4</v>
      </c>
      <c r="D390">
        <f t="shared" si="24"/>
        <v>6.1515593676877335E-5</v>
      </c>
      <c r="E390">
        <f t="shared" si="25"/>
        <v>0.54181328220416436</v>
      </c>
      <c r="F390">
        <f t="shared" si="26"/>
        <v>1.1353651838623112E-4</v>
      </c>
      <c r="H390">
        <f t="shared" si="27"/>
        <v>1.4878456601262623E-3</v>
      </c>
    </row>
    <row r="391" spans="1:8" ht="15">
      <c r="A391" s="14" t="s">
        <v>37</v>
      </c>
      <c r="B391">
        <v>0.4</v>
      </c>
      <c r="C391">
        <f>VLOOKUP(A391,'AVP Regulation (PTM &amp; Ca-cAMP'!B:K,10,FALSE)</f>
        <v>1.5378898419219332E-4</v>
      </c>
      <c r="D391">
        <f t="shared" si="24"/>
        <v>6.1515593676877335E-5</v>
      </c>
      <c r="E391">
        <f t="shared" si="25"/>
        <v>0.54181328220416436</v>
      </c>
      <c r="F391">
        <f t="shared" si="26"/>
        <v>1.1353651838623112E-4</v>
      </c>
      <c r="H391">
        <f t="shared" si="27"/>
        <v>1.4878456601262623E-3</v>
      </c>
    </row>
    <row r="392" spans="1:8" ht="15">
      <c r="A392" s="14" t="s">
        <v>365</v>
      </c>
      <c r="B392">
        <v>0.4</v>
      </c>
      <c r="C392">
        <f>VLOOKUP(A392,'AVP Regulation (PTM &amp; Ca-cAMP'!B:K,10,FALSE)</f>
        <v>1.5378898419219332E-4</v>
      </c>
      <c r="D392">
        <f t="shared" si="24"/>
        <v>6.1515593676877335E-5</v>
      </c>
      <c r="E392">
        <f t="shared" si="25"/>
        <v>0.54181328220416436</v>
      </c>
      <c r="F392">
        <f t="shared" si="26"/>
        <v>1.1353651838623112E-4</v>
      </c>
      <c r="H392">
        <f t="shared" si="27"/>
        <v>1.4878456601262623E-3</v>
      </c>
    </row>
    <row r="393" spans="1:8" ht="15">
      <c r="A393" s="14" t="s">
        <v>377</v>
      </c>
      <c r="B393">
        <v>0.4</v>
      </c>
      <c r="C393">
        <f>VLOOKUP(A393,'AVP Regulation (PTM &amp; Ca-cAMP'!B:K,10,FALSE)</f>
        <v>1.5378898419219332E-4</v>
      </c>
      <c r="D393">
        <f t="shared" si="24"/>
        <v>6.1515593676877335E-5</v>
      </c>
      <c r="E393">
        <f t="shared" si="25"/>
        <v>0.54181328220416436</v>
      </c>
      <c r="F393">
        <f t="shared" si="26"/>
        <v>1.1353651838623112E-4</v>
      </c>
      <c r="H393">
        <f t="shared" si="27"/>
        <v>1.4878456601262623E-3</v>
      </c>
    </row>
    <row r="394" spans="1:8" ht="15">
      <c r="A394" s="14" t="s">
        <v>1</v>
      </c>
      <c r="B394">
        <v>0.4</v>
      </c>
      <c r="C394">
        <f>VLOOKUP(A394,'AVP Regulation (PTM &amp; Ca-cAMP'!B:K,10,FALSE)</f>
        <v>1.5378898419219332E-4</v>
      </c>
      <c r="D394">
        <f t="shared" si="24"/>
        <v>6.1515593676877335E-5</v>
      </c>
      <c r="E394">
        <f t="shared" si="25"/>
        <v>0.54181328220416436</v>
      </c>
      <c r="F394">
        <f t="shared" si="26"/>
        <v>1.1353651838623112E-4</v>
      </c>
      <c r="H394">
        <f t="shared" si="27"/>
        <v>1.4878456601262623E-3</v>
      </c>
    </row>
    <row r="395" spans="1:8" ht="15">
      <c r="A395" s="14" t="s">
        <v>56</v>
      </c>
      <c r="B395">
        <v>0.4</v>
      </c>
      <c r="C395">
        <f>VLOOKUP(A395,'AVP Regulation (PTM &amp; Ca-cAMP'!B:K,10,FALSE)</f>
        <v>1.5378898419219332E-4</v>
      </c>
      <c r="D395">
        <f t="shared" si="24"/>
        <v>6.1515593676877335E-5</v>
      </c>
      <c r="E395">
        <f t="shared" si="25"/>
        <v>0.54181328220416436</v>
      </c>
      <c r="F395">
        <f t="shared" si="26"/>
        <v>1.1353651838623112E-4</v>
      </c>
      <c r="H395">
        <f t="shared" si="27"/>
        <v>1.4878456601262623E-3</v>
      </c>
    </row>
    <row r="396" spans="1:8">
      <c r="A396" s="15" t="s">
        <v>224</v>
      </c>
      <c r="B396">
        <v>0.4</v>
      </c>
      <c r="C396">
        <f>VLOOKUP(A396,'AVP Regulation (PTM &amp; Ca-cAMP'!B:K,10,FALSE)</f>
        <v>1.5378898419219332E-4</v>
      </c>
      <c r="D396">
        <f t="shared" si="24"/>
        <v>6.1515593676877335E-5</v>
      </c>
      <c r="E396">
        <f t="shared" si="25"/>
        <v>0.54181328220416436</v>
      </c>
      <c r="F396">
        <f t="shared" si="26"/>
        <v>1.1353651838623112E-4</v>
      </c>
      <c r="H396">
        <f t="shared" si="27"/>
        <v>1.4878456601262623E-3</v>
      </c>
    </row>
    <row r="397" spans="1:8" ht="15">
      <c r="A397" s="14" t="s">
        <v>70</v>
      </c>
      <c r="B397">
        <v>0.4</v>
      </c>
      <c r="C397">
        <f>VLOOKUP(A397,'AVP Regulation (PTM &amp; Ca-cAMP'!B:K,10,FALSE)</f>
        <v>1.5378898419219332E-4</v>
      </c>
      <c r="D397">
        <f t="shared" si="24"/>
        <v>6.1515593676877335E-5</v>
      </c>
      <c r="E397">
        <f t="shared" si="25"/>
        <v>0.54181328220416436</v>
      </c>
      <c r="F397">
        <f t="shared" si="26"/>
        <v>1.1353651838623112E-4</v>
      </c>
      <c r="H397">
        <f t="shared" si="27"/>
        <v>1.4878456601262623E-3</v>
      </c>
    </row>
    <row r="398" spans="1:8" ht="15">
      <c r="A398" s="14" t="s">
        <v>97</v>
      </c>
      <c r="B398">
        <v>0.4</v>
      </c>
      <c r="C398">
        <f>VLOOKUP(A398,'AVP Regulation (PTM &amp; Ca-cAMP'!B:K,10,FALSE)</f>
        <v>1.5378898419219332E-4</v>
      </c>
      <c r="D398">
        <f t="shared" si="24"/>
        <v>6.1515593676877335E-5</v>
      </c>
      <c r="E398">
        <f t="shared" si="25"/>
        <v>0.54181328220416436</v>
      </c>
      <c r="F398">
        <f t="shared" si="26"/>
        <v>1.1353651838623112E-4</v>
      </c>
      <c r="H398">
        <f t="shared" si="27"/>
        <v>1.4878456601262623E-3</v>
      </c>
    </row>
    <row r="399" spans="1:8" ht="15">
      <c r="A399" s="14" t="s">
        <v>135</v>
      </c>
      <c r="B399">
        <v>0.4</v>
      </c>
      <c r="C399">
        <f>VLOOKUP(A399,'AVP Regulation (PTM &amp; Ca-cAMP'!B:K,10,FALSE)</f>
        <v>1.5378898419219332E-4</v>
      </c>
      <c r="D399">
        <f t="shared" si="24"/>
        <v>6.1515593676877335E-5</v>
      </c>
      <c r="E399">
        <f t="shared" si="25"/>
        <v>0.54181328220416436</v>
      </c>
      <c r="F399">
        <f t="shared" si="26"/>
        <v>1.1353651838623112E-4</v>
      </c>
      <c r="H399">
        <f t="shared" si="27"/>
        <v>1.4878456601262623E-3</v>
      </c>
    </row>
    <row r="400" spans="1:8" ht="15">
      <c r="A400" s="14" t="s">
        <v>530</v>
      </c>
      <c r="B400">
        <v>0.4</v>
      </c>
      <c r="C400">
        <f>VLOOKUP(A400,'AVP Regulation (PTM &amp; Ca-cAMP'!B:K,10,FALSE)</f>
        <v>1.5378898419219332E-4</v>
      </c>
      <c r="D400">
        <f t="shared" si="24"/>
        <v>6.1515593676877335E-5</v>
      </c>
      <c r="E400">
        <f t="shared" si="25"/>
        <v>0.54181328220416436</v>
      </c>
      <c r="F400">
        <f t="shared" si="26"/>
        <v>1.1353651838623112E-4</v>
      </c>
      <c r="H400">
        <f t="shared" si="27"/>
        <v>1.4878456601262623E-3</v>
      </c>
    </row>
    <row r="401" spans="1:8" ht="15">
      <c r="A401" s="14" t="s">
        <v>118</v>
      </c>
      <c r="B401">
        <v>0.4</v>
      </c>
      <c r="C401">
        <f>VLOOKUP(A401,'AVP Regulation (PTM &amp; Ca-cAMP'!B:K,10,FALSE)</f>
        <v>1.5378898419219332E-4</v>
      </c>
      <c r="D401">
        <f t="shared" si="24"/>
        <v>6.1515593676877335E-5</v>
      </c>
      <c r="E401">
        <f t="shared" si="25"/>
        <v>0.54181328220416436</v>
      </c>
      <c r="F401">
        <f t="shared" si="26"/>
        <v>1.1353651838623112E-4</v>
      </c>
      <c r="H401">
        <f t="shared" si="27"/>
        <v>1.4878456601262623E-3</v>
      </c>
    </row>
    <row r="402" spans="1:8" ht="15">
      <c r="A402" s="14" t="s">
        <v>76</v>
      </c>
      <c r="B402">
        <v>0.4</v>
      </c>
      <c r="C402">
        <f>VLOOKUP(A402,'AVP Regulation (PTM &amp; Ca-cAMP'!B:K,10,FALSE)</f>
        <v>1.5378898419219332E-4</v>
      </c>
      <c r="D402">
        <f t="shared" si="24"/>
        <v>6.1515593676877335E-5</v>
      </c>
      <c r="E402">
        <f t="shared" si="25"/>
        <v>0.54181328220416436</v>
      </c>
      <c r="F402">
        <f t="shared" si="26"/>
        <v>1.1353651838623112E-4</v>
      </c>
      <c r="H402">
        <f t="shared" si="27"/>
        <v>1.4878456601262623E-3</v>
      </c>
    </row>
    <row r="403" spans="1:8" ht="15">
      <c r="A403" s="14" t="s">
        <v>12</v>
      </c>
      <c r="B403">
        <v>0.4</v>
      </c>
      <c r="C403">
        <f>VLOOKUP(A403,'AVP Regulation (PTM &amp; Ca-cAMP'!B:K,10,FALSE)</f>
        <v>1.5378898419219332E-4</v>
      </c>
      <c r="D403">
        <f t="shared" si="24"/>
        <v>6.1515593676877335E-5</v>
      </c>
      <c r="E403">
        <f t="shared" si="25"/>
        <v>0.54181328220416436</v>
      </c>
      <c r="F403">
        <f t="shared" si="26"/>
        <v>1.1353651838623112E-4</v>
      </c>
      <c r="H403">
        <f t="shared" si="27"/>
        <v>1.4878456601262623E-3</v>
      </c>
    </row>
    <row r="404" spans="1:8" ht="15">
      <c r="A404" s="14" t="s">
        <v>21</v>
      </c>
      <c r="B404">
        <v>0.4</v>
      </c>
      <c r="C404">
        <f>VLOOKUP(A404,'AVP Regulation (PTM &amp; Ca-cAMP'!B:K,10,FALSE)</f>
        <v>1.5378898419219332E-4</v>
      </c>
      <c r="D404">
        <f t="shared" si="24"/>
        <v>6.1515593676877335E-5</v>
      </c>
      <c r="E404">
        <f t="shared" si="25"/>
        <v>0.54181328220416436</v>
      </c>
      <c r="F404">
        <f t="shared" si="26"/>
        <v>1.1353651838623112E-4</v>
      </c>
      <c r="H404">
        <f t="shared" si="27"/>
        <v>1.4878456601262623E-3</v>
      </c>
    </row>
    <row r="405" spans="1:8" ht="15">
      <c r="A405" s="14" t="s">
        <v>104</v>
      </c>
      <c r="B405">
        <v>0.4</v>
      </c>
      <c r="C405">
        <f>VLOOKUP(A405,'AVP Regulation (PTM &amp; Ca-cAMP'!B:K,10,FALSE)</f>
        <v>1.5378898419219332E-4</v>
      </c>
      <c r="D405">
        <f t="shared" si="24"/>
        <v>6.1515593676877335E-5</v>
      </c>
      <c r="E405">
        <f t="shared" si="25"/>
        <v>0.54181328220416436</v>
      </c>
      <c r="F405">
        <f t="shared" si="26"/>
        <v>1.1353651838623112E-4</v>
      </c>
      <c r="H405">
        <f t="shared" si="27"/>
        <v>1.4878456601262623E-3</v>
      </c>
    </row>
    <row r="406" spans="1:8" ht="15">
      <c r="A406" s="14" t="s">
        <v>111</v>
      </c>
      <c r="B406">
        <v>0.4</v>
      </c>
      <c r="C406">
        <f>VLOOKUP(A406,'AVP Regulation (PTM &amp; Ca-cAMP'!B:K,10,FALSE)</f>
        <v>1.5378898419219332E-4</v>
      </c>
      <c r="D406">
        <f t="shared" si="24"/>
        <v>6.1515593676877335E-5</v>
      </c>
      <c r="E406">
        <f t="shared" si="25"/>
        <v>0.54181328220416436</v>
      </c>
      <c r="F406">
        <f t="shared" si="26"/>
        <v>1.1353651838623112E-4</v>
      </c>
      <c r="H406">
        <f t="shared" si="27"/>
        <v>1.4878456601262623E-3</v>
      </c>
    </row>
    <row r="407" spans="1:8" ht="15">
      <c r="A407" s="14" t="s">
        <v>40</v>
      </c>
      <c r="B407">
        <v>0.4</v>
      </c>
      <c r="C407">
        <f>VLOOKUP(A407,'AVP Regulation (PTM &amp; Ca-cAMP'!B:K,10,FALSE)</f>
        <v>1.5378898419219332E-4</v>
      </c>
      <c r="D407">
        <f t="shared" si="24"/>
        <v>6.1515593676877335E-5</v>
      </c>
      <c r="E407">
        <f t="shared" si="25"/>
        <v>0.54181328220416436</v>
      </c>
      <c r="F407">
        <f t="shared" si="26"/>
        <v>1.1353651838623112E-4</v>
      </c>
      <c r="H407">
        <f t="shared" si="27"/>
        <v>1.4878456601262623E-3</v>
      </c>
    </row>
    <row r="408" spans="1:8" ht="15">
      <c r="A408" s="14" t="s">
        <v>115</v>
      </c>
      <c r="B408">
        <v>0.4</v>
      </c>
      <c r="C408">
        <f>VLOOKUP(A408,'AVP Regulation (PTM &amp; Ca-cAMP'!B:K,10,FALSE)</f>
        <v>1.5378898419219332E-4</v>
      </c>
      <c r="D408">
        <f t="shared" si="24"/>
        <v>6.1515593676877335E-5</v>
      </c>
      <c r="E408">
        <f t="shared" si="25"/>
        <v>0.54181328220416436</v>
      </c>
      <c r="F408">
        <f t="shared" si="26"/>
        <v>1.1353651838623112E-4</v>
      </c>
      <c r="H408">
        <f t="shared" si="27"/>
        <v>1.4878456601262623E-3</v>
      </c>
    </row>
    <row r="409" spans="1:8" ht="15">
      <c r="A409" s="14" t="s">
        <v>116</v>
      </c>
      <c r="B409">
        <v>0.4</v>
      </c>
      <c r="C409">
        <f>VLOOKUP(A409,'AVP Regulation (PTM &amp; Ca-cAMP'!B:K,10,FALSE)</f>
        <v>1.5378898419219332E-4</v>
      </c>
      <c r="D409">
        <f t="shared" si="24"/>
        <v>6.1515593676877335E-5</v>
      </c>
      <c r="E409">
        <f t="shared" si="25"/>
        <v>0.54181328220416436</v>
      </c>
      <c r="F409">
        <f t="shared" si="26"/>
        <v>1.1353651838623112E-4</v>
      </c>
      <c r="H409">
        <f t="shared" si="27"/>
        <v>1.4878456601262623E-3</v>
      </c>
    </row>
    <row r="410" spans="1:8" ht="15">
      <c r="A410" s="14" t="s">
        <v>8</v>
      </c>
      <c r="B410">
        <v>0.4</v>
      </c>
      <c r="C410">
        <f>VLOOKUP(A410,'AVP Regulation (PTM &amp; Ca-cAMP'!B:K,10,FALSE)</f>
        <v>1.5378898419219332E-4</v>
      </c>
      <c r="D410">
        <f t="shared" si="24"/>
        <v>6.1515593676877335E-5</v>
      </c>
      <c r="E410">
        <f t="shared" si="25"/>
        <v>0.54181328220416436</v>
      </c>
      <c r="F410">
        <f t="shared" si="26"/>
        <v>1.1353651838623112E-4</v>
      </c>
      <c r="H410">
        <f t="shared" si="27"/>
        <v>1.4878456601262623E-3</v>
      </c>
    </row>
    <row r="411" spans="1:8" ht="15">
      <c r="A411" s="14" t="s">
        <v>57</v>
      </c>
      <c r="B411">
        <v>0.4</v>
      </c>
      <c r="C411">
        <f>VLOOKUP(A411,'AVP Regulation (PTM &amp; Ca-cAMP'!B:K,10,FALSE)</f>
        <v>1.5378898419219332E-4</v>
      </c>
      <c r="D411">
        <f t="shared" si="24"/>
        <v>6.1515593676877335E-5</v>
      </c>
      <c r="E411">
        <f t="shared" si="25"/>
        <v>0.54181328220416436</v>
      </c>
      <c r="F411">
        <f t="shared" si="26"/>
        <v>1.1353651838623112E-4</v>
      </c>
      <c r="H411">
        <f t="shared" si="27"/>
        <v>1.4878456601262623E-3</v>
      </c>
    </row>
    <row r="412" spans="1:8" ht="15">
      <c r="A412" s="14" t="s">
        <v>75</v>
      </c>
      <c r="B412">
        <v>0.4</v>
      </c>
      <c r="C412">
        <f>VLOOKUP(A412,'AVP Regulation (PTM &amp; Ca-cAMP'!B:K,10,FALSE)</f>
        <v>1.5378898419219332E-4</v>
      </c>
      <c r="D412">
        <f t="shared" si="24"/>
        <v>6.1515593676877335E-5</v>
      </c>
      <c r="E412">
        <f t="shared" si="25"/>
        <v>0.54181328220416436</v>
      </c>
      <c r="F412">
        <f t="shared" si="26"/>
        <v>1.1353651838623112E-4</v>
      </c>
      <c r="H412">
        <f t="shared" si="27"/>
        <v>1.4878456601262623E-3</v>
      </c>
    </row>
    <row r="413" spans="1:8" ht="15">
      <c r="A413" s="14" t="s">
        <v>15</v>
      </c>
      <c r="B413">
        <v>0.4</v>
      </c>
      <c r="C413">
        <f>VLOOKUP(A413,'AVP Regulation (PTM &amp; Ca-cAMP'!B:K,10,FALSE)</f>
        <v>1.5378898419219332E-4</v>
      </c>
      <c r="D413">
        <f t="shared" si="24"/>
        <v>6.1515593676877335E-5</v>
      </c>
      <c r="E413">
        <f t="shared" si="25"/>
        <v>0.54181328220416436</v>
      </c>
      <c r="F413">
        <f t="shared" si="26"/>
        <v>1.1353651838623112E-4</v>
      </c>
      <c r="H413">
        <f t="shared" si="27"/>
        <v>1.4878456601262623E-3</v>
      </c>
    </row>
    <row r="414" spans="1:8" ht="15">
      <c r="A414" s="14" t="s">
        <v>19</v>
      </c>
      <c r="B414">
        <v>0.4</v>
      </c>
      <c r="C414">
        <f>VLOOKUP(A414,'AVP Regulation (PTM &amp; Ca-cAMP'!B:K,10,FALSE)</f>
        <v>1.5378898419219332E-4</v>
      </c>
      <c r="D414">
        <f t="shared" si="24"/>
        <v>6.1515593676877335E-5</v>
      </c>
      <c r="E414">
        <f t="shared" si="25"/>
        <v>0.54181328220416436</v>
      </c>
      <c r="F414">
        <f t="shared" si="26"/>
        <v>1.1353651838623112E-4</v>
      </c>
      <c r="H414">
        <f t="shared" si="27"/>
        <v>1.4878456601262623E-3</v>
      </c>
    </row>
    <row r="415" spans="1:8" ht="15">
      <c r="A415" s="14" t="s">
        <v>129</v>
      </c>
      <c r="B415">
        <v>0.4</v>
      </c>
      <c r="C415">
        <f>VLOOKUP(A415,'AVP Regulation (PTM &amp; Ca-cAMP'!B:K,10,FALSE)</f>
        <v>1.5378898419219332E-4</v>
      </c>
      <c r="D415">
        <f t="shared" si="24"/>
        <v>6.1515593676877335E-5</v>
      </c>
      <c r="E415">
        <f t="shared" si="25"/>
        <v>0.54181328220416436</v>
      </c>
      <c r="F415">
        <f t="shared" si="26"/>
        <v>1.1353651838623112E-4</v>
      </c>
      <c r="H415">
        <f t="shared" si="27"/>
        <v>1.4878456601262623E-3</v>
      </c>
    </row>
    <row r="416" spans="1:8" ht="15">
      <c r="A416" s="14" t="s">
        <v>369</v>
      </c>
      <c r="B416">
        <v>0.4</v>
      </c>
      <c r="C416">
        <f>VLOOKUP(A416,'AVP Regulation (PTM &amp; Ca-cAMP'!B:K,10,FALSE)</f>
        <v>1.5378898419219332E-4</v>
      </c>
      <c r="D416">
        <f t="shared" si="24"/>
        <v>6.1515593676877335E-5</v>
      </c>
      <c r="E416">
        <f t="shared" si="25"/>
        <v>0.54181328220416436</v>
      </c>
      <c r="F416">
        <f t="shared" si="26"/>
        <v>1.1353651838623112E-4</v>
      </c>
      <c r="H416">
        <f t="shared" si="27"/>
        <v>1.4878456601262623E-3</v>
      </c>
    </row>
    <row r="417" spans="1:8" ht="15">
      <c r="A417" s="14" t="s">
        <v>336</v>
      </c>
      <c r="B417">
        <v>0.4</v>
      </c>
      <c r="C417">
        <f>VLOOKUP(A417,'AVP Regulation (PTM &amp; Ca-cAMP'!B:K,10,FALSE)</f>
        <v>1.5378898419219332E-4</v>
      </c>
      <c r="D417">
        <f t="shared" si="24"/>
        <v>6.1515593676877335E-5</v>
      </c>
      <c r="E417">
        <f t="shared" si="25"/>
        <v>0.54181328220416436</v>
      </c>
      <c r="F417">
        <f t="shared" si="26"/>
        <v>1.1353651838623112E-4</v>
      </c>
      <c r="H417">
        <f t="shared" si="27"/>
        <v>1.4878456601262623E-3</v>
      </c>
    </row>
    <row r="418" spans="1:8" ht="15">
      <c r="A418" s="14" t="s">
        <v>323</v>
      </c>
      <c r="B418">
        <v>0.4</v>
      </c>
      <c r="C418">
        <f>VLOOKUP(A418,'AVP Regulation (PTM &amp; Ca-cAMP'!B:K,10,FALSE)</f>
        <v>1.5378898419219332E-4</v>
      </c>
      <c r="D418">
        <f t="shared" si="24"/>
        <v>6.1515593676877335E-5</v>
      </c>
      <c r="E418">
        <f t="shared" si="25"/>
        <v>0.54181328220416436</v>
      </c>
      <c r="F418">
        <f t="shared" si="26"/>
        <v>1.1353651838623112E-4</v>
      </c>
      <c r="H418">
        <f t="shared" si="27"/>
        <v>1.4878456601262623E-3</v>
      </c>
    </row>
    <row r="419" spans="1:8" ht="15">
      <c r="A419" s="14" t="s">
        <v>366</v>
      </c>
      <c r="B419">
        <v>0.4</v>
      </c>
      <c r="C419">
        <f>VLOOKUP(A419,'AVP Regulation (PTM &amp; Ca-cAMP'!B:K,10,FALSE)</f>
        <v>1.5378898419219332E-4</v>
      </c>
      <c r="D419">
        <f t="shared" si="24"/>
        <v>6.1515593676877335E-5</v>
      </c>
      <c r="E419">
        <f t="shared" si="25"/>
        <v>0.54181328220416436</v>
      </c>
      <c r="F419">
        <f t="shared" si="26"/>
        <v>1.1353651838623112E-4</v>
      </c>
      <c r="H419">
        <f t="shared" si="27"/>
        <v>1.4878456601262623E-3</v>
      </c>
    </row>
    <row r="420" spans="1:8" ht="15">
      <c r="A420" s="14" t="s">
        <v>398</v>
      </c>
      <c r="B420">
        <v>0.4</v>
      </c>
      <c r="C420">
        <f>VLOOKUP(A420,'AVP Regulation (PTM &amp; Ca-cAMP'!B:K,10,FALSE)</f>
        <v>1.5378898419219332E-4</v>
      </c>
      <c r="D420">
        <f t="shared" si="24"/>
        <v>6.1515593676877335E-5</v>
      </c>
      <c r="E420">
        <f t="shared" si="25"/>
        <v>0.54181328220416436</v>
      </c>
      <c r="F420">
        <f t="shared" si="26"/>
        <v>1.1353651838623112E-4</v>
      </c>
      <c r="H420">
        <f t="shared" si="27"/>
        <v>1.4878456601262623E-3</v>
      </c>
    </row>
    <row r="421" spans="1:8" ht="15">
      <c r="A421" s="14" t="s">
        <v>404</v>
      </c>
      <c r="B421">
        <v>0.4</v>
      </c>
      <c r="C421">
        <f>VLOOKUP(A421,'AVP Regulation (PTM &amp; Ca-cAMP'!B:K,10,FALSE)</f>
        <v>1.5378898419219332E-4</v>
      </c>
      <c r="D421">
        <f t="shared" si="24"/>
        <v>6.1515593676877335E-5</v>
      </c>
      <c r="E421">
        <f t="shared" si="25"/>
        <v>0.54181328220416436</v>
      </c>
      <c r="F421">
        <f t="shared" si="26"/>
        <v>1.1353651838623112E-4</v>
      </c>
      <c r="H421">
        <f t="shared" si="27"/>
        <v>1.4878456601262623E-3</v>
      </c>
    </row>
    <row r="422" spans="1:8" ht="15">
      <c r="A422" s="14" t="s">
        <v>403</v>
      </c>
      <c r="B422">
        <v>0.4</v>
      </c>
      <c r="C422">
        <f>VLOOKUP(A422,'AVP Regulation (PTM &amp; Ca-cAMP'!B:K,10,FALSE)</f>
        <v>1.5378898419219332E-4</v>
      </c>
      <c r="D422">
        <f t="shared" si="24"/>
        <v>6.1515593676877335E-5</v>
      </c>
      <c r="E422">
        <f t="shared" si="25"/>
        <v>0.54181328220416436</v>
      </c>
      <c r="F422">
        <f t="shared" si="26"/>
        <v>1.1353651838623112E-4</v>
      </c>
      <c r="H422">
        <f t="shared" si="27"/>
        <v>1.4878456601262623E-3</v>
      </c>
    </row>
    <row r="423" spans="1:8" ht="15">
      <c r="A423" s="14" t="s">
        <v>333</v>
      </c>
      <c r="B423">
        <v>0.4</v>
      </c>
      <c r="C423">
        <f>VLOOKUP(A423,'AVP Regulation (PTM &amp; Ca-cAMP'!B:K,10,FALSE)</f>
        <v>1.5378898419219332E-4</v>
      </c>
      <c r="D423">
        <f t="shared" si="24"/>
        <v>6.1515593676877335E-5</v>
      </c>
      <c r="E423">
        <f t="shared" si="25"/>
        <v>0.54181328220416436</v>
      </c>
      <c r="F423">
        <f t="shared" si="26"/>
        <v>1.1353651838623112E-4</v>
      </c>
      <c r="H423">
        <f t="shared" si="27"/>
        <v>1.4878456601262623E-3</v>
      </c>
    </row>
    <row r="424" spans="1:8" ht="15">
      <c r="A424" s="14" t="s">
        <v>375</v>
      </c>
      <c r="B424">
        <v>0.4</v>
      </c>
      <c r="C424">
        <f>VLOOKUP(A424,'AVP Regulation (PTM &amp; Ca-cAMP'!B:K,10,FALSE)</f>
        <v>1.5378898419219332E-4</v>
      </c>
      <c r="D424">
        <f t="shared" si="24"/>
        <v>6.1515593676877335E-5</v>
      </c>
      <c r="E424">
        <f t="shared" si="25"/>
        <v>0.54181328220416436</v>
      </c>
      <c r="F424">
        <f t="shared" si="26"/>
        <v>1.1353651838623112E-4</v>
      </c>
      <c r="H424">
        <f t="shared" si="27"/>
        <v>1.4878456601262623E-3</v>
      </c>
    </row>
    <row r="425" spans="1:8" ht="15">
      <c r="A425" s="14" t="s">
        <v>378</v>
      </c>
      <c r="B425">
        <v>0.4</v>
      </c>
      <c r="C425">
        <f>VLOOKUP(A425,'AVP Regulation (PTM &amp; Ca-cAMP'!B:K,10,FALSE)</f>
        <v>1.5378898419219332E-4</v>
      </c>
      <c r="D425">
        <f t="shared" si="24"/>
        <v>6.1515593676877335E-5</v>
      </c>
      <c r="E425">
        <f t="shared" si="25"/>
        <v>0.54181328220416436</v>
      </c>
      <c r="F425">
        <f t="shared" si="26"/>
        <v>1.1353651838623112E-4</v>
      </c>
      <c r="H425">
        <f t="shared" si="27"/>
        <v>1.4878456601262623E-3</v>
      </c>
    </row>
    <row r="426" spans="1:8" ht="15">
      <c r="A426" s="14" t="s">
        <v>389</v>
      </c>
      <c r="B426">
        <v>0.4</v>
      </c>
      <c r="C426">
        <f>VLOOKUP(A426,'AVP Regulation (PTM &amp; Ca-cAMP'!B:K,10,FALSE)</f>
        <v>1.5378898419219332E-4</v>
      </c>
      <c r="D426">
        <f t="shared" si="24"/>
        <v>6.1515593676877335E-5</v>
      </c>
      <c r="E426">
        <f t="shared" si="25"/>
        <v>0.54181328220416436</v>
      </c>
      <c r="F426">
        <f t="shared" si="26"/>
        <v>1.1353651838623112E-4</v>
      </c>
      <c r="H426">
        <f t="shared" si="27"/>
        <v>1.4878456601262623E-3</v>
      </c>
    </row>
    <row r="427" spans="1:8" ht="15">
      <c r="A427" s="14" t="s">
        <v>391</v>
      </c>
      <c r="B427">
        <v>0.4</v>
      </c>
      <c r="C427">
        <f>VLOOKUP(A427,'AVP Regulation (PTM &amp; Ca-cAMP'!B:K,10,FALSE)</f>
        <v>1.5378898419219332E-4</v>
      </c>
      <c r="D427">
        <f t="shared" si="24"/>
        <v>6.1515593676877335E-5</v>
      </c>
      <c r="E427">
        <f t="shared" si="25"/>
        <v>0.54181328220416436</v>
      </c>
      <c r="F427">
        <f t="shared" si="26"/>
        <v>1.1353651838623112E-4</v>
      </c>
      <c r="H427">
        <f t="shared" si="27"/>
        <v>1.4878456601262623E-3</v>
      </c>
    </row>
    <row r="428" spans="1:8" ht="15">
      <c r="A428" s="14" t="s">
        <v>392</v>
      </c>
      <c r="B428">
        <v>0.4</v>
      </c>
      <c r="C428">
        <f>VLOOKUP(A428,'AVP Regulation (PTM &amp; Ca-cAMP'!B:K,10,FALSE)</f>
        <v>1.5378898419219332E-4</v>
      </c>
      <c r="D428">
        <f t="shared" si="24"/>
        <v>6.1515593676877335E-5</v>
      </c>
      <c r="E428">
        <f t="shared" si="25"/>
        <v>0.54181328220416436</v>
      </c>
      <c r="F428">
        <f t="shared" si="26"/>
        <v>1.1353651838623112E-4</v>
      </c>
      <c r="H428">
        <f t="shared" si="27"/>
        <v>1.4878456601262623E-3</v>
      </c>
    </row>
    <row r="429" spans="1:8" ht="15">
      <c r="A429" s="14" t="s">
        <v>405</v>
      </c>
      <c r="B429">
        <v>0.4</v>
      </c>
      <c r="C429">
        <f>VLOOKUP(A429,'AVP Regulation (PTM &amp; Ca-cAMP'!B:K,10,FALSE)</f>
        <v>1.5378898419219332E-4</v>
      </c>
      <c r="D429">
        <f t="shared" si="24"/>
        <v>6.1515593676877335E-5</v>
      </c>
      <c r="E429">
        <f t="shared" si="25"/>
        <v>0.54181328220416436</v>
      </c>
      <c r="F429">
        <f t="shared" si="26"/>
        <v>1.1353651838623112E-4</v>
      </c>
      <c r="H429">
        <f t="shared" si="27"/>
        <v>1.4878456601262623E-3</v>
      </c>
    </row>
    <row r="430" spans="1:8" ht="15">
      <c r="A430" s="14" t="s">
        <v>381</v>
      </c>
      <c r="B430">
        <v>0.4</v>
      </c>
      <c r="C430">
        <f>VLOOKUP(A430,'AVP Regulation (PTM &amp; Ca-cAMP'!B:K,10,FALSE)</f>
        <v>1.5378898419219332E-4</v>
      </c>
      <c r="D430">
        <f t="shared" si="24"/>
        <v>6.1515593676877335E-5</v>
      </c>
      <c r="E430">
        <f t="shared" si="25"/>
        <v>0.54181328220416436</v>
      </c>
      <c r="F430">
        <f t="shared" si="26"/>
        <v>1.1353651838623112E-4</v>
      </c>
      <c r="H430">
        <f t="shared" si="27"/>
        <v>1.4878456601262623E-3</v>
      </c>
    </row>
    <row r="431" spans="1:8" ht="15">
      <c r="A431" s="14" t="s">
        <v>228</v>
      </c>
      <c r="B431">
        <v>0.4</v>
      </c>
      <c r="C431">
        <f>VLOOKUP(A431,'AVP Regulation (PTM &amp; Ca-cAMP'!B:K,10,FALSE)</f>
        <v>1.5378898419219332E-4</v>
      </c>
      <c r="D431">
        <f t="shared" si="24"/>
        <v>6.1515593676877335E-5</v>
      </c>
      <c r="E431">
        <f t="shared" si="25"/>
        <v>0.54181328220416436</v>
      </c>
      <c r="F431">
        <f t="shared" si="26"/>
        <v>1.1353651838623112E-4</v>
      </c>
      <c r="H431">
        <f t="shared" si="27"/>
        <v>1.4878456601262623E-3</v>
      </c>
    </row>
    <row r="432" spans="1:8" ht="15">
      <c r="A432" s="14" t="s">
        <v>326</v>
      </c>
      <c r="B432">
        <v>0.4</v>
      </c>
      <c r="C432">
        <f>VLOOKUP(A432,'AVP Regulation (PTM &amp; Ca-cAMP'!B:K,10,FALSE)</f>
        <v>1.5378898419219332E-4</v>
      </c>
      <c r="D432">
        <f t="shared" si="24"/>
        <v>6.1515593676877335E-5</v>
      </c>
      <c r="E432">
        <f t="shared" si="25"/>
        <v>0.54181328220416436</v>
      </c>
      <c r="F432">
        <f t="shared" si="26"/>
        <v>1.1353651838623112E-4</v>
      </c>
      <c r="H432">
        <f t="shared" si="27"/>
        <v>1.4878456601262623E-3</v>
      </c>
    </row>
    <row r="433" spans="1:8" ht="15">
      <c r="A433" s="14" t="s">
        <v>102</v>
      </c>
      <c r="B433">
        <v>0.4</v>
      </c>
      <c r="C433">
        <f>VLOOKUP(A433,'AVP Regulation (PTM &amp; Ca-cAMP'!B:K,10,FALSE)</f>
        <v>1.1331819887845815E-4</v>
      </c>
      <c r="D433">
        <f t="shared" si="24"/>
        <v>4.5327279551383264E-5</v>
      </c>
      <c r="E433">
        <f t="shared" si="25"/>
        <v>0.54181328220416436</v>
      </c>
      <c r="F433">
        <f t="shared" si="26"/>
        <v>8.3658487231959698E-5</v>
      </c>
      <c r="H433">
        <f t="shared" si="27"/>
        <v>1.1331649650253026E-3</v>
      </c>
    </row>
    <row r="434" spans="1:8" ht="15">
      <c r="A434" s="14" t="s">
        <v>127</v>
      </c>
      <c r="B434">
        <v>0.4</v>
      </c>
      <c r="C434">
        <f>VLOOKUP(A434,'AVP Regulation (PTM &amp; Ca-cAMP'!B:K,10,FALSE)</f>
        <v>8.0941570627470158E-5</v>
      </c>
      <c r="D434">
        <f t="shared" si="24"/>
        <v>3.2376628250988067E-5</v>
      </c>
      <c r="E434">
        <f t="shared" si="25"/>
        <v>0.54181328220416436</v>
      </c>
      <c r="F434">
        <f t="shared" si="26"/>
        <v>5.9756062308542686E-5</v>
      </c>
      <c r="H434">
        <f t="shared" si="27"/>
        <v>8.3841074217726836E-4</v>
      </c>
    </row>
    <row r="435" spans="1:8" ht="15">
      <c r="A435" s="14" t="s">
        <v>71</v>
      </c>
      <c r="B435">
        <v>0.4</v>
      </c>
      <c r="C435">
        <f>VLOOKUP(A435,'AVP Regulation (PTM &amp; Ca-cAMP'!B:K,10,FALSE)</f>
        <v>8.0941570627470158E-5</v>
      </c>
      <c r="D435">
        <f t="shared" si="24"/>
        <v>3.2376628250988067E-5</v>
      </c>
      <c r="E435">
        <f t="shared" si="25"/>
        <v>0.54181328220416436</v>
      </c>
      <c r="F435">
        <f t="shared" si="26"/>
        <v>5.9756062308542686E-5</v>
      </c>
      <c r="H435">
        <f t="shared" si="27"/>
        <v>8.3841074217726836E-4</v>
      </c>
    </row>
    <row r="436" spans="1:8" ht="15">
      <c r="A436" s="14" t="s">
        <v>72</v>
      </c>
      <c r="B436">
        <v>0.4</v>
      </c>
      <c r="C436">
        <f>VLOOKUP(A436,'AVP Regulation (PTM &amp; Ca-cAMP'!B:K,10,FALSE)</f>
        <v>8.0941570627470158E-5</v>
      </c>
      <c r="D436">
        <f t="shared" si="24"/>
        <v>3.2376628250988067E-5</v>
      </c>
      <c r="E436">
        <f t="shared" si="25"/>
        <v>0.54181328220416436</v>
      </c>
      <c r="F436">
        <f t="shared" si="26"/>
        <v>5.9756062308542686E-5</v>
      </c>
      <c r="H436">
        <f t="shared" si="27"/>
        <v>8.3841074217726836E-4</v>
      </c>
    </row>
    <row r="437" spans="1:8" ht="15">
      <c r="A437" s="14" t="s">
        <v>74</v>
      </c>
      <c r="B437">
        <v>0.4</v>
      </c>
      <c r="C437">
        <f>VLOOKUP(A437,'AVP Regulation (PTM &amp; Ca-cAMP'!B:K,10,FALSE)</f>
        <v>8.0941570627470158E-5</v>
      </c>
      <c r="D437">
        <f t="shared" si="24"/>
        <v>3.2376628250988067E-5</v>
      </c>
      <c r="E437">
        <f t="shared" si="25"/>
        <v>0.54181328220416436</v>
      </c>
      <c r="F437">
        <f t="shared" si="26"/>
        <v>5.9756062308542686E-5</v>
      </c>
      <c r="H437">
        <f t="shared" si="27"/>
        <v>8.3841074217726836E-4</v>
      </c>
    </row>
    <row r="438" spans="1:8" ht="15">
      <c r="A438" s="14" t="s">
        <v>10</v>
      </c>
      <c r="B438">
        <v>0.4</v>
      </c>
      <c r="C438">
        <f>VLOOKUP(A438,'AVP Regulation (PTM &amp; Ca-cAMP'!B:K,10,FALSE)</f>
        <v>8.0941570627470158E-5</v>
      </c>
      <c r="D438">
        <f t="shared" si="24"/>
        <v>3.2376628250988067E-5</v>
      </c>
      <c r="E438">
        <f t="shared" si="25"/>
        <v>0.54181328220416436</v>
      </c>
      <c r="F438">
        <f t="shared" si="26"/>
        <v>5.9756062308542686E-5</v>
      </c>
      <c r="H438">
        <f t="shared" si="27"/>
        <v>8.3841074217726836E-4</v>
      </c>
    </row>
    <row r="439" spans="1:8" ht="15">
      <c r="A439" s="14" t="s">
        <v>16</v>
      </c>
      <c r="B439">
        <v>0.4</v>
      </c>
      <c r="C439">
        <f>VLOOKUP(A439,'AVP Regulation (PTM &amp; Ca-cAMP'!B:K,10,FALSE)</f>
        <v>8.0941570627470158E-5</v>
      </c>
      <c r="D439">
        <f t="shared" si="24"/>
        <v>3.2376628250988067E-5</v>
      </c>
      <c r="E439">
        <f t="shared" si="25"/>
        <v>0.54181328220416436</v>
      </c>
      <c r="F439">
        <f t="shared" si="26"/>
        <v>5.9756062308542686E-5</v>
      </c>
      <c r="H439">
        <f t="shared" si="27"/>
        <v>8.3841074217726836E-4</v>
      </c>
    </row>
    <row r="440" spans="1:8" ht="15">
      <c r="A440" s="14" t="s">
        <v>17</v>
      </c>
      <c r="B440">
        <v>0.4</v>
      </c>
      <c r="C440">
        <f>VLOOKUP(A440,'AVP Regulation (PTM &amp; Ca-cAMP'!B:K,10,FALSE)</f>
        <v>8.0941570627470158E-5</v>
      </c>
      <c r="D440">
        <f t="shared" si="24"/>
        <v>3.2376628250988067E-5</v>
      </c>
      <c r="E440">
        <f t="shared" si="25"/>
        <v>0.54181328220416436</v>
      </c>
      <c r="F440">
        <f t="shared" si="26"/>
        <v>5.9756062308542686E-5</v>
      </c>
      <c r="H440">
        <f t="shared" si="27"/>
        <v>8.3841074217726836E-4</v>
      </c>
    </row>
    <row r="441" spans="1:8" ht="15">
      <c r="A441" s="14" t="s">
        <v>20</v>
      </c>
      <c r="B441">
        <v>0.4</v>
      </c>
      <c r="C441">
        <f>VLOOKUP(A441,'AVP Regulation (PTM &amp; Ca-cAMP'!B:K,10,FALSE)</f>
        <v>8.0941570627470158E-5</v>
      </c>
      <c r="D441">
        <f t="shared" si="24"/>
        <v>3.2376628250988067E-5</v>
      </c>
      <c r="E441">
        <f t="shared" si="25"/>
        <v>0.54181328220416436</v>
      </c>
      <c r="F441">
        <f t="shared" si="26"/>
        <v>5.9756062308542686E-5</v>
      </c>
      <c r="H441">
        <f t="shared" si="27"/>
        <v>8.3841074217726836E-4</v>
      </c>
    </row>
    <row r="442" spans="1:8" ht="15">
      <c r="A442" s="14" t="s">
        <v>106</v>
      </c>
      <c r="B442">
        <v>0.4</v>
      </c>
      <c r="C442">
        <f>VLOOKUP(A442,'AVP Regulation (PTM &amp; Ca-cAMP'!B:K,10,FALSE)</f>
        <v>8.0941570627470158E-5</v>
      </c>
      <c r="D442">
        <f t="shared" si="24"/>
        <v>3.2376628250988067E-5</v>
      </c>
      <c r="E442">
        <f t="shared" si="25"/>
        <v>0.54181328220416436</v>
      </c>
      <c r="F442">
        <f t="shared" si="26"/>
        <v>5.9756062308542686E-5</v>
      </c>
      <c r="H442">
        <f t="shared" si="27"/>
        <v>8.3841074217726836E-4</v>
      </c>
    </row>
    <row r="443" spans="1:8" ht="15">
      <c r="A443" s="14" t="s">
        <v>58</v>
      </c>
      <c r="B443">
        <v>0.4</v>
      </c>
      <c r="C443">
        <f>VLOOKUP(A443,'AVP Regulation (PTM &amp; Ca-cAMP'!B:K,10,FALSE)</f>
        <v>8.0941570627470158E-5</v>
      </c>
      <c r="D443">
        <f t="shared" si="24"/>
        <v>3.2376628250988067E-5</v>
      </c>
      <c r="E443">
        <f t="shared" si="25"/>
        <v>0.54181328220416436</v>
      </c>
      <c r="F443">
        <f t="shared" si="26"/>
        <v>5.9756062308542686E-5</v>
      </c>
      <c r="H443">
        <f t="shared" si="27"/>
        <v>8.3841074217726836E-4</v>
      </c>
    </row>
    <row r="444" spans="1:8" ht="15">
      <c r="A444" s="14" t="s">
        <v>9</v>
      </c>
      <c r="B444">
        <v>0.4</v>
      </c>
      <c r="C444">
        <f>VLOOKUP(A444,'AVP Regulation (PTM &amp; Ca-cAMP'!B:K,10,FALSE)</f>
        <v>8.0941570627470158E-5</v>
      </c>
      <c r="D444">
        <f t="shared" si="24"/>
        <v>3.2376628250988067E-5</v>
      </c>
      <c r="E444">
        <f t="shared" si="25"/>
        <v>0.54181328220416436</v>
      </c>
      <c r="F444">
        <f t="shared" si="26"/>
        <v>5.9756062308542686E-5</v>
      </c>
      <c r="H444">
        <f t="shared" si="27"/>
        <v>8.3841074217726836E-4</v>
      </c>
    </row>
    <row r="445" spans="1:8">
      <c r="A445" s="15" t="s">
        <v>77</v>
      </c>
      <c r="B445">
        <v>0.4</v>
      </c>
      <c r="C445">
        <f>VLOOKUP(A445,'AVP Regulation (PTM &amp; Ca-cAMP'!B:K,10,FALSE)</f>
        <v>8.0941570627470158E-5</v>
      </c>
      <c r="D445">
        <f t="shared" si="24"/>
        <v>3.2376628250988067E-5</v>
      </c>
      <c r="E445">
        <f t="shared" si="25"/>
        <v>0.54181328220416436</v>
      </c>
      <c r="F445">
        <f t="shared" si="26"/>
        <v>5.9756062308542686E-5</v>
      </c>
      <c r="H445">
        <f t="shared" si="27"/>
        <v>8.3841074217726836E-4</v>
      </c>
    </row>
    <row r="446" spans="1:8">
      <c r="A446" s="15" t="s">
        <v>78</v>
      </c>
      <c r="B446">
        <v>0.4</v>
      </c>
      <c r="C446">
        <f>VLOOKUP(A446,'AVP Regulation (PTM &amp; Ca-cAMP'!B:K,10,FALSE)</f>
        <v>8.0941570627470158E-5</v>
      </c>
      <c r="D446">
        <f t="shared" si="24"/>
        <v>3.2376628250988067E-5</v>
      </c>
      <c r="E446">
        <f t="shared" si="25"/>
        <v>0.54181328220416436</v>
      </c>
      <c r="F446">
        <f t="shared" si="26"/>
        <v>5.9756062308542686E-5</v>
      </c>
      <c r="H446">
        <f t="shared" si="27"/>
        <v>8.3841074217726836E-4</v>
      </c>
    </row>
    <row r="447" spans="1:8">
      <c r="A447" s="15" t="s">
        <v>79</v>
      </c>
      <c r="B447">
        <v>0.4</v>
      </c>
      <c r="C447">
        <f>VLOOKUP(A447,'AVP Regulation (PTM &amp; Ca-cAMP'!B:K,10,FALSE)</f>
        <v>8.0941570627470158E-5</v>
      </c>
      <c r="D447">
        <f t="shared" si="24"/>
        <v>3.2376628250988067E-5</v>
      </c>
      <c r="E447">
        <f t="shared" si="25"/>
        <v>0.54181328220416436</v>
      </c>
      <c r="F447">
        <f t="shared" si="26"/>
        <v>5.9756062308542686E-5</v>
      </c>
      <c r="H447">
        <f t="shared" si="27"/>
        <v>8.3841074217726836E-4</v>
      </c>
    </row>
    <row r="448" spans="1:8" ht="15">
      <c r="A448" s="14" t="s">
        <v>13</v>
      </c>
      <c r="B448">
        <v>0.4</v>
      </c>
      <c r="C448">
        <f>VLOOKUP(A448,'AVP Regulation (PTM &amp; Ca-cAMP'!B:K,10,FALSE)</f>
        <v>8.0941570627470158E-5</v>
      </c>
      <c r="D448">
        <f t="shared" si="24"/>
        <v>3.2376628250988067E-5</v>
      </c>
      <c r="E448">
        <f t="shared" si="25"/>
        <v>0.54181328220416436</v>
      </c>
      <c r="F448">
        <f t="shared" si="26"/>
        <v>5.9756062308542686E-5</v>
      </c>
      <c r="H448">
        <f t="shared" si="27"/>
        <v>8.3841074217726836E-4</v>
      </c>
    </row>
    <row r="449" spans="1:8">
      <c r="A449" s="15" t="s">
        <v>14</v>
      </c>
      <c r="B449">
        <v>0.4</v>
      </c>
      <c r="C449">
        <f>VLOOKUP(A449,'AVP Regulation (PTM &amp; Ca-cAMP'!B:K,10,FALSE)</f>
        <v>8.0941570627470158E-5</v>
      </c>
      <c r="D449">
        <f t="shared" si="24"/>
        <v>3.2376628250988067E-5</v>
      </c>
      <c r="E449">
        <f t="shared" si="25"/>
        <v>0.54181328220416436</v>
      </c>
      <c r="F449">
        <f t="shared" si="26"/>
        <v>5.9756062308542686E-5</v>
      </c>
      <c r="H449">
        <f t="shared" si="27"/>
        <v>8.3841074217726836E-4</v>
      </c>
    </row>
    <row r="450" spans="1:8" ht="15">
      <c r="A450" s="14" t="s">
        <v>80</v>
      </c>
      <c r="B450">
        <v>0.4</v>
      </c>
      <c r="C450">
        <f>VLOOKUP(A450,'AVP Regulation (PTM &amp; Ca-cAMP'!B:K,10,FALSE)</f>
        <v>8.0941570627470158E-5</v>
      </c>
      <c r="D450">
        <f t="shared" ref="D450:D513" si="28">C450*B450</f>
        <v>3.2376628250988067E-5</v>
      </c>
      <c r="E450">
        <f t="shared" ref="E450:E513" si="29">SUM($D$2:$D$522)</f>
        <v>0.54181328220416436</v>
      </c>
      <c r="F450">
        <f t="shared" ref="F450:F513" si="30">D450/E450</f>
        <v>5.9756062308542686E-5</v>
      </c>
      <c r="H450">
        <f t="shared" si="27"/>
        <v>8.3841074217726836E-4</v>
      </c>
    </row>
    <row r="451" spans="1:8" ht="15">
      <c r="A451" s="14" t="s">
        <v>90</v>
      </c>
      <c r="B451">
        <v>0.4</v>
      </c>
      <c r="C451">
        <f>VLOOKUP(A451,'AVP Regulation (PTM &amp; Ca-cAMP'!B:K,10,FALSE)</f>
        <v>8.0941570627470158E-5</v>
      </c>
      <c r="D451">
        <f t="shared" si="28"/>
        <v>3.2376628250988067E-5</v>
      </c>
      <c r="E451">
        <f t="shared" si="29"/>
        <v>0.54181328220416436</v>
      </c>
      <c r="F451">
        <f t="shared" si="30"/>
        <v>5.9756062308542686E-5</v>
      </c>
      <c r="H451">
        <f t="shared" ref="H451:H514" si="31">-F451*LOG(F451,2)</f>
        <v>8.3841074217726836E-4</v>
      </c>
    </row>
    <row r="452" spans="1:8" ht="15">
      <c r="A452" s="14" t="s">
        <v>96</v>
      </c>
      <c r="B452">
        <v>0.4</v>
      </c>
      <c r="C452">
        <f>VLOOKUP(A452,'AVP Regulation (PTM &amp; Ca-cAMP'!B:K,10,FALSE)</f>
        <v>8.0941570627470158E-5</v>
      </c>
      <c r="D452">
        <f t="shared" si="28"/>
        <v>3.2376628250988067E-5</v>
      </c>
      <c r="E452">
        <f t="shared" si="29"/>
        <v>0.54181328220416436</v>
      </c>
      <c r="F452">
        <f t="shared" si="30"/>
        <v>5.9756062308542686E-5</v>
      </c>
      <c r="H452">
        <f t="shared" si="31"/>
        <v>8.3841074217726836E-4</v>
      </c>
    </row>
    <row r="453" spans="1:8" ht="15">
      <c r="A453" s="14" t="s">
        <v>23</v>
      </c>
      <c r="B453">
        <v>0.4</v>
      </c>
      <c r="C453">
        <f>VLOOKUP(A453,'AVP Regulation (PTM &amp; Ca-cAMP'!B:K,10,FALSE)</f>
        <v>8.0941570627470158E-5</v>
      </c>
      <c r="D453">
        <f t="shared" si="28"/>
        <v>3.2376628250988067E-5</v>
      </c>
      <c r="E453">
        <f t="shared" si="29"/>
        <v>0.54181328220416436</v>
      </c>
      <c r="F453">
        <f t="shared" si="30"/>
        <v>5.9756062308542686E-5</v>
      </c>
      <c r="H453">
        <f t="shared" si="31"/>
        <v>8.3841074217726836E-4</v>
      </c>
    </row>
    <row r="454" spans="1:8" ht="15">
      <c r="A454" s="14" t="s">
        <v>109</v>
      </c>
      <c r="B454">
        <v>0.4</v>
      </c>
      <c r="C454">
        <f>VLOOKUP(A454,'AVP Regulation (PTM &amp; Ca-cAMP'!B:K,10,FALSE)</f>
        <v>8.0941570627470158E-5</v>
      </c>
      <c r="D454">
        <f t="shared" si="28"/>
        <v>3.2376628250988067E-5</v>
      </c>
      <c r="E454">
        <f t="shared" si="29"/>
        <v>0.54181328220416436</v>
      </c>
      <c r="F454">
        <f t="shared" si="30"/>
        <v>5.9756062308542686E-5</v>
      </c>
      <c r="H454">
        <f t="shared" si="31"/>
        <v>8.3841074217726836E-4</v>
      </c>
    </row>
    <row r="455" spans="1:8" ht="15">
      <c r="A455" s="14" t="s">
        <v>39</v>
      </c>
      <c r="B455">
        <v>0.4</v>
      </c>
      <c r="C455">
        <f>VLOOKUP(A455,'AVP Regulation (PTM &amp; Ca-cAMP'!B:K,10,FALSE)</f>
        <v>8.0941570627470158E-5</v>
      </c>
      <c r="D455">
        <f t="shared" si="28"/>
        <v>3.2376628250988067E-5</v>
      </c>
      <c r="E455">
        <f t="shared" si="29"/>
        <v>0.54181328220416436</v>
      </c>
      <c r="F455">
        <f t="shared" si="30"/>
        <v>5.9756062308542686E-5</v>
      </c>
      <c r="H455">
        <f t="shared" si="31"/>
        <v>8.3841074217726836E-4</v>
      </c>
    </row>
    <row r="456" spans="1:8" ht="15">
      <c r="A456" s="14" t="s">
        <v>42</v>
      </c>
      <c r="B456">
        <v>0.4</v>
      </c>
      <c r="C456">
        <f>VLOOKUP(A456,'AVP Regulation (PTM &amp; Ca-cAMP'!B:K,10,FALSE)</f>
        <v>8.0941570627470158E-5</v>
      </c>
      <c r="D456">
        <f t="shared" si="28"/>
        <v>3.2376628250988067E-5</v>
      </c>
      <c r="E456">
        <f t="shared" si="29"/>
        <v>0.54181328220416436</v>
      </c>
      <c r="F456">
        <f t="shared" si="30"/>
        <v>5.9756062308542686E-5</v>
      </c>
      <c r="H456">
        <f t="shared" si="31"/>
        <v>8.3841074217726836E-4</v>
      </c>
    </row>
    <row r="457" spans="1:8" ht="15">
      <c r="A457" s="14" t="s">
        <v>112</v>
      </c>
      <c r="B457">
        <v>0.4</v>
      </c>
      <c r="C457">
        <f>VLOOKUP(A457,'AVP Regulation (PTM &amp; Ca-cAMP'!B:K,10,FALSE)</f>
        <v>8.0941570627470158E-5</v>
      </c>
      <c r="D457">
        <f t="shared" si="28"/>
        <v>3.2376628250988067E-5</v>
      </c>
      <c r="E457">
        <f t="shared" si="29"/>
        <v>0.54181328220416436</v>
      </c>
      <c r="F457">
        <f t="shared" si="30"/>
        <v>5.9756062308542686E-5</v>
      </c>
      <c r="H457">
        <f t="shared" si="31"/>
        <v>8.3841074217726836E-4</v>
      </c>
    </row>
    <row r="458" spans="1:8">
      <c r="A458" s="15" t="s">
        <v>113</v>
      </c>
      <c r="B458">
        <v>0.4</v>
      </c>
      <c r="C458">
        <f>VLOOKUP(A458,'AVP Regulation (PTM &amp; Ca-cAMP'!B:K,10,FALSE)</f>
        <v>8.0941570627470158E-5</v>
      </c>
      <c r="D458">
        <f t="shared" si="28"/>
        <v>3.2376628250988067E-5</v>
      </c>
      <c r="E458">
        <f t="shared" si="29"/>
        <v>0.54181328220416436</v>
      </c>
      <c r="F458">
        <f t="shared" si="30"/>
        <v>5.9756062308542686E-5</v>
      </c>
      <c r="H458">
        <f t="shared" si="31"/>
        <v>8.3841074217726836E-4</v>
      </c>
    </row>
    <row r="459" spans="1:8" ht="15">
      <c r="A459" s="14" t="s">
        <v>53</v>
      </c>
      <c r="B459">
        <v>0.4</v>
      </c>
      <c r="C459">
        <f>VLOOKUP(A459,'AVP Regulation (PTM &amp; Ca-cAMP'!B:K,10,FALSE)</f>
        <v>8.0941570627470158E-5</v>
      </c>
      <c r="D459">
        <f t="shared" si="28"/>
        <v>3.2376628250988067E-5</v>
      </c>
      <c r="E459">
        <f t="shared" si="29"/>
        <v>0.54181328220416436</v>
      </c>
      <c r="F459">
        <f t="shared" si="30"/>
        <v>5.9756062308542686E-5</v>
      </c>
      <c r="H459">
        <f t="shared" si="31"/>
        <v>8.3841074217726836E-4</v>
      </c>
    </row>
    <row r="460" spans="1:8" ht="15">
      <c r="A460" s="14" t="s">
        <v>114</v>
      </c>
      <c r="B460">
        <v>0.4</v>
      </c>
      <c r="C460">
        <f>VLOOKUP(A460,'AVP Regulation (PTM &amp; Ca-cAMP'!B:K,10,FALSE)</f>
        <v>8.0941570627470158E-5</v>
      </c>
      <c r="D460">
        <f t="shared" si="28"/>
        <v>3.2376628250988067E-5</v>
      </c>
      <c r="E460">
        <f t="shared" si="29"/>
        <v>0.54181328220416436</v>
      </c>
      <c r="F460">
        <f t="shared" si="30"/>
        <v>5.9756062308542686E-5</v>
      </c>
      <c r="H460">
        <f t="shared" si="31"/>
        <v>8.3841074217726836E-4</v>
      </c>
    </row>
    <row r="461" spans="1:8">
      <c r="A461" s="15" t="s">
        <v>124</v>
      </c>
      <c r="B461">
        <v>0.4</v>
      </c>
      <c r="C461">
        <f>VLOOKUP(A461,'AVP Regulation (PTM &amp; Ca-cAMP'!B:K,10,FALSE)</f>
        <v>8.0941570627470158E-5</v>
      </c>
      <c r="D461">
        <f t="shared" si="28"/>
        <v>3.2376628250988067E-5</v>
      </c>
      <c r="E461">
        <f t="shared" si="29"/>
        <v>0.54181328220416436</v>
      </c>
      <c r="F461">
        <f t="shared" si="30"/>
        <v>5.9756062308542686E-5</v>
      </c>
      <c r="H461">
        <f t="shared" si="31"/>
        <v>8.3841074217726836E-4</v>
      </c>
    </row>
    <row r="462" spans="1:8">
      <c r="A462" s="15" t="s">
        <v>125</v>
      </c>
      <c r="B462">
        <v>0.4</v>
      </c>
      <c r="C462">
        <f>VLOOKUP(A462,'AVP Regulation (PTM &amp; Ca-cAMP'!B:K,10,FALSE)</f>
        <v>8.0941570627470158E-5</v>
      </c>
      <c r="D462">
        <f t="shared" si="28"/>
        <v>3.2376628250988067E-5</v>
      </c>
      <c r="E462">
        <f t="shared" si="29"/>
        <v>0.54181328220416436</v>
      </c>
      <c r="F462">
        <f t="shared" si="30"/>
        <v>5.9756062308542686E-5</v>
      </c>
      <c r="H462">
        <f t="shared" si="31"/>
        <v>8.3841074217726836E-4</v>
      </c>
    </row>
    <row r="463" spans="1:8">
      <c r="A463" s="15" t="s">
        <v>126</v>
      </c>
      <c r="B463">
        <v>0.4</v>
      </c>
      <c r="C463">
        <f>VLOOKUP(A463,'AVP Regulation (PTM &amp; Ca-cAMP'!B:K,10,FALSE)</f>
        <v>8.0941570627470158E-5</v>
      </c>
      <c r="D463">
        <f t="shared" si="28"/>
        <v>3.2376628250988067E-5</v>
      </c>
      <c r="E463">
        <f t="shared" si="29"/>
        <v>0.54181328220416436</v>
      </c>
      <c r="F463">
        <f t="shared" si="30"/>
        <v>5.9756062308542686E-5</v>
      </c>
      <c r="H463">
        <f t="shared" si="31"/>
        <v>8.3841074217726836E-4</v>
      </c>
    </row>
    <row r="464" spans="1:8">
      <c r="A464" s="15" t="s">
        <v>120</v>
      </c>
      <c r="B464">
        <v>0.4</v>
      </c>
      <c r="C464">
        <f>VLOOKUP(A464,'AVP Regulation (PTM &amp; Ca-cAMP'!B:K,10,FALSE)</f>
        <v>8.0941570627470158E-5</v>
      </c>
      <c r="D464">
        <f t="shared" si="28"/>
        <v>3.2376628250988067E-5</v>
      </c>
      <c r="E464">
        <f t="shared" si="29"/>
        <v>0.54181328220416436</v>
      </c>
      <c r="F464">
        <f t="shared" si="30"/>
        <v>5.9756062308542686E-5</v>
      </c>
      <c r="H464">
        <f t="shared" si="31"/>
        <v>8.3841074217726836E-4</v>
      </c>
    </row>
    <row r="465" spans="1:8" ht="15">
      <c r="A465" s="14" t="s">
        <v>122</v>
      </c>
      <c r="B465">
        <v>0.4</v>
      </c>
      <c r="C465">
        <f>VLOOKUP(A465,'AVP Regulation (PTM &amp; Ca-cAMP'!B:K,10,FALSE)</f>
        <v>8.0941570627470158E-5</v>
      </c>
      <c r="D465">
        <f t="shared" si="28"/>
        <v>3.2376628250988067E-5</v>
      </c>
      <c r="E465">
        <f t="shared" si="29"/>
        <v>0.54181328220416436</v>
      </c>
      <c r="F465">
        <f t="shared" si="30"/>
        <v>5.9756062308542686E-5</v>
      </c>
      <c r="H465">
        <f t="shared" si="31"/>
        <v>8.3841074217726836E-4</v>
      </c>
    </row>
    <row r="466" spans="1:8" ht="15">
      <c r="A466" s="14" t="s">
        <v>123</v>
      </c>
      <c r="B466">
        <v>0.4</v>
      </c>
      <c r="C466">
        <f>VLOOKUP(A466,'AVP Regulation (PTM &amp; Ca-cAMP'!B:K,10,FALSE)</f>
        <v>8.0941570627470158E-5</v>
      </c>
      <c r="D466">
        <f t="shared" si="28"/>
        <v>3.2376628250988067E-5</v>
      </c>
      <c r="E466">
        <f t="shared" si="29"/>
        <v>0.54181328220416436</v>
      </c>
      <c r="F466">
        <f t="shared" si="30"/>
        <v>5.9756062308542686E-5</v>
      </c>
      <c r="H466">
        <f t="shared" si="31"/>
        <v>8.3841074217726836E-4</v>
      </c>
    </row>
    <row r="467" spans="1:8" ht="15">
      <c r="A467" s="14" t="s">
        <v>128</v>
      </c>
      <c r="B467">
        <v>0.4</v>
      </c>
      <c r="C467">
        <f>VLOOKUP(A467,'AVP Regulation (PTM &amp; Ca-cAMP'!B:K,10,FALSE)</f>
        <v>8.0941570627470158E-5</v>
      </c>
      <c r="D467">
        <f t="shared" si="28"/>
        <v>3.2376628250988067E-5</v>
      </c>
      <c r="E467">
        <f t="shared" si="29"/>
        <v>0.54181328220416436</v>
      </c>
      <c r="F467">
        <f t="shared" si="30"/>
        <v>5.9756062308542686E-5</v>
      </c>
      <c r="H467">
        <f t="shared" si="31"/>
        <v>8.3841074217726836E-4</v>
      </c>
    </row>
    <row r="468" spans="1:8" ht="15">
      <c r="A468" s="14" t="s">
        <v>131</v>
      </c>
      <c r="B468">
        <v>0.4</v>
      </c>
      <c r="C468">
        <f>VLOOKUP(A468,'AVP Regulation (PTM &amp; Ca-cAMP'!B:K,10,FALSE)</f>
        <v>8.0941570627470158E-5</v>
      </c>
      <c r="D468">
        <f t="shared" si="28"/>
        <v>3.2376628250988067E-5</v>
      </c>
      <c r="E468">
        <f t="shared" si="29"/>
        <v>0.54181328220416436</v>
      </c>
      <c r="F468">
        <f t="shared" si="30"/>
        <v>5.9756062308542686E-5</v>
      </c>
      <c r="H468">
        <f t="shared" si="31"/>
        <v>8.3841074217726836E-4</v>
      </c>
    </row>
    <row r="469" spans="1:8" ht="15">
      <c r="A469" s="14" t="s">
        <v>132</v>
      </c>
      <c r="B469">
        <v>0.4</v>
      </c>
      <c r="C469">
        <f>VLOOKUP(A469,'AVP Regulation (PTM &amp; Ca-cAMP'!B:K,10,FALSE)</f>
        <v>8.0941570627470158E-5</v>
      </c>
      <c r="D469">
        <f t="shared" si="28"/>
        <v>3.2376628250988067E-5</v>
      </c>
      <c r="E469">
        <f t="shared" si="29"/>
        <v>0.54181328220416436</v>
      </c>
      <c r="F469">
        <f t="shared" si="30"/>
        <v>5.9756062308542686E-5</v>
      </c>
      <c r="H469">
        <f t="shared" si="31"/>
        <v>8.3841074217726836E-4</v>
      </c>
    </row>
    <row r="470" spans="1:8" ht="15">
      <c r="A470" s="14" t="s">
        <v>133</v>
      </c>
      <c r="B470">
        <v>0.4</v>
      </c>
      <c r="C470">
        <f>VLOOKUP(A470,'AVP Regulation (PTM &amp; Ca-cAMP'!B:K,10,FALSE)</f>
        <v>8.0941570627470158E-5</v>
      </c>
      <c r="D470">
        <f t="shared" si="28"/>
        <v>3.2376628250988067E-5</v>
      </c>
      <c r="E470">
        <f t="shared" si="29"/>
        <v>0.54181328220416436</v>
      </c>
      <c r="F470">
        <f t="shared" si="30"/>
        <v>5.9756062308542686E-5</v>
      </c>
      <c r="H470">
        <f t="shared" si="31"/>
        <v>8.3841074217726836E-4</v>
      </c>
    </row>
    <row r="471" spans="1:8" ht="15">
      <c r="A471" s="14" t="s">
        <v>134</v>
      </c>
      <c r="B471">
        <v>0.4</v>
      </c>
      <c r="C471">
        <f>VLOOKUP(A471,'AVP Regulation (PTM &amp; Ca-cAMP'!B:K,10,FALSE)</f>
        <v>8.0941570627470158E-5</v>
      </c>
      <c r="D471">
        <f t="shared" si="28"/>
        <v>3.2376628250988067E-5</v>
      </c>
      <c r="E471">
        <f t="shared" si="29"/>
        <v>0.54181328220416436</v>
      </c>
      <c r="F471">
        <f t="shared" si="30"/>
        <v>5.9756062308542686E-5</v>
      </c>
      <c r="H471">
        <f t="shared" si="31"/>
        <v>8.3841074217726836E-4</v>
      </c>
    </row>
    <row r="472" spans="1:8">
      <c r="A472" s="15" t="s">
        <v>137</v>
      </c>
      <c r="B472">
        <v>0.4</v>
      </c>
      <c r="C472">
        <f>VLOOKUP(A472,'AVP Regulation (PTM &amp; Ca-cAMP'!B:K,10,FALSE)</f>
        <v>8.0941570627470158E-5</v>
      </c>
      <c r="D472">
        <f t="shared" si="28"/>
        <v>3.2376628250988067E-5</v>
      </c>
      <c r="E472">
        <f t="shared" si="29"/>
        <v>0.54181328220416436</v>
      </c>
      <c r="F472">
        <f t="shared" si="30"/>
        <v>5.9756062308542686E-5</v>
      </c>
      <c r="H472">
        <f t="shared" si="31"/>
        <v>8.3841074217726836E-4</v>
      </c>
    </row>
    <row r="473" spans="1:8" ht="15">
      <c r="A473" s="14" t="s">
        <v>394</v>
      </c>
      <c r="B473">
        <v>0.4</v>
      </c>
      <c r="C473">
        <f>VLOOKUP(A473,'AVP Regulation (PTM &amp; Ca-cAMP'!B:K,10,FALSE)</f>
        <v>8.0941570627470158E-5</v>
      </c>
      <c r="D473">
        <f t="shared" si="28"/>
        <v>3.2376628250988067E-5</v>
      </c>
      <c r="E473">
        <f t="shared" si="29"/>
        <v>0.54181328220416436</v>
      </c>
      <c r="F473">
        <f t="shared" si="30"/>
        <v>5.9756062308542686E-5</v>
      </c>
      <c r="H473">
        <f t="shared" si="31"/>
        <v>8.3841074217726836E-4</v>
      </c>
    </row>
    <row r="474" spans="1:8" ht="15">
      <c r="A474" s="14" t="s">
        <v>408</v>
      </c>
      <c r="B474">
        <v>0.4</v>
      </c>
      <c r="C474">
        <f>VLOOKUP(A474,'AVP Regulation (PTM &amp; Ca-cAMP'!B:K,10,FALSE)</f>
        <v>8.0941570627470158E-5</v>
      </c>
      <c r="D474">
        <f t="shared" si="28"/>
        <v>3.2376628250988067E-5</v>
      </c>
      <c r="E474">
        <f t="shared" si="29"/>
        <v>0.54181328220416436</v>
      </c>
      <c r="F474">
        <f t="shared" si="30"/>
        <v>5.9756062308542686E-5</v>
      </c>
      <c r="H474">
        <f t="shared" si="31"/>
        <v>8.3841074217726836E-4</v>
      </c>
    </row>
    <row r="475" spans="1:8" ht="15">
      <c r="A475" s="14" t="s">
        <v>410</v>
      </c>
      <c r="B475">
        <v>0.4</v>
      </c>
      <c r="C475">
        <f>VLOOKUP(A475,'AVP Regulation (PTM &amp; Ca-cAMP'!B:K,10,FALSE)</f>
        <v>8.0941570627470158E-5</v>
      </c>
      <c r="D475">
        <f t="shared" si="28"/>
        <v>3.2376628250988067E-5</v>
      </c>
      <c r="E475">
        <f t="shared" si="29"/>
        <v>0.54181328220416436</v>
      </c>
      <c r="F475">
        <f t="shared" si="30"/>
        <v>5.9756062308542686E-5</v>
      </c>
      <c r="H475">
        <f t="shared" si="31"/>
        <v>8.3841074217726836E-4</v>
      </c>
    </row>
    <row r="476" spans="1:8" ht="15">
      <c r="A476" s="14" t="s">
        <v>393</v>
      </c>
      <c r="B476">
        <v>0.4</v>
      </c>
      <c r="C476">
        <f>VLOOKUP(A476,'AVP Regulation (PTM &amp; Ca-cAMP'!B:K,10,FALSE)</f>
        <v>8.0941570627470158E-5</v>
      </c>
      <c r="D476">
        <f t="shared" si="28"/>
        <v>3.2376628250988067E-5</v>
      </c>
      <c r="E476">
        <f t="shared" si="29"/>
        <v>0.54181328220416436</v>
      </c>
      <c r="F476">
        <f t="shared" si="30"/>
        <v>5.9756062308542686E-5</v>
      </c>
      <c r="H476">
        <f t="shared" si="31"/>
        <v>8.3841074217726836E-4</v>
      </c>
    </row>
    <row r="477" spans="1:8" ht="15">
      <c r="A477" s="14" t="s">
        <v>320</v>
      </c>
      <c r="B477">
        <v>0.4</v>
      </c>
      <c r="C477">
        <f>VLOOKUP(A477,'AVP Regulation (PTM &amp; Ca-cAMP'!B:K,10,FALSE)</f>
        <v>8.0941570627470158E-5</v>
      </c>
      <c r="D477">
        <f t="shared" si="28"/>
        <v>3.2376628250988067E-5</v>
      </c>
      <c r="E477">
        <f t="shared" si="29"/>
        <v>0.54181328220416436</v>
      </c>
      <c r="F477">
        <f t="shared" si="30"/>
        <v>5.9756062308542686E-5</v>
      </c>
      <c r="H477">
        <f t="shared" si="31"/>
        <v>8.3841074217726836E-4</v>
      </c>
    </row>
    <row r="478" spans="1:8" ht="15">
      <c r="A478" s="14" t="s">
        <v>324</v>
      </c>
      <c r="B478">
        <v>0.4</v>
      </c>
      <c r="C478">
        <f>VLOOKUP(A478,'AVP Regulation (PTM &amp; Ca-cAMP'!B:K,10,FALSE)</f>
        <v>8.0941570627470158E-5</v>
      </c>
      <c r="D478">
        <f t="shared" si="28"/>
        <v>3.2376628250988067E-5</v>
      </c>
      <c r="E478">
        <f t="shared" si="29"/>
        <v>0.54181328220416436</v>
      </c>
      <c r="F478">
        <f t="shared" si="30"/>
        <v>5.9756062308542686E-5</v>
      </c>
      <c r="H478">
        <f t="shared" si="31"/>
        <v>8.3841074217726836E-4</v>
      </c>
    </row>
    <row r="479" spans="1:8" ht="15">
      <c r="A479" s="14" t="s">
        <v>327</v>
      </c>
      <c r="B479">
        <v>0.4</v>
      </c>
      <c r="C479">
        <f>VLOOKUP(A479,'AVP Regulation (PTM &amp; Ca-cAMP'!B:K,10,FALSE)</f>
        <v>8.0941570627470158E-5</v>
      </c>
      <c r="D479">
        <f t="shared" si="28"/>
        <v>3.2376628250988067E-5</v>
      </c>
      <c r="E479">
        <f t="shared" si="29"/>
        <v>0.54181328220416436</v>
      </c>
      <c r="F479">
        <f t="shared" si="30"/>
        <v>5.9756062308542686E-5</v>
      </c>
      <c r="H479">
        <f t="shared" si="31"/>
        <v>8.3841074217726836E-4</v>
      </c>
    </row>
    <row r="480" spans="1:8" ht="15">
      <c r="A480" s="14" t="s">
        <v>331</v>
      </c>
      <c r="B480">
        <v>0.4</v>
      </c>
      <c r="C480">
        <f>VLOOKUP(A480,'AVP Regulation (PTM &amp; Ca-cAMP'!B:K,10,FALSE)</f>
        <v>8.0941570627470158E-5</v>
      </c>
      <c r="D480">
        <f t="shared" si="28"/>
        <v>3.2376628250988067E-5</v>
      </c>
      <c r="E480">
        <f t="shared" si="29"/>
        <v>0.54181328220416436</v>
      </c>
      <c r="F480">
        <f t="shared" si="30"/>
        <v>5.9756062308542686E-5</v>
      </c>
      <c r="H480">
        <f t="shared" si="31"/>
        <v>8.3841074217726836E-4</v>
      </c>
    </row>
    <row r="481" spans="1:8" ht="15">
      <c r="A481" s="14" t="s">
        <v>334</v>
      </c>
      <c r="B481">
        <v>0.4</v>
      </c>
      <c r="C481">
        <f>VLOOKUP(A481,'AVP Regulation (PTM &amp; Ca-cAMP'!B:K,10,FALSE)</f>
        <v>8.0941570627470158E-5</v>
      </c>
      <c r="D481">
        <f t="shared" si="28"/>
        <v>3.2376628250988067E-5</v>
      </c>
      <c r="E481">
        <f t="shared" si="29"/>
        <v>0.54181328220416436</v>
      </c>
      <c r="F481">
        <f t="shared" si="30"/>
        <v>5.9756062308542686E-5</v>
      </c>
      <c r="H481">
        <f t="shared" si="31"/>
        <v>8.3841074217726836E-4</v>
      </c>
    </row>
    <row r="482" spans="1:8" ht="15">
      <c r="A482" s="14" t="s">
        <v>338</v>
      </c>
      <c r="B482">
        <v>0.4</v>
      </c>
      <c r="C482">
        <f>VLOOKUP(A482,'AVP Regulation (PTM &amp; Ca-cAMP'!B:K,10,FALSE)</f>
        <v>8.0941570627470158E-5</v>
      </c>
      <c r="D482">
        <f t="shared" si="28"/>
        <v>3.2376628250988067E-5</v>
      </c>
      <c r="E482">
        <f t="shared" si="29"/>
        <v>0.54181328220416436</v>
      </c>
      <c r="F482">
        <f t="shared" si="30"/>
        <v>5.9756062308542686E-5</v>
      </c>
      <c r="H482">
        <f t="shared" si="31"/>
        <v>8.3841074217726836E-4</v>
      </c>
    </row>
    <row r="483" spans="1:8" ht="15">
      <c r="A483" s="14" t="s">
        <v>341</v>
      </c>
      <c r="B483">
        <v>0.4</v>
      </c>
      <c r="C483">
        <f>VLOOKUP(A483,'AVP Regulation (PTM &amp; Ca-cAMP'!B:K,10,FALSE)</f>
        <v>8.0941570627470158E-5</v>
      </c>
      <c r="D483">
        <f t="shared" si="28"/>
        <v>3.2376628250988067E-5</v>
      </c>
      <c r="E483">
        <f t="shared" si="29"/>
        <v>0.54181328220416436</v>
      </c>
      <c r="F483">
        <f t="shared" si="30"/>
        <v>5.9756062308542686E-5</v>
      </c>
      <c r="H483">
        <f t="shared" si="31"/>
        <v>8.3841074217726836E-4</v>
      </c>
    </row>
    <row r="484" spans="1:8" ht="15">
      <c r="A484" s="14" t="s">
        <v>350</v>
      </c>
      <c r="B484">
        <v>0.4</v>
      </c>
      <c r="C484">
        <f>VLOOKUP(A484,'AVP Regulation (PTM &amp; Ca-cAMP'!B:K,10,FALSE)</f>
        <v>8.0941570627470158E-5</v>
      </c>
      <c r="D484">
        <f t="shared" si="28"/>
        <v>3.2376628250988067E-5</v>
      </c>
      <c r="E484">
        <f t="shared" si="29"/>
        <v>0.54181328220416436</v>
      </c>
      <c r="F484">
        <f t="shared" si="30"/>
        <v>5.9756062308542686E-5</v>
      </c>
      <c r="H484">
        <f t="shared" si="31"/>
        <v>8.3841074217726836E-4</v>
      </c>
    </row>
    <row r="485" spans="1:8" ht="15">
      <c r="A485" s="14" t="s">
        <v>351</v>
      </c>
      <c r="B485">
        <v>0.4</v>
      </c>
      <c r="C485">
        <f>VLOOKUP(A485,'AVP Regulation (PTM &amp; Ca-cAMP'!B:K,10,FALSE)</f>
        <v>8.0941570627470158E-5</v>
      </c>
      <c r="D485">
        <f t="shared" si="28"/>
        <v>3.2376628250988067E-5</v>
      </c>
      <c r="E485">
        <f t="shared" si="29"/>
        <v>0.54181328220416436</v>
      </c>
      <c r="F485">
        <f t="shared" si="30"/>
        <v>5.9756062308542686E-5</v>
      </c>
      <c r="H485">
        <f t="shared" si="31"/>
        <v>8.3841074217726836E-4</v>
      </c>
    </row>
    <row r="486" spans="1:8" ht="15">
      <c r="A486" s="14" t="s">
        <v>223</v>
      </c>
      <c r="B486">
        <v>0.4</v>
      </c>
      <c r="C486">
        <f>VLOOKUP(A486,'AVP Regulation (PTM &amp; Ca-cAMP'!B:K,10,FALSE)</f>
        <v>8.0941570627470158E-5</v>
      </c>
      <c r="D486">
        <f t="shared" si="28"/>
        <v>3.2376628250988067E-5</v>
      </c>
      <c r="E486">
        <f t="shared" si="29"/>
        <v>0.54181328220416436</v>
      </c>
      <c r="F486">
        <f t="shared" si="30"/>
        <v>5.9756062308542686E-5</v>
      </c>
      <c r="H486">
        <f t="shared" si="31"/>
        <v>8.3841074217726836E-4</v>
      </c>
    </row>
    <row r="487" spans="1:8">
      <c r="A487" s="15" t="s">
        <v>226</v>
      </c>
      <c r="B487">
        <v>0.4</v>
      </c>
      <c r="C487">
        <f>VLOOKUP(A487,'AVP Regulation (PTM &amp; Ca-cAMP'!B:K,10,FALSE)</f>
        <v>8.0941570627470158E-5</v>
      </c>
      <c r="D487">
        <f t="shared" si="28"/>
        <v>3.2376628250988067E-5</v>
      </c>
      <c r="E487">
        <f t="shared" si="29"/>
        <v>0.54181328220416436</v>
      </c>
      <c r="F487">
        <f t="shared" si="30"/>
        <v>5.9756062308542686E-5</v>
      </c>
      <c r="H487">
        <f t="shared" si="31"/>
        <v>8.3841074217726836E-4</v>
      </c>
    </row>
    <row r="488" spans="1:8">
      <c r="A488" s="15" t="s">
        <v>227</v>
      </c>
      <c r="B488">
        <v>0.4</v>
      </c>
      <c r="C488">
        <f>VLOOKUP(A488,'AVP Regulation (PTM &amp; Ca-cAMP'!B:K,10,FALSE)</f>
        <v>8.0941570627470158E-5</v>
      </c>
      <c r="D488">
        <f t="shared" si="28"/>
        <v>3.2376628250988067E-5</v>
      </c>
      <c r="E488">
        <f t="shared" si="29"/>
        <v>0.54181328220416436</v>
      </c>
      <c r="F488">
        <f t="shared" si="30"/>
        <v>5.9756062308542686E-5</v>
      </c>
      <c r="H488">
        <f t="shared" si="31"/>
        <v>8.3841074217726836E-4</v>
      </c>
    </row>
    <row r="489" spans="1:8" ht="15">
      <c r="A489" s="14" t="s">
        <v>374</v>
      </c>
      <c r="B489">
        <v>0.4</v>
      </c>
      <c r="C489">
        <f>VLOOKUP(A489,'AVP Regulation (PTM &amp; Ca-cAMP'!B:K,10,FALSE)</f>
        <v>8.0941570627470158E-5</v>
      </c>
      <c r="D489">
        <f t="shared" si="28"/>
        <v>3.2376628250988067E-5</v>
      </c>
      <c r="E489">
        <f t="shared" si="29"/>
        <v>0.54181328220416436</v>
      </c>
      <c r="F489">
        <f t="shared" si="30"/>
        <v>5.9756062308542686E-5</v>
      </c>
      <c r="H489">
        <f t="shared" si="31"/>
        <v>8.3841074217726836E-4</v>
      </c>
    </row>
    <row r="490" spans="1:8" ht="15">
      <c r="A490" s="14" t="s">
        <v>229</v>
      </c>
      <c r="B490">
        <v>0.4</v>
      </c>
      <c r="C490">
        <f>VLOOKUP(A490,'AVP Regulation (PTM &amp; Ca-cAMP'!B:K,10,FALSE)</f>
        <v>8.0941570627470158E-5</v>
      </c>
      <c r="D490">
        <f t="shared" si="28"/>
        <v>3.2376628250988067E-5</v>
      </c>
      <c r="E490">
        <f t="shared" si="29"/>
        <v>0.54181328220416436</v>
      </c>
      <c r="F490">
        <f t="shared" si="30"/>
        <v>5.9756062308542686E-5</v>
      </c>
      <c r="H490">
        <f t="shared" si="31"/>
        <v>8.3841074217726836E-4</v>
      </c>
    </row>
    <row r="491" spans="1:8" ht="15">
      <c r="A491" s="14" t="s">
        <v>382</v>
      </c>
      <c r="B491">
        <v>0.4</v>
      </c>
      <c r="C491">
        <f>VLOOKUP(A491,'AVP Regulation (PTM &amp; Ca-cAMP'!B:K,10,FALSE)</f>
        <v>8.0941570627470158E-5</v>
      </c>
      <c r="D491">
        <f t="shared" si="28"/>
        <v>3.2376628250988067E-5</v>
      </c>
      <c r="E491">
        <f t="shared" si="29"/>
        <v>0.54181328220416436</v>
      </c>
      <c r="F491">
        <f t="shared" si="30"/>
        <v>5.9756062308542686E-5</v>
      </c>
      <c r="H491">
        <f t="shared" si="31"/>
        <v>8.3841074217726836E-4</v>
      </c>
    </row>
    <row r="492" spans="1:8" ht="15">
      <c r="A492" s="14" t="s">
        <v>383</v>
      </c>
      <c r="B492">
        <v>0.4</v>
      </c>
      <c r="C492">
        <f>VLOOKUP(A492,'AVP Regulation (PTM &amp; Ca-cAMP'!B:K,10,FALSE)</f>
        <v>8.0941570627470158E-5</v>
      </c>
      <c r="D492">
        <f t="shared" si="28"/>
        <v>3.2376628250988067E-5</v>
      </c>
      <c r="E492">
        <f t="shared" si="29"/>
        <v>0.54181328220416436</v>
      </c>
      <c r="F492">
        <f t="shared" si="30"/>
        <v>5.9756062308542686E-5</v>
      </c>
      <c r="H492">
        <f t="shared" si="31"/>
        <v>8.3841074217726836E-4</v>
      </c>
    </row>
    <row r="493" spans="1:8" ht="15">
      <c r="A493" s="14" t="s">
        <v>384</v>
      </c>
      <c r="B493">
        <v>0.4</v>
      </c>
      <c r="C493">
        <f>VLOOKUP(A493,'AVP Regulation (PTM &amp; Ca-cAMP'!B:K,10,FALSE)</f>
        <v>8.0941570627470158E-5</v>
      </c>
      <c r="D493">
        <f t="shared" si="28"/>
        <v>3.2376628250988067E-5</v>
      </c>
      <c r="E493">
        <f t="shared" si="29"/>
        <v>0.54181328220416436</v>
      </c>
      <c r="F493">
        <f t="shared" si="30"/>
        <v>5.9756062308542686E-5</v>
      </c>
      <c r="H493">
        <f t="shared" si="31"/>
        <v>8.3841074217726836E-4</v>
      </c>
    </row>
    <row r="494" spans="1:8">
      <c r="A494" s="15" t="s">
        <v>400</v>
      </c>
      <c r="B494">
        <v>0.4</v>
      </c>
      <c r="C494">
        <f>VLOOKUP(A494,'AVP Regulation (PTM &amp; Ca-cAMP'!B:K,10,FALSE)</f>
        <v>8.0941570627470158E-5</v>
      </c>
      <c r="D494">
        <f t="shared" si="28"/>
        <v>3.2376628250988067E-5</v>
      </c>
      <c r="E494">
        <f t="shared" si="29"/>
        <v>0.54181328220416436</v>
      </c>
      <c r="F494">
        <f t="shared" si="30"/>
        <v>5.9756062308542686E-5</v>
      </c>
      <c r="H494">
        <f t="shared" si="31"/>
        <v>8.3841074217726836E-4</v>
      </c>
    </row>
    <row r="495" spans="1:8">
      <c r="A495" s="15" t="s">
        <v>401</v>
      </c>
      <c r="B495">
        <v>0.4</v>
      </c>
      <c r="C495">
        <f>VLOOKUP(A495,'AVP Regulation (PTM &amp; Ca-cAMP'!B:K,10,FALSE)</f>
        <v>8.0941570627470158E-5</v>
      </c>
      <c r="D495">
        <f t="shared" si="28"/>
        <v>3.2376628250988067E-5</v>
      </c>
      <c r="E495">
        <f t="shared" si="29"/>
        <v>0.54181328220416436</v>
      </c>
      <c r="F495">
        <f t="shared" si="30"/>
        <v>5.9756062308542686E-5</v>
      </c>
      <c r="H495">
        <f t="shared" si="31"/>
        <v>8.3841074217726836E-4</v>
      </c>
    </row>
    <row r="496" spans="1:8">
      <c r="A496" s="15" t="s">
        <v>402</v>
      </c>
      <c r="B496">
        <v>0.4</v>
      </c>
      <c r="C496">
        <f>VLOOKUP(A496,'AVP Regulation (PTM &amp; Ca-cAMP'!B:K,10,FALSE)</f>
        <v>8.0941570627470158E-5</v>
      </c>
      <c r="D496">
        <f t="shared" si="28"/>
        <v>3.2376628250988067E-5</v>
      </c>
      <c r="E496">
        <f t="shared" si="29"/>
        <v>0.54181328220416436</v>
      </c>
      <c r="F496">
        <f t="shared" si="30"/>
        <v>5.9756062308542686E-5</v>
      </c>
      <c r="H496">
        <f t="shared" si="31"/>
        <v>8.3841074217726836E-4</v>
      </c>
    </row>
    <row r="497" spans="1:8" ht="15">
      <c r="A497" s="14" t="s">
        <v>412</v>
      </c>
      <c r="B497">
        <v>0.4</v>
      </c>
      <c r="C497">
        <f>VLOOKUP(A497,'AVP Regulation (PTM &amp; Ca-cAMP'!B:K,10,FALSE)</f>
        <v>8.0941570627470158E-5</v>
      </c>
      <c r="D497">
        <f t="shared" si="28"/>
        <v>3.2376628250988067E-5</v>
      </c>
      <c r="E497">
        <f t="shared" si="29"/>
        <v>0.54181328220416436</v>
      </c>
      <c r="F497">
        <f t="shared" si="30"/>
        <v>5.9756062308542686E-5</v>
      </c>
      <c r="H497">
        <f t="shared" si="31"/>
        <v>8.3841074217726836E-4</v>
      </c>
    </row>
    <row r="498" spans="1:8" ht="15">
      <c r="A498" s="14" t="s">
        <v>420</v>
      </c>
      <c r="B498">
        <v>0.4</v>
      </c>
      <c r="C498">
        <f>VLOOKUP(A498,'AVP Regulation (PTM &amp; Ca-cAMP'!B:K,10,FALSE)</f>
        <v>8.0941570627470131E-5</v>
      </c>
      <c r="D498">
        <f t="shared" si="28"/>
        <v>3.2376628250988054E-5</v>
      </c>
      <c r="E498">
        <f t="shared" si="29"/>
        <v>0.54181328220416436</v>
      </c>
      <c r="F498">
        <f t="shared" si="30"/>
        <v>5.9756062308542659E-5</v>
      </c>
      <c r="H498">
        <f t="shared" si="31"/>
        <v>8.3841074217726804E-4</v>
      </c>
    </row>
    <row r="499" spans="1:8" ht="15">
      <c r="A499" s="14" t="s">
        <v>50</v>
      </c>
      <c r="B499">
        <v>0.2</v>
      </c>
      <c r="C499">
        <f>VLOOKUP(A499,'AVP Regulation (PTM &amp; Ca-cAMP'!B:K,10,FALSE)</f>
        <v>1.5378898419219332E-4</v>
      </c>
      <c r="D499">
        <f t="shared" si="28"/>
        <v>3.0757796838438668E-5</v>
      </c>
      <c r="E499">
        <f t="shared" si="29"/>
        <v>0.54181328220416436</v>
      </c>
      <c r="F499">
        <f t="shared" si="30"/>
        <v>5.6768259193115561E-5</v>
      </c>
      <c r="H499">
        <f t="shared" si="31"/>
        <v>8.0069108925624668E-4</v>
      </c>
    </row>
    <row r="500" spans="1:8" ht="15">
      <c r="A500" s="14" t="s">
        <v>81</v>
      </c>
      <c r="B500">
        <v>0.2</v>
      </c>
      <c r="C500">
        <f>VLOOKUP(A500,'AVP Regulation (PTM &amp; Ca-cAMP'!B:K,10,FALSE)</f>
        <v>1.5378898419219332E-4</v>
      </c>
      <c r="D500">
        <f t="shared" si="28"/>
        <v>3.0757796838438668E-5</v>
      </c>
      <c r="E500">
        <f t="shared" si="29"/>
        <v>0.54181328220416436</v>
      </c>
      <c r="F500">
        <f t="shared" si="30"/>
        <v>5.6768259193115561E-5</v>
      </c>
      <c r="H500">
        <f t="shared" si="31"/>
        <v>8.0069108925624668E-4</v>
      </c>
    </row>
    <row r="501" spans="1:8" ht="15">
      <c r="A501" s="14" t="s">
        <v>83</v>
      </c>
      <c r="B501">
        <v>0.2</v>
      </c>
      <c r="C501">
        <f>VLOOKUP(A501,'AVP Regulation (PTM &amp; Ca-cAMP'!B:K,10,FALSE)</f>
        <v>1.5378898419219332E-4</v>
      </c>
      <c r="D501">
        <f t="shared" si="28"/>
        <v>3.0757796838438668E-5</v>
      </c>
      <c r="E501">
        <f t="shared" si="29"/>
        <v>0.54181328220416436</v>
      </c>
      <c r="F501">
        <f t="shared" si="30"/>
        <v>5.6768259193115561E-5</v>
      </c>
      <c r="H501">
        <f t="shared" si="31"/>
        <v>8.0069108925624668E-4</v>
      </c>
    </row>
    <row r="502" spans="1:8" ht="15">
      <c r="A502" s="14" t="s">
        <v>100</v>
      </c>
      <c r="B502">
        <v>0.2</v>
      </c>
      <c r="C502">
        <f>VLOOKUP(A502,'AVP Regulation (PTM &amp; Ca-cAMP'!B:K,10,FALSE)</f>
        <v>1.5378898419219332E-4</v>
      </c>
      <c r="D502">
        <f t="shared" si="28"/>
        <v>3.0757796838438668E-5</v>
      </c>
      <c r="E502">
        <f t="shared" si="29"/>
        <v>0.54181328220416436</v>
      </c>
      <c r="F502">
        <f t="shared" si="30"/>
        <v>5.6768259193115561E-5</v>
      </c>
      <c r="H502">
        <f t="shared" si="31"/>
        <v>8.0069108925624668E-4</v>
      </c>
    </row>
    <row r="503" spans="1:8" ht="15">
      <c r="A503" s="14" t="s">
        <v>346</v>
      </c>
      <c r="B503">
        <v>0.2</v>
      </c>
      <c r="C503">
        <f>VLOOKUP(A503,'AVP Regulation (PTM &amp; Ca-cAMP'!B:K,10,FALSE)</f>
        <v>1.5378898419219332E-4</v>
      </c>
      <c r="D503">
        <f t="shared" si="28"/>
        <v>3.0757796838438668E-5</v>
      </c>
      <c r="E503">
        <f t="shared" si="29"/>
        <v>0.54181328220416436</v>
      </c>
      <c r="F503">
        <f t="shared" si="30"/>
        <v>5.6768259193115561E-5</v>
      </c>
      <c r="H503">
        <f t="shared" si="31"/>
        <v>8.0069108925624668E-4</v>
      </c>
    </row>
    <row r="504" spans="1:8" ht="15">
      <c r="A504" s="14" t="s">
        <v>388</v>
      </c>
      <c r="B504">
        <v>0.2</v>
      </c>
      <c r="C504">
        <f>VLOOKUP(A504,'AVP Regulation (PTM &amp; Ca-cAMP'!B:K,10,FALSE)</f>
        <v>1.5378898419219332E-4</v>
      </c>
      <c r="D504">
        <f t="shared" si="28"/>
        <v>3.0757796838438668E-5</v>
      </c>
      <c r="E504">
        <f t="shared" si="29"/>
        <v>0.54181328220416436</v>
      </c>
      <c r="F504">
        <f t="shared" si="30"/>
        <v>5.6768259193115561E-5</v>
      </c>
      <c r="H504">
        <f t="shared" si="31"/>
        <v>8.0069108925624668E-4</v>
      </c>
    </row>
    <row r="505" spans="1:8" ht="15">
      <c r="A505" s="14" t="s">
        <v>399</v>
      </c>
      <c r="B505">
        <v>0.2</v>
      </c>
      <c r="C505">
        <f>VLOOKUP(A505,'AVP Regulation (PTM &amp; Ca-cAMP'!B:K,10,FALSE)</f>
        <v>1.5378898419219332E-4</v>
      </c>
      <c r="D505">
        <f t="shared" si="28"/>
        <v>3.0757796838438668E-5</v>
      </c>
      <c r="E505">
        <f t="shared" si="29"/>
        <v>0.54181328220416436</v>
      </c>
      <c r="F505">
        <f t="shared" si="30"/>
        <v>5.6768259193115561E-5</v>
      </c>
      <c r="H505">
        <f t="shared" si="31"/>
        <v>8.0069108925624668E-4</v>
      </c>
    </row>
    <row r="506" spans="1:8" ht="15">
      <c r="A506" s="14" t="s">
        <v>501</v>
      </c>
      <c r="B506">
        <v>0.2</v>
      </c>
      <c r="C506">
        <f>VLOOKUP(A506,'AVP Regulation (PTM &amp; Ca-cAMP'!B:K,10,FALSE)</f>
        <v>1.5378898419219326E-4</v>
      </c>
      <c r="D506">
        <f t="shared" si="28"/>
        <v>3.0757796838438654E-5</v>
      </c>
      <c r="E506">
        <f t="shared" si="29"/>
        <v>0.54181328220416436</v>
      </c>
      <c r="F506">
        <f t="shared" si="30"/>
        <v>5.6768259193115534E-5</v>
      </c>
      <c r="H506">
        <f t="shared" si="31"/>
        <v>8.0069108925624624E-4</v>
      </c>
    </row>
    <row r="507" spans="1:8" ht="15">
      <c r="A507" s="14" t="s">
        <v>62</v>
      </c>
      <c r="B507">
        <v>0.9</v>
      </c>
      <c r="C507">
        <f>VLOOKUP(A507,'AVP Regulation (PTM &amp; Ca-cAMP'!B:K,10,FALSE)</f>
        <v>3.0757796838438661E-5</v>
      </c>
      <c r="D507">
        <f t="shared" si="28"/>
        <v>2.7682017154594795E-5</v>
      </c>
      <c r="E507">
        <f t="shared" si="29"/>
        <v>0.54181328220416436</v>
      </c>
      <c r="F507">
        <f t="shared" si="30"/>
        <v>5.109143327380399E-5</v>
      </c>
      <c r="H507">
        <f t="shared" si="31"/>
        <v>7.2838803623678143E-4</v>
      </c>
    </row>
    <row r="508" spans="1:8" ht="15">
      <c r="A508" s="14" t="s">
        <v>95</v>
      </c>
      <c r="B508">
        <v>0.8</v>
      </c>
      <c r="C508">
        <f>VLOOKUP(A508,'AVP Regulation (PTM &amp; Ca-cAMP'!B:K,10,FALSE)</f>
        <v>3.0757796838438661E-5</v>
      </c>
      <c r="D508">
        <f t="shared" si="28"/>
        <v>2.460623747075093E-5</v>
      </c>
      <c r="E508">
        <f t="shared" si="29"/>
        <v>0.54181328220416436</v>
      </c>
      <c r="F508">
        <f t="shared" si="30"/>
        <v>4.5414607354492439E-5</v>
      </c>
      <c r="H508">
        <f t="shared" si="31"/>
        <v>6.5517310943068651E-4</v>
      </c>
    </row>
    <row r="509" spans="1:8" ht="15">
      <c r="A509" s="14" t="s">
        <v>93</v>
      </c>
      <c r="B509">
        <v>0.7</v>
      </c>
      <c r="C509">
        <f>VLOOKUP(A509,'AVP Regulation (PTM &amp; Ca-cAMP'!B:K,10,FALSE)</f>
        <v>3.0757796838438661E-5</v>
      </c>
      <c r="D509">
        <f t="shared" si="28"/>
        <v>2.1530457786907061E-5</v>
      </c>
      <c r="E509">
        <f t="shared" si="29"/>
        <v>0.54181328220416436</v>
      </c>
      <c r="F509">
        <f t="shared" si="30"/>
        <v>3.9737781435180882E-5</v>
      </c>
      <c r="H509">
        <f t="shared" si="31"/>
        <v>5.8093175875368892E-4</v>
      </c>
    </row>
    <row r="510" spans="1:8" ht="15">
      <c r="A510" s="14" t="s">
        <v>94</v>
      </c>
      <c r="B510">
        <v>0.6</v>
      </c>
      <c r="C510">
        <f>VLOOKUP(A510,'AVP Regulation (PTM &amp; Ca-cAMP'!B:K,10,FALSE)</f>
        <v>3.0757796838438661E-5</v>
      </c>
      <c r="D510">
        <f t="shared" si="28"/>
        <v>1.8454678103063196E-5</v>
      </c>
      <c r="E510">
        <f t="shared" si="29"/>
        <v>0.54181328220416436</v>
      </c>
      <c r="F510">
        <f t="shared" si="30"/>
        <v>3.4060955515869324E-5</v>
      </c>
      <c r="H510">
        <f t="shared" si="31"/>
        <v>5.0551640587336922E-4</v>
      </c>
    </row>
    <row r="511" spans="1:8" ht="15">
      <c r="A511" s="14" t="s">
        <v>11</v>
      </c>
      <c r="B511">
        <v>0.4</v>
      </c>
      <c r="C511">
        <f>VLOOKUP(A511,'AVP Regulation (PTM &amp; Ca-cAMP'!B:K,10,FALSE)</f>
        <v>3.237662825098806E-5</v>
      </c>
      <c r="D511">
        <f t="shared" si="28"/>
        <v>1.2950651300395224E-5</v>
      </c>
      <c r="E511">
        <f t="shared" si="29"/>
        <v>0.54181328220416436</v>
      </c>
      <c r="F511">
        <f t="shared" si="30"/>
        <v>2.390242492341707E-5</v>
      </c>
      <c r="H511">
        <f t="shared" si="31"/>
        <v>3.669615839131082E-4</v>
      </c>
    </row>
    <row r="512" spans="1:8" ht="15">
      <c r="A512" s="14" t="s">
        <v>30</v>
      </c>
      <c r="B512">
        <v>0.4</v>
      </c>
      <c r="C512">
        <f>VLOOKUP(A512,'AVP Regulation (PTM &amp; Ca-cAMP'!B:K,10,FALSE)</f>
        <v>3.0757796838438661E-5</v>
      </c>
      <c r="D512">
        <f t="shared" si="28"/>
        <v>1.2303118735375465E-5</v>
      </c>
      <c r="E512">
        <f t="shared" si="29"/>
        <v>0.54181328220416436</v>
      </c>
      <c r="F512">
        <f t="shared" si="30"/>
        <v>2.270730367724622E-5</v>
      </c>
      <c r="H512">
        <f t="shared" si="31"/>
        <v>3.5029385839258949E-4</v>
      </c>
    </row>
    <row r="513" spans="1:8" ht="15">
      <c r="A513" s="14" t="s">
        <v>34</v>
      </c>
      <c r="B513">
        <v>0.4</v>
      </c>
      <c r="C513">
        <f>VLOOKUP(A513,'AVP Regulation (PTM &amp; Ca-cAMP'!B:K,10,FALSE)</f>
        <v>3.0757796838438661E-5</v>
      </c>
      <c r="D513">
        <f t="shared" si="28"/>
        <v>1.2303118735375465E-5</v>
      </c>
      <c r="E513">
        <f t="shared" si="29"/>
        <v>0.54181328220416436</v>
      </c>
      <c r="F513">
        <f t="shared" si="30"/>
        <v>2.270730367724622E-5</v>
      </c>
      <c r="H513">
        <f t="shared" si="31"/>
        <v>3.5029385839258949E-4</v>
      </c>
    </row>
    <row r="514" spans="1:8" ht="15">
      <c r="A514" s="14" t="s">
        <v>31</v>
      </c>
      <c r="B514">
        <v>0.4</v>
      </c>
      <c r="C514">
        <f>VLOOKUP(A514,'AVP Regulation (PTM &amp; Ca-cAMP'!B:K,10,FALSE)</f>
        <v>3.0757796838438661E-5</v>
      </c>
      <c r="D514">
        <f t="shared" ref="D514:D522" si="32">C514*B514</f>
        <v>1.2303118735375465E-5</v>
      </c>
      <c r="E514">
        <f t="shared" ref="E514:E522" si="33">SUM($D$2:$D$522)</f>
        <v>0.54181328220416436</v>
      </c>
      <c r="F514">
        <f t="shared" ref="F514:F522" si="34">D514/E514</f>
        <v>2.270730367724622E-5</v>
      </c>
      <c r="H514">
        <f t="shared" si="31"/>
        <v>3.5029385839258949E-4</v>
      </c>
    </row>
    <row r="515" spans="1:8" ht="15">
      <c r="A515" s="14" t="s">
        <v>59</v>
      </c>
      <c r="B515">
        <v>0.4</v>
      </c>
      <c r="C515">
        <f>VLOOKUP(A515,'AVP Regulation (PTM &amp; Ca-cAMP'!B:K,10,FALSE)</f>
        <v>3.0757796838438661E-5</v>
      </c>
      <c r="D515">
        <f t="shared" si="32"/>
        <v>1.2303118735375465E-5</v>
      </c>
      <c r="E515">
        <f t="shared" si="33"/>
        <v>0.54181328220416436</v>
      </c>
      <c r="F515">
        <f t="shared" si="34"/>
        <v>2.270730367724622E-5</v>
      </c>
      <c r="H515">
        <f t="shared" ref="H515:H522" si="35">-F515*LOG(F515,2)</f>
        <v>3.5029385839258949E-4</v>
      </c>
    </row>
    <row r="516" spans="1:8" ht="15">
      <c r="A516" s="14" t="s">
        <v>99</v>
      </c>
      <c r="B516">
        <v>0.4</v>
      </c>
      <c r="C516">
        <f>VLOOKUP(A516,'AVP Regulation (PTM &amp; Ca-cAMP'!B:K,10,FALSE)</f>
        <v>1.6188314125494027E-5</v>
      </c>
      <c r="D516">
        <f t="shared" si="32"/>
        <v>6.4753256501976112E-6</v>
      </c>
      <c r="E516">
        <f t="shared" si="33"/>
        <v>0.54181328220416436</v>
      </c>
      <c r="F516">
        <f t="shared" si="34"/>
        <v>1.1951212461708533E-5</v>
      </c>
      <c r="H516">
        <f t="shared" si="35"/>
        <v>1.954320044182626E-4</v>
      </c>
    </row>
    <row r="517" spans="1:8" ht="15">
      <c r="A517" s="14" t="s">
        <v>60</v>
      </c>
      <c r="B517">
        <v>0.4</v>
      </c>
      <c r="C517">
        <f>VLOOKUP(A517,'AVP Regulation (PTM &amp; Ca-cAMP'!B:K,10,FALSE)</f>
        <v>1.6188314125494027E-5</v>
      </c>
      <c r="D517">
        <f t="shared" si="32"/>
        <v>6.4753256501976112E-6</v>
      </c>
      <c r="E517">
        <f t="shared" si="33"/>
        <v>0.54181328220416436</v>
      </c>
      <c r="F517">
        <f t="shared" si="34"/>
        <v>1.1951212461708533E-5</v>
      </c>
      <c r="H517">
        <f t="shared" si="35"/>
        <v>1.954320044182626E-4</v>
      </c>
    </row>
    <row r="518" spans="1:8" ht="15">
      <c r="A518" s="14" t="s">
        <v>61</v>
      </c>
      <c r="B518">
        <v>0.4</v>
      </c>
      <c r="C518">
        <f>VLOOKUP(A518,'AVP Regulation (PTM &amp; Ca-cAMP'!B:K,10,FALSE)</f>
        <v>1.6188314125494027E-5</v>
      </c>
      <c r="D518">
        <f t="shared" si="32"/>
        <v>6.4753256501976112E-6</v>
      </c>
      <c r="E518">
        <f t="shared" si="33"/>
        <v>0.54181328220416436</v>
      </c>
      <c r="F518">
        <f t="shared" si="34"/>
        <v>1.1951212461708533E-5</v>
      </c>
      <c r="H518">
        <f t="shared" si="35"/>
        <v>1.954320044182626E-4</v>
      </c>
    </row>
    <row r="519" spans="1:8" ht="15">
      <c r="A519" s="14" t="s">
        <v>66</v>
      </c>
      <c r="B519">
        <v>0.4</v>
      </c>
      <c r="C519">
        <f>VLOOKUP(A519,'AVP Regulation (PTM &amp; Ca-cAMP'!B:K,10,FALSE)</f>
        <v>1.6188314125494027E-5</v>
      </c>
      <c r="D519">
        <f t="shared" si="32"/>
        <v>6.4753256501976112E-6</v>
      </c>
      <c r="E519">
        <f t="shared" si="33"/>
        <v>0.54181328220416436</v>
      </c>
      <c r="F519">
        <f t="shared" si="34"/>
        <v>1.1951212461708533E-5</v>
      </c>
      <c r="H519">
        <f t="shared" si="35"/>
        <v>1.954320044182626E-4</v>
      </c>
    </row>
    <row r="520" spans="1:8" ht="15">
      <c r="A520" s="14" t="s">
        <v>67</v>
      </c>
      <c r="B520">
        <v>0.4</v>
      </c>
      <c r="C520">
        <f>VLOOKUP(A520,'AVP Regulation (PTM &amp; Ca-cAMP'!B:K,10,FALSE)</f>
        <v>1.6188314125494027E-5</v>
      </c>
      <c r="D520">
        <f t="shared" si="32"/>
        <v>6.4753256501976112E-6</v>
      </c>
      <c r="E520">
        <f t="shared" si="33"/>
        <v>0.54181328220416436</v>
      </c>
      <c r="F520">
        <f t="shared" si="34"/>
        <v>1.1951212461708533E-5</v>
      </c>
      <c r="H520">
        <f t="shared" si="35"/>
        <v>1.954320044182626E-4</v>
      </c>
    </row>
    <row r="521" spans="1:8" ht="15">
      <c r="A521" s="14" t="s">
        <v>101</v>
      </c>
      <c r="B521">
        <v>0.4</v>
      </c>
      <c r="C521">
        <f>VLOOKUP(A521,'AVP Regulation (PTM &amp; Ca-cAMP'!B:K,10,FALSE)</f>
        <v>1.6188314125494027E-5</v>
      </c>
      <c r="D521">
        <f t="shared" si="32"/>
        <v>6.4753256501976112E-6</v>
      </c>
      <c r="E521">
        <f t="shared" si="33"/>
        <v>0.54181328220416436</v>
      </c>
      <c r="F521">
        <f t="shared" si="34"/>
        <v>1.1951212461708533E-5</v>
      </c>
      <c r="H521">
        <f t="shared" si="35"/>
        <v>1.954320044182626E-4</v>
      </c>
    </row>
    <row r="522" spans="1:8">
      <c r="A522" s="16" t="s">
        <v>29</v>
      </c>
      <c r="B522">
        <v>0.4</v>
      </c>
      <c r="C522">
        <f>VLOOKUP(A522,'AVP Regulation (PTM &amp; Ca-cAMP'!B:K,10,FALSE)</f>
        <v>1.6188314125494027E-5</v>
      </c>
      <c r="D522">
        <f t="shared" si="32"/>
        <v>6.4753256501976112E-6</v>
      </c>
      <c r="E522">
        <f t="shared" si="33"/>
        <v>0.54181328220416436</v>
      </c>
      <c r="F522">
        <f t="shared" si="34"/>
        <v>1.1951212461708533E-5</v>
      </c>
      <c r="H522">
        <f t="shared" si="35"/>
        <v>1.954320044182626E-4</v>
      </c>
    </row>
    <row r="527" spans="1:8">
      <c r="A527" s="15"/>
    </row>
  </sheetData>
  <sortState ref="A2:F527">
    <sortCondition descending="1" ref="F1"/>
  </sortState>
  <hyperlinks>
    <hyperlink ref="A449" r:id="rId1" display="http://www.uniprot.org/uniprot/Q8WTQ7"/>
    <hyperlink ref="A445" r:id="rId2" display="http://www.uniprot.org/uniprot/Q8C0V7"/>
    <hyperlink ref="A446" r:id="rId3" display="http://www.uniprot.org/uniprot/Q8C0N0"/>
    <hyperlink ref="A447" r:id="rId4" display="http://www.uniprot.org/uniprot/A0AUV4"/>
    <hyperlink ref="A458" r:id="rId5" display="http://www.uniprot.org/uniprot/Q96QS6"/>
    <hyperlink ref="A464" r:id="rId6" display="http://www.uniprot.org/uniprot/Q9UEE5"/>
    <hyperlink ref="A461" r:id="rId7" display="http://www.uniprot.org/uniprot/Q9QYZ6"/>
    <hyperlink ref="A462" r:id="rId8" display="http://www.uniprot.org/uniprot/Q9QYZ3"/>
    <hyperlink ref="A463" r:id="rId9" display="http://www.uniprot.org/uniprot/Q9QYZ5"/>
    <hyperlink ref="A472" r:id="rId10" display="http://www.uniprot.org/uniprot/Q8C1R0"/>
    <hyperlink ref="A326" r:id="rId11" display="http://www.uniprot.org/uniprot/Q8N752"/>
    <hyperlink ref="A222" r:id="rId12" display="http://www.uniprot.org/uniprot/Q9UQ88"/>
    <hyperlink ref="A396" r:id="rId13" display="http://www.uniprot.org/uniprot/Q02846"/>
    <hyperlink ref="A487" r:id="rId14" display="http://www.uniprot.org/uniprot/P52785"/>
    <hyperlink ref="A488" r:id="rId15" display="http://www.uniprot.org/uniprot/Q6TL19"/>
    <hyperlink ref="A494" r:id="rId16" display="http://www.uniprot.org/uniprot/Q9QYZ4"/>
    <hyperlink ref="A495" r:id="rId17" display="http://www.uniprot.org/uniprot/A0JLX3"/>
    <hyperlink ref="A496" r:id="rId18" display="http://www.uniprot.org/uniprot/A2KF29"/>
    <hyperlink ref="A288" r:id="rId19" display="http://www.uniprot.org/uniprot/Q8NEV1"/>
  </hyperlink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Summary</vt:lpstr>
      <vt:lpstr>Transcriptome</vt:lpstr>
      <vt:lpstr>Proteome</vt:lpstr>
      <vt:lpstr>Consensus Phospho site</vt:lpstr>
      <vt:lpstr>AVP Regulation (PTM &amp; Ca-cAMP</vt:lpstr>
      <vt:lpstr>AQP2 Colocalization</vt:lpstr>
    </vt:vector>
  </TitlesOfParts>
  <Company>Travelport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Travelport GDS User</dc:creator>
  <cp:lastModifiedBy>Raghuram, Viswanathan (NIH/NHLBI) [V]</cp:lastModifiedBy>
  <cp:lastPrinted>2014-02-19T19:48:58Z</cp:lastPrinted>
  <dcterms:created xsi:type="dcterms:W3CDTF">2013-10-29T17:53:52Z</dcterms:created>
  <dcterms:modified xsi:type="dcterms:W3CDTF">2015-08-12T18:20:11Z</dcterms:modified>
</cp:coreProperties>
</file>