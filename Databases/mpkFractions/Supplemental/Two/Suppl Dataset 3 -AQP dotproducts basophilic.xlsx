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21840" windowHeight="12915" activeTab="3"/>
  </bookViews>
  <sheets>
    <sheet name="Readme" sheetId="4" r:id="rId1"/>
    <sheet name="Basophilic" sheetId="1" r:id="rId2"/>
    <sheet name="Dot Product" sheetId="2" r:id="rId3"/>
    <sheet name="Basophilic Dot Product" sheetId="3" r:id="rId4"/>
  </sheets>
  <definedNames>
    <definedName name="_xlnm._FilterDatabase" localSheetId="3" hidden="1">'Basophilic Dot Product'!$A$1:$P$1</definedName>
  </definedNames>
  <calcPr calcId="145621"/>
</workbook>
</file>

<file path=xl/calcChain.xml><?xml version="1.0" encoding="utf-8"?>
<calcChain xmlns="http://schemas.openxmlformats.org/spreadsheetml/2006/main">
  <c r="B2" i="2" l="1"/>
  <c r="B33" i="3" s="1"/>
  <c r="C3" i="2"/>
  <c r="C41" i="3" s="1"/>
  <c r="D3" i="2"/>
  <c r="D41" i="3" s="1"/>
  <c r="E3" i="2"/>
  <c r="E41" i="3" s="1"/>
  <c r="F3" i="2"/>
  <c r="F41" i="3" s="1"/>
  <c r="G3" i="2"/>
  <c r="G41" i="3" s="1"/>
  <c r="H3" i="2"/>
  <c r="H41" i="3" s="1"/>
  <c r="I3" i="2"/>
  <c r="I41" i="3" s="1"/>
  <c r="J3" i="2"/>
  <c r="J41" i="3" s="1"/>
  <c r="K3" i="2"/>
  <c r="K41" i="3" s="1"/>
  <c r="L3" i="2"/>
  <c r="L41" i="3" s="1"/>
  <c r="M3" i="2"/>
  <c r="M41" i="3" s="1"/>
  <c r="N3" i="2"/>
  <c r="N41" i="3" s="1"/>
  <c r="O3" i="2"/>
  <c r="O41" i="3" s="1"/>
  <c r="P3" i="2"/>
  <c r="P41" i="3" s="1"/>
  <c r="C4" i="2"/>
  <c r="C17" i="3" s="1"/>
  <c r="D4" i="2"/>
  <c r="D17" i="3" s="1"/>
  <c r="E4" i="2"/>
  <c r="E17" i="3" s="1"/>
  <c r="F4" i="2"/>
  <c r="F17" i="3" s="1"/>
  <c r="G4" i="2"/>
  <c r="G17" i="3" s="1"/>
  <c r="H4" i="2"/>
  <c r="H17" i="3" s="1"/>
  <c r="I4" i="2"/>
  <c r="I17" i="3" s="1"/>
  <c r="J4" i="2"/>
  <c r="J17" i="3" s="1"/>
  <c r="K4" i="2"/>
  <c r="K17" i="3" s="1"/>
  <c r="L4" i="2"/>
  <c r="L17" i="3" s="1"/>
  <c r="M4" i="2"/>
  <c r="M17" i="3" s="1"/>
  <c r="N4" i="2"/>
  <c r="N17" i="3" s="1"/>
  <c r="O4" i="2"/>
  <c r="O17" i="3" s="1"/>
  <c r="P4" i="2"/>
  <c r="P17" i="3" s="1"/>
  <c r="C5" i="2"/>
  <c r="C38" i="3" s="1"/>
  <c r="D5" i="2"/>
  <c r="D38" i="3" s="1"/>
  <c r="E5" i="2"/>
  <c r="E38" i="3" s="1"/>
  <c r="F5" i="2"/>
  <c r="F38" i="3" s="1"/>
  <c r="G5" i="2"/>
  <c r="G38" i="3" s="1"/>
  <c r="H5" i="2"/>
  <c r="H38" i="3" s="1"/>
  <c r="I5" i="2"/>
  <c r="I38" i="3" s="1"/>
  <c r="J5" i="2"/>
  <c r="J38" i="3" s="1"/>
  <c r="K5" i="2"/>
  <c r="K38" i="3" s="1"/>
  <c r="L5" i="2"/>
  <c r="L38" i="3" s="1"/>
  <c r="M5" i="2"/>
  <c r="M38" i="3" s="1"/>
  <c r="N5" i="2"/>
  <c r="N38" i="3" s="1"/>
  <c r="O5" i="2"/>
  <c r="O38" i="3" s="1"/>
  <c r="P5" i="2"/>
  <c r="P38" i="3" s="1"/>
  <c r="C6" i="2"/>
  <c r="C28" i="3" s="1"/>
  <c r="D6" i="2"/>
  <c r="D28" i="3" s="1"/>
  <c r="E6" i="2"/>
  <c r="E28" i="3" s="1"/>
  <c r="F6" i="2"/>
  <c r="F28" i="3" s="1"/>
  <c r="G6" i="2"/>
  <c r="G28" i="3" s="1"/>
  <c r="H6" i="2"/>
  <c r="H28" i="3" s="1"/>
  <c r="I6" i="2"/>
  <c r="I28" i="3" s="1"/>
  <c r="J6" i="2"/>
  <c r="J28" i="3" s="1"/>
  <c r="K6" i="2"/>
  <c r="K28" i="3" s="1"/>
  <c r="L6" i="2"/>
  <c r="L28" i="3" s="1"/>
  <c r="M6" i="2"/>
  <c r="M28" i="3" s="1"/>
  <c r="N6" i="2"/>
  <c r="N28" i="3" s="1"/>
  <c r="O6" i="2"/>
  <c r="O28" i="3" s="1"/>
  <c r="P6" i="2"/>
  <c r="P28" i="3" s="1"/>
  <c r="C7" i="2"/>
  <c r="C13" i="3" s="1"/>
  <c r="D7" i="2"/>
  <c r="D13" i="3" s="1"/>
  <c r="E7" i="2"/>
  <c r="E13" i="3" s="1"/>
  <c r="F7" i="2"/>
  <c r="F13" i="3" s="1"/>
  <c r="G7" i="2"/>
  <c r="G13" i="3" s="1"/>
  <c r="H7" i="2"/>
  <c r="H13" i="3" s="1"/>
  <c r="I7" i="2"/>
  <c r="I13" i="3" s="1"/>
  <c r="J7" i="2"/>
  <c r="J13" i="3" s="1"/>
  <c r="K7" i="2"/>
  <c r="K13" i="3" s="1"/>
  <c r="L7" i="2"/>
  <c r="L13" i="3" s="1"/>
  <c r="M7" i="2"/>
  <c r="M13" i="3" s="1"/>
  <c r="N7" i="2"/>
  <c r="N13" i="3" s="1"/>
  <c r="O7" i="2"/>
  <c r="O13" i="3" s="1"/>
  <c r="P7" i="2"/>
  <c r="P13" i="3" s="1"/>
  <c r="C8" i="2"/>
  <c r="C12" i="3" s="1"/>
  <c r="D8" i="2"/>
  <c r="D12" i="3" s="1"/>
  <c r="E8" i="2"/>
  <c r="E12" i="3" s="1"/>
  <c r="F8" i="2"/>
  <c r="F12" i="3" s="1"/>
  <c r="G8" i="2"/>
  <c r="G12" i="3" s="1"/>
  <c r="H8" i="2"/>
  <c r="H12" i="3" s="1"/>
  <c r="I8" i="2"/>
  <c r="I12" i="3" s="1"/>
  <c r="J8" i="2"/>
  <c r="J12" i="3" s="1"/>
  <c r="K8" i="2"/>
  <c r="K12" i="3" s="1"/>
  <c r="L8" i="2"/>
  <c r="L12" i="3" s="1"/>
  <c r="M8" i="2"/>
  <c r="M12" i="3" s="1"/>
  <c r="N8" i="2"/>
  <c r="N12" i="3" s="1"/>
  <c r="O8" i="2"/>
  <c r="O12" i="3" s="1"/>
  <c r="P8" i="2"/>
  <c r="P12" i="3" s="1"/>
  <c r="C9" i="2"/>
  <c r="C25" i="3" s="1"/>
  <c r="D9" i="2"/>
  <c r="D25" i="3" s="1"/>
  <c r="E9" i="2"/>
  <c r="E25" i="3" s="1"/>
  <c r="F9" i="2"/>
  <c r="F25" i="3" s="1"/>
  <c r="G9" i="2"/>
  <c r="G25" i="3" s="1"/>
  <c r="H9" i="2"/>
  <c r="H25" i="3" s="1"/>
  <c r="I9" i="2"/>
  <c r="I25" i="3" s="1"/>
  <c r="J9" i="2"/>
  <c r="J25" i="3" s="1"/>
  <c r="K9" i="2"/>
  <c r="K25" i="3" s="1"/>
  <c r="L9" i="2"/>
  <c r="L25" i="3" s="1"/>
  <c r="M9" i="2"/>
  <c r="M25" i="3" s="1"/>
  <c r="N9" i="2"/>
  <c r="N25" i="3" s="1"/>
  <c r="O9" i="2"/>
  <c r="O25" i="3" s="1"/>
  <c r="P9" i="2"/>
  <c r="P25" i="3" s="1"/>
  <c r="C10" i="2"/>
  <c r="C4" i="3" s="1"/>
  <c r="D10" i="2"/>
  <c r="D4" i="3" s="1"/>
  <c r="E10" i="2"/>
  <c r="E4" i="3" s="1"/>
  <c r="F10" i="2"/>
  <c r="F4" i="3" s="1"/>
  <c r="G10" i="2"/>
  <c r="G4" i="3" s="1"/>
  <c r="H10" i="2"/>
  <c r="H4" i="3" s="1"/>
  <c r="I10" i="2"/>
  <c r="I4" i="3" s="1"/>
  <c r="J10" i="2"/>
  <c r="J4" i="3" s="1"/>
  <c r="K10" i="2"/>
  <c r="K4" i="3" s="1"/>
  <c r="L10" i="2"/>
  <c r="L4" i="3" s="1"/>
  <c r="M10" i="2"/>
  <c r="M4" i="3" s="1"/>
  <c r="N10" i="2"/>
  <c r="N4" i="3" s="1"/>
  <c r="O10" i="2"/>
  <c r="O4" i="3" s="1"/>
  <c r="P10" i="2"/>
  <c r="P4" i="3" s="1"/>
  <c r="C11" i="2"/>
  <c r="C18" i="3" s="1"/>
  <c r="D11" i="2"/>
  <c r="D18" i="3" s="1"/>
  <c r="E11" i="2"/>
  <c r="E18" i="3" s="1"/>
  <c r="F11" i="2"/>
  <c r="F18" i="3" s="1"/>
  <c r="G11" i="2"/>
  <c r="G18" i="3" s="1"/>
  <c r="H11" i="2"/>
  <c r="H18" i="3" s="1"/>
  <c r="I11" i="2"/>
  <c r="I18" i="3" s="1"/>
  <c r="J11" i="2"/>
  <c r="J18" i="3" s="1"/>
  <c r="K11" i="2"/>
  <c r="K18" i="3" s="1"/>
  <c r="L11" i="2"/>
  <c r="L18" i="3" s="1"/>
  <c r="M11" i="2"/>
  <c r="M18" i="3" s="1"/>
  <c r="N11" i="2"/>
  <c r="N18" i="3" s="1"/>
  <c r="O11" i="2"/>
  <c r="O18" i="3" s="1"/>
  <c r="P11" i="2"/>
  <c r="P18" i="3" s="1"/>
  <c r="C12" i="2"/>
  <c r="C5" i="3" s="1"/>
  <c r="D12" i="2"/>
  <c r="D5" i="3" s="1"/>
  <c r="E12" i="2"/>
  <c r="E5" i="3" s="1"/>
  <c r="F12" i="2"/>
  <c r="F5" i="3" s="1"/>
  <c r="G12" i="2"/>
  <c r="G5" i="3" s="1"/>
  <c r="H12" i="2"/>
  <c r="H5" i="3" s="1"/>
  <c r="I12" i="2"/>
  <c r="I5" i="3" s="1"/>
  <c r="J12" i="2"/>
  <c r="J5" i="3" s="1"/>
  <c r="K12" i="2"/>
  <c r="K5" i="3" s="1"/>
  <c r="L12" i="2"/>
  <c r="L5" i="3" s="1"/>
  <c r="M12" i="2"/>
  <c r="M5" i="3" s="1"/>
  <c r="N12" i="2"/>
  <c r="N5" i="3" s="1"/>
  <c r="O12" i="2"/>
  <c r="O5" i="3" s="1"/>
  <c r="P12" i="2"/>
  <c r="P5" i="3" s="1"/>
  <c r="C13" i="2"/>
  <c r="C39" i="3" s="1"/>
  <c r="D13" i="2"/>
  <c r="D39" i="3" s="1"/>
  <c r="E13" i="2"/>
  <c r="E39" i="3" s="1"/>
  <c r="F13" i="2"/>
  <c r="F39" i="3" s="1"/>
  <c r="G13" i="2"/>
  <c r="G39" i="3" s="1"/>
  <c r="H13" i="2"/>
  <c r="H39" i="3" s="1"/>
  <c r="I13" i="2"/>
  <c r="I39" i="3" s="1"/>
  <c r="J13" i="2"/>
  <c r="J39" i="3" s="1"/>
  <c r="K13" i="2"/>
  <c r="K39" i="3" s="1"/>
  <c r="L13" i="2"/>
  <c r="L39" i="3" s="1"/>
  <c r="M13" i="2"/>
  <c r="M39" i="3" s="1"/>
  <c r="N13" i="2"/>
  <c r="N39" i="3" s="1"/>
  <c r="O13" i="2"/>
  <c r="O39" i="3" s="1"/>
  <c r="P13" i="2"/>
  <c r="P39" i="3" s="1"/>
  <c r="C14" i="2"/>
  <c r="C2" i="3" s="1"/>
  <c r="D14" i="2"/>
  <c r="D2" i="3" s="1"/>
  <c r="E14" i="2"/>
  <c r="E2" i="3" s="1"/>
  <c r="F14" i="2"/>
  <c r="F2" i="3" s="1"/>
  <c r="G14" i="2"/>
  <c r="G2" i="3" s="1"/>
  <c r="H14" i="2"/>
  <c r="H2" i="3" s="1"/>
  <c r="I14" i="2"/>
  <c r="I2" i="3" s="1"/>
  <c r="J14" i="2"/>
  <c r="J2" i="3" s="1"/>
  <c r="K14" i="2"/>
  <c r="K2" i="3" s="1"/>
  <c r="L14" i="2"/>
  <c r="L2" i="3" s="1"/>
  <c r="M14" i="2"/>
  <c r="M2" i="3" s="1"/>
  <c r="N14" i="2"/>
  <c r="N2" i="3" s="1"/>
  <c r="O14" i="2"/>
  <c r="O2" i="3" s="1"/>
  <c r="P14" i="2"/>
  <c r="P2" i="3" s="1"/>
  <c r="C15" i="2"/>
  <c r="C8" i="3" s="1"/>
  <c r="D15" i="2"/>
  <c r="D8" i="3" s="1"/>
  <c r="E15" i="2"/>
  <c r="E8" i="3" s="1"/>
  <c r="F15" i="2"/>
  <c r="F8" i="3" s="1"/>
  <c r="G15" i="2"/>
  <c r="G8" i="3" s="1"/>
  <c r="H15" i="2"/>
  <c r="H8" i="3" s="1"/>
  <c r="I15" i="2"/>
  <c r="I8" i="3" s="1"/>
  <c r="J15" i="2"/>
  <c r="J8" i="3" s="1"/>
  <c r="K15" i="2"/>
  <c r="K8" i="3" s="1"/>
  <c r="L15" i="2"/>
  <c r="L8" i="3" s="1"/>
  <c r="M15" i="2"/>
  <c r="M8" i="3" s="1"/>
  <c r="N15" i="2"/>
  <c r="N8" i="3" s="1"/>
  <c r="O15" i="2"/>
  <c r="O8" i="3" s="1"/>
  <c r="P15" i="2"/>
  <c r="P8" i="3" s="1"/>
  <c r="C16" i="2"/>
  <c r="C6" i="3" s="1"/>
  <c r="D16" i="2"/>
  <c r="D6" i="3" s="1"/>
  <c r="E16" i="2"/>
  <c r="E6" i="3" s="1"/>
  <c r="F16" i="2"/>
  <c r="F6" i="3" s="1"/>
  <c r="G16" i="2"/>
  <c r="G6" i="3" s="1"/>
  <c r="H16" i="2"/>
  <c r="H6" i="3" s="1"/>
  <c r="I16" i="2"/>
  <c r="I6" i="3" s="1"/>
  <c r="J16" i="2"/>
  <c r="J6" i="3" s="1"/>
  <c r="K16" i="2"/>
  <c r="K6" i="3" s="1"/>
  <c r="L16" i="2"/>
  <c r="L6" i="3" s="1"/>
  <c r="M16" i="2"/>
  <c r="M6" i="3" s="1"/>
  <c r="N16" i="2"/>
  <c r="N6" i="3" s="1"/>
  <c r="O16" i="2"/>
  <c r="O6" i="3" s="1"/>
  <c r="P16" i="2"/>
  <c r="P6" i="3" s="1"/>
  <c r="C17" i="2"/>
  <c r="C7" i="3" s="1"/>
  <c r="D17" i="2"/>
  <c r="D7" i="3" s="1"/>
  <c r="E17" i="2"/>
  <c r="E7" i="3" s="1"/>
  <c r="F17" i="2"/>
  <c r="F7" i="3" s="1"/>
  <c r="G17" i="2"/>
  <c r="G7" i="3" s="1"/>
  <c r="H17" i="2"/>
  <c r="H7" i="3" s="1"/>
  <c r="I17" i="2"/>
  <c r="I7" i="3" s="1"/>
  <c r="J17" i="2"/>
  <c r="J7" i="3" s="1"/>
  <c r="K17" i="2"/>
  <c r="K7" i="3" s="1"/>
  <c r="L17" i="2"/>
  <c r="L7" i="3" s="1"/>
  <c r="M17" i="2"/>
  <c r="M7" i="3" s="1"/>
  <c r="N17" i="2"/>
  <c r="N7" i="3" s="1"/>
  <c r="O17" i="2"/>
  <c r="O7" i="3" s="1"/>
  <c r="P17" i="2"/>
  <c r="P7" i="3" s="1"/>
  <c r="C18" i="2"/>
  <c r="C26" i="3" s="1"/>
  <c r="D18" i="2"/>
  <c r="D26" i="3" s="1"/>
  <c r="E18" i="2"/>
  <c r="E26" i="3" s="1"/>
  <c r="F18" i="2"/>
  <c r="F26" i="3" s="1"/>
  <c r="G18" i="2"/>
  <c r="G26" i="3" s="1"/>
  <c r="H18" i="2"/>
  <c r="H26" i="3" s="1"/>
  <c r="I18" i="2"/>
  <c r="I26" i="3" s="1"/>
  <c r="J18" i="2"/>
  <c r="J26" i="3" s="1"/>
  <c r="K18" i="2"/>
  <c r="K26" i="3" s="1"/>
  <c r="L18" i="2"/>
  <c r="L26" i="3" s="1"/>
  <c r="M18" i="2"/>
  <c r="M26" i="3" s="1"/>
  <c r="N18" i="2"/>
  <c r="N26" i="3" s="1"/>
  <c r="O18" i="2"/>
  <c r="O26" i="3" s="1"/>
  <c r="P18" i="2"/>
  <c r="P26" i="3" s="1"/>
  <c r="C19" i="2"/>
  <c r="C49" i="3" s="1"/>
  <c r="D19" i="2"/>
  <c r="D49" i="3" s="1"/>
  <c r="E19" i="2"/>
  <c r="E49" i="3" s="1"/>
  <c r="F19" i="2"/>
  <c r="F49" i="3" s="1"/>
  <c r="G19" i="2"/>
  <c r="G49" i="3" s="1"/>
  <c r="H19" i="2"/>
  <c r="H49" i="3" s="1"/>
  <c r="I19" i="2"/>
  <c r="I49" i="3" s="1"/>
  <c r="J19" i="2"/>
  <c r="J49" i="3" s="1"/>
  <c r="K19" i="2"/>
  <c r="K49" i="3" s="1"/>
  <c r="L19" i="2"/>
  <c r="L49" i="3" s="1"/>
  <c r="M19" i="2"/>
  <c r="M49" i="3" s="1"/>
  <c r="N19" i="2"/>
  <c r="N49" i="3" s="1"/>
  <c r="O19" i="2"/>
  <c r="O49" i="3" s="1"/>
  <c r="P19" i="2"/>
  <c r="P49" i="3" s="1"/>
  <c r="C20" i="2"/>
  <c r="C48" i="3" s="1"/>
  <c r="D20" i="2"/>
  <c r="D48" i="3" s="1"/>
  <c r="E20" i="2"/>
  <c r="E48" i="3" s="1"/>
  <c r="F20" i="2"/>
  <c r="F48" i="3" s="1"/>
  <c r="G20" i="2"/>
  <c r="G48" i="3" s="1"/>
  <c r="H20" i="2"/>
  <c r="H48" i="3" s="1"/>
  <c r="I20" i="2"/>
  <c r="I48" i="3" s="1"/>
  <c r="J20" i="2"/>
  <c r="J48" i="3" s="1"/>
  <c r="K20" i="2"/>
  <c r="K48" i="3" s="1"/>
  <c r="L20" i="2"/>
  <c r="L48" i="3" s="1"/>
  <c r="M20" i="2"/>
  <c r="M48" i="3" s="1"/>
  <c r="N20" i="2"/>
  <c r="N48" i="3" s="1"/>
  <c r="O20" i="2"/>
  <c r="O48" i="3" s="1"/>
  <c r="P20" i="2"/>
  <c r="P48" i="3" s="1"/>
  <c r="C21" i="2"/>
  <c r="C10" i="3" s="1"/>
  <c r="D21" i="2"/>
  <c r="D10" i="3" s="1"/>
  <c r="E21" i="2"/>
  <c r="E10" i="3" s="1"/>
  <c r="F21" i="2"/>
  <c r="F10" i="3" s="1"/>
  <c r="G21" i="2"/>
  <c r="G10" i="3" s="1"/>
  <c r="H21" i="2"/>
  <c r="H10" i="3" s="1"/>
  <c r="I21" i="2"/>
  <c r="I10" i="3" s="1"/>
  <c r="J21" i="2"/>
  <c r="J10" i="3" s="1"/>
  <c r="K21" i="2"/>
  <c r="K10" i="3" s="1"/>
  <c r="L21" i="2"/>
  <c r="L10" i="3" s="1"/>
  <c r="M21" i="2"/>
  <c r="M10" i="3" s="1"/>
  <c r="N21" i="2"/>
  <c r="N10" i="3" s="1"/>
  <c r="O21" i="2"/>
  <c r="O10" i="3" s="1"/>
  <c r="P21" i="2"/>
  <c r="P10" i="3" s="1"/>
  <c r="C22" i="2"/>
  <c r="C14" i="3" s="1"/>
  <c r="D22" i="2"/>
  <c r="D14" i="3" s="1"/>
  <c r="E22" i="2"/>
  <c r="E14" i="3" s="1"/>
  <c r="F22" i="2"/>
  <c r="F14" i="3" s="1"/>
  <c r="G22" i="2"/>
  <c r="G14" i="3" s="1"/>
  <c r="H22" i="2"/>
  <c r="H14" i="3" s="1"/>
  <c r="I22" i="2"/>
  <c r="I14" i="3" s="1"/>
  <c r="J22" i="2"/>
  <c r="J14" i="3" s="1"/>
  <c r="K22" i="2"/>
  <c r="K14" i="3" s="1"/>
  <c r="L22" i="2"/>
  <c r="L14" i="3" s="1"/>
  <c r="M22" i="2"/>
  <c r="M14" i="3" s="1"/>
  <c r="N22" i="2"/>
  <c r="N14" i="3" s="1"/>
  <c r="O22" i="2"/>
  <c r="O14" i="3" s="1"/>
  <c r="P22" i="2"/>
  <c r="P14" i="3" s="1"/>
  <c r="C23" i="2"/>
  <c r="C40" i="3" s="1"/>
  <c r="D23" i="2"/>
  <c r="D40" i="3" s="1"/>
  <c r="E23" i="2"/>
  <c r="E40" i="3" s="1"/>
  <c r="F23" i="2"/>
  <c r="F40" i="3" s="1"/>
  <c r="G23" i="2"/>
  <c r="G40" i="3" s="1"/>
  <c r="H23" i="2"/>
  <c r="H40" i="3" s="1"/>
  <c r="I23" i="2"/>
  <c r="I40" i="3" s="1"/>
  <c r="J23" i="2"/>
  <c r="J40" i="3" s="1"/>
  <c r="K23" i="2"/>
  <c r="K40" i="3" s="1"/>
  <c r="L23" i="2"/>
  <c r="L40" i="3" s="1"/>
  <c r="M23" i="2"/>
  <c r="M40" i="3" s="1"/>
  <c r="N23" i="2"/>
  <c r="N40" i="3" s="1"/>
  <c r="O23" i="2"/>
  <c r="O40" i="3" s="1"/>
  <c r="P23" i="2"/>
  <c r="P40" i="3" s="1"/>
  <c r="C24" i="2"/>
  <c r="C55" i="3" s="1"/>
  <c r="D24" i="2"/>
  <c r="D55" i="3" s="1"/>
  <c r="E24" i="2"/>
  <c r="E55" i="3" s="1"/>
  <c r="F24" i="2"/>
  <c r="F55" i="3" s="1"/>
  <c r="G24" i="2"/>
  <c r="G55" i="3" s="1"/>
  <c r="H24" i="2"/>
  <c r="H55" i="3" s="1"/>
  <c r="I24" i="2"/>
  <c r="I55" i="3" s="1"/>
  <c r="J24" i="2"/>
  <c r="J55" i="3" s="1"/>
  <c r="K24" i="2"/>
  <c r="K55" i="3" s="1"/>
  <c r="L24" i="2"/>
  <c r="L55" i="3" s="1"/>
  <c r="M24" i="2"/>
  <c r="M55" i="3" s="1"/>
  <c r="N24" i="2"/>
  <c r="N55" i="3" s="1"/>
  <c r="O24" i="2"/>
  <c r="O55" i="3" s="1"/>
  <c r="P24" i="2"/>
  <c r="P55" i="3" s="1"/>
  <c r="C25" i="2"/>
  <c r="C54" i="3" s="1"/>
  <c r="D25" i="2"/>
  <c r="D54" i="3" s="1"/>
  <c r="E25" i="2"/>
  <c r="E54" i="3" s="1"/>
  <c r="F25" i="2"/>
  <c r="F54" i="3" s="1"/>
  <c r="G25" i="2"/>
  <c r="G54" i="3" s="1"/>
  <c r="H25" i="2"/>
  <c r="H54" i="3" s="1"/>
  <c r="I25" i="2"/>
  <c r="I54" i="3" s="1"/>
  <c r="J25" i="2"/>
  <c r="J54" i="3" s="1"/>
  <c r="K25" i="2"/>
  <c r="K54" i="3" s="1"/>
  <c r="L25" i="2"/>
  <c r="L54" i="3" s="1"/>
  <c r="M25" i="2"/>
  <c r="M54" i="3" s="1"/>
  <c r="N25" i="2"/>
  <c r="N54" i="3" s="1"/>
  <c r="O25" i="2"/>
  <c r="O54" i="3" s="1"/>
  <c r="P25" i="2"/>
  <c r="P54" i="3" s="1"/>
  <c r="C26" i="2"/>
  <c r="C37" i="3" s="1"/>
  <c r="D26" i="2"/>
  <c r="D37" i="3" s="1"/>
  <c r="E26" i="2"/>
  <c r="E37" i="3" s="1"/>
  <c r="F26" i="2"/>
  <c r="F37" i="3" s="1"/>
  <c r="G26" i="2"/>
  <c r="G37" i="3" s="1"/>
  <c r="H26" i="2"/>
  <c r="H37" i="3" s="1"/>
  <c r="I26" i="2"/>
  <c r="I37" i="3" s="1"/>
  <c r="J26" i="2"/>
  <c r="J37" i="3" s="1"/>
  <c r="K26" i="2"/>
  <c r="K37" i="3" s="1"/>
  <c r="L26" i="2"/>
  <c r="L37" i="3" s="1"/>
  <c r="M26" i="2"/>
  <c r="M37" i="3" s="1"/>
  <c r="N26" i="2"/>
  <c r="N37" i="3" s="1"/>
  <c r="O26" i="2"/>
  <c r="O37" i="3" s="1"/>
  <c r="P26" i="2"/>
  <c r="P37" i="3" s="1"/>
  <c r="C27" i="2"/>
  <c r="C31" i="3" s="1"/>
  <c r="D27" i="2"/>
  <c r="D31" i="3" s="1"/>
  <c r="E27" i="2"/>
  <c r="E31" i="3" s="1"/>
  <c r="F27" i="2"/>
  <c r="F31" i="3" s="1"/>
  <c r="G27" i="2"/>
  <c r="G31" i="3" s="1"/>
  <c r="H27" i="2"/>
  <c r="H31" i="3" s="1"/>
  <c r="I27" i="2"/>
  <c r="I31" i="3" s="1"/>
  <c r="J27" i="2"/>
  <c r="J31" i="3" s="1"/>
  <c r="K27" i="2"/>
  <c r="K31" i="3" s="1"/>
  <c r="L27" i="2"/>
  <c r="L31" i="3" s="1"/>
  <c r="M27" i="2"/>
  <c r="M31" i="3" s="1"/>
  <c r="N27" i="2"/>
  <c r="N31" i="3" s="1"/>
  <c r="O27" i="2"/>
  <c r="O31" i="3" s="1"/>
  <c r="P27" i="2"/>
  <c r="P31" i="3" s="1"/>
  <c r="C28" i="2"/>
  <c r="C43" i="3" s="1"/>
  <c r="D28" i="2"/>
  <c r="D43" i="3" s="1"/>
  <c r="E28" i="2"/>
  <c r="E43" i="3" s="1"/>
  <c r="F28" i="2"/>
  <c r="F43" i="3" s="1"/>
  <c r="G28" i="2"/>
  <c r="G43" i="3" s="1"/>
  <c r="H28" i="2"/>
  <c r="H43" i="3" s="1"/>
  <c r="I28" i="2"/>
  <c r="I43" i="3" s="1"/>
  <c r="J28" i="2"/>
  <c r="J43" i="3" s="1"/>
  <c r="K28" i="2"/>
  <c r="K43" i="3" s="1"/>
  <c r="L28" i="2"/>
  <c r="L43" i="3" s="1"/>
  <c r="M28" i="2"/>
  <c r="M43" i="3" s="1"/>
  <c r="N28" i="2"/>
  <c r="N43" i="3" s="1"/>
  <c r="O28" i="2"/>
  <c r="O43" i="3" s="1"/>
  <c r="P28" i="2"/>
  <c r="P43" i="3" s="1"/>
  <c r="C29" i="2"/>
  <c r="C27" i="3" s="1"/>
  <c r="D29" i="2"/>
  <c r="D27" i="3" s="1"/>
  <c r="E29" i="2"/>
  <c r="E27" i="3" s="1"/>
  <c r="F29" i="2"/>
  <c r="F27" i="3" s="1"/>
  <c r="G29" i="2"/>
  <c r="G27" i="3" s="1"/>
  <c r="H29" i="2"/>
  <c r="H27" i="3" s="1"/>
  <c r="I29" i="2"/>
  <c r="I27" i="3" s="1"/>
  <c r="J29" i="2"/>
  <c r="J27" i="3" s="1"/>
  <c r="K29" i="2"/>
  <c r="K27" i="3" s="1"/>
  <c r="L29" i="2"/>
  <c r="L27" i="3" s="1"/>
  <c r="M29" i="2"/>
  <c r="M27" i="3" s="1"/>
  <c r="N29" i="2"/>
  <c r="N27" i="3" s="1"/>
  <c r="O29" i="2"/>
  <c r="O27" i="3" s="1"/>
  <c r="P29" i="2"/>
  <c r="P27" i="3" s="1"/>
  <c r="C30" i="2"/>
  <c r="C42" i="3" s="1"/>
  <c r="D30" i="2"/>
  <c r="D42" i="3" s="1"/>
  <c r="E30" i="2"/>
  <c r="E42" i="3" s="1"/>
  <c r="F30" i="2"/>
  <c r="F42" i="3" s="1"/>
  <c r="G30" i="2"/>
  <c r="G42" i="3" s="1"/>
  <c r="H30" i="2"/>
  <c r="H42" i="3" s="1"/>
  <c r="I30" i="2"/>
  <c r="I42" i="3" s="1"/>
  <c r="J30" i="2"/>
  <c r="J42" i="3" s="1"/>
  <c r="K30" i="2"/>
  <c r="K42" i="3" s="1"/>
  <c r="L30" i="2"/>
  <c r="L42" i="3" s="1"/>
  <c r="M30" i="2"/>
  <c r="M42" i="3" s="1"/>
  <c r="N30" i="2"/>
  <c r="N42" i="3" s="1"/>
  <c r="O30" i="2"/>
  <c r="O42" i="3" s="1"/>
  <c r="P30" i="2"/>
  <c r="P42" i="3" s="1"/>
  <c r="C31" i="2"/>
  <c r="C44" i="3" s="1"/>
  <c r="D31" i="2"/>
  <c r="D44" i="3" s="1"/>
  <c r="E31" i="2"/>
  <c r="E44" i="3" s="1"/>
  <c r="F31" i="2"/>
  <c r="F44" i="3" s="1"/>
  <c r="G31" i="2"/>
  <c r="G44" i="3" s="1"/>
  <c r="H31" i="2"/>
  <c r="H44" i="3" s="1"/>
  <c r="I31" i="2"/>
  <c r="I44" i="3" s="1"/>
  <c r="J31" i="2"/>
  <c r="J44" i="3" s="1"/>
  <c r="K31" i="2"/>
  <c r="K44" i="3" s="1"/>
  <c r="L31" i="2"/>
  <c r="L44" i="3" s="1"/>
  <c r="M31" i="2"/>
  <c r="M44" i="3" s="1"/>
  <c r="N31" i="2"/>
  <c r="N44" i="3" s="1"/>
  <c r="O31" i="2"/>
  <c r="O44" i="3" s="1"/>
  <c r="P31" i="2"/>
  <c r="P44" i="3" s="1"/>
  <c r="C32" i="2"/>
  <c r="C50" i="3" s="1"/>
  <c r="D32" i="2"/>
  <c r="D50" i="3" s="1"/>
  <c r="E32" i="2"/>
  <c r="E50" i="3" s="1"/>
  <c r="F32" i="2"/>
  <c r="F50" i="3" s="1"/>
  <c r="G32" i="2"/>
  <c r="G50" i="3" s="1"/>
  <c r="H32" i="2"/>
  <c r="H50" i="3" s="1"/>
  <c r="I32" i="2"/>
  <c r="I50" i="3" s="1"/>
  <c r="J32" i="2"/>
  <c r="J50" i="3" s="1"/>
  <c r="K32" i="2"/>
  <c r="K50" i="3" s="1"/>
  <c r="L32" i="2"/>
  <c r="L50" i="3" s="1"/>
  <c r="M32" i="2"/>
  <c r="M50" i="3" s="1"/>
  <c r="N32" i="2"/>
  <c r="N50" i="3" s="1"/>
  <c r="O32" i="2"/>
  <c r="O50" i="3" s="1"/>
  <c r="P32" i="2"/>
  <c r="P50" i="3" s="1"/>
  <c r="C33" i="2"/>
  <c r="C47" i="3" s="1"/>
  <c r="D33" i="2"/>
  <c r="D47" i="3" s="1"/>
  <c r="E33" i="2"/>
  <c r="E47" i="3" s="1"/>
  <c r="F33" i="2"/>
  <c r="F47" i="3" s="1"/>
  <c r="G33" i="2"/>
  <c r="G47" i="3" s="1"/>
  <c r="H33" i="2"/>
  <c r="H47" i="3" s="1"/>
  <c r="I33" i="2"/>
  <c r="I47" i="3" s="1"/>
  <c r="J33" i="2"/>
  <c r="J47" i="3" s="1"/>
  <c r="K33" i="2"/>
  <c r="K47" i="3" s="1"/>
  <c r="L33" i="2"/>
  <c r="L47" i="3" s="1"/>
  <c r="M33" i="2"/>
  <c r="M47" i="3" s="1"/>
  <c r="N33" i="2"/>
  <c r="N47" i="3" s="1"/>
  <c r="O33" i="2"/>
  <c r="O47" i="3" s="1"/>
  <c r="P33" i="2"/>
  <c r="P47" i="3" s="1"/>
  <c r="C34" i="2"/>
  <c r="C29" i="3" s="1"/>
  <c r="D34" i="2"/>
  <c r="D29" i="3" s="1"/>
  <c r="E34" i="2"/>
  <c r="E29" i="3" s="1"/>
  <c r="F34" i="2"/>
  <c r="F29" i="3" s="1"/>
  <c r="G34" i="2"/>
  <c r="G29" i="3" s="1"/>
  <c r="H34" i="2"/>
  <c r="H29" i="3" s="1"/>
  <c r="I34" i="2"/>
  <c r="I29" i="3" s="1"/>
  <c r="J34" i="2"/>
  <c r="J29" i="3" s="1"/>
  <c r="K34" i="2"/>
  <c r="K29" i="3" s="1"/>
  <c r="L34" i="2"/>
  <c r="L29" i="3" s="1"/>
  <c r="M34" i="2"/>
  <c r="M29" i="3" s="1"/>
  <c r="N34" i="2"/>
  <c r="N29" i="3" s="1"/>
  <c r="O34" i="2"/>
  <c r="O29" i="3" s="1"/>
  <c r="P34" i="2"/>
  <c r="P29" i="3" s="1"/>
  <c r="C35" i="2"/>
  <c r="C23" i="3" s="1"/>
  <c r="D35" i="2"/>
  <c r="D23" i="3" s="1"/>
  <c r="E35" i="2"/>
  <c r="E23" i="3" s="1"/>
  <c r="F35" i="2"/>
  <c r="F23" i="3" s="1"/>
  <c r="G35" i="2"/>
  <c r="G23" i="3" s="1"/>
  <c r="H35" i="2"/>
  <c r="H23" i="3" s="1"/>
  <c r="I35" i="2"/>
  <c r="I23" i="3" s="1"/>
  <c r="J35" i="2"/>
  <c r="J23" i="3" s="1"/>
  <c r="K35" i="2"/>
  <c r="K23" i="3" s="1"/>
  <c r="L35" i="2"/>
  <c r="L23" i="3" s="1"/>
  <c r="M35" i="2"/>
  <c r="M23" i="3" s="1"/>
  <c r="N35" i="2"/>
  <c r="N23" i="3" s="1"/>
  <c r="O35" i="2"/>
  <c r="O23" i="3" s="1"/>
  <c r="P35" i="2"/>
  <c r="P23" i="3" s="1"/>
  <c r="C36" i="2"/>
  <c r="C32" i="3" s="1"/>
  <c r="D36" i="2"/>
  <c r="D32" i="3" s="1"/>
  <c r="E36" i="2"/>
  <c r="E32" i="3" s="1"/>
  <c r="F36" i="2"/>
  <c r="F32" i="3" s="1"/>
  <c r="G36" i="2"/>
  <c r="G32" i="3" s="1"/>
  <c r="H36" i="2"/>
  <c r="H32" i="3" s="1"/>
  <c r="I36" i="2"/>
  <c r="I32" i="3" s="1"/>
  <c r="J36" i="2"/>
  <c r="J32" i="3" s="1"/>
  <c r="K36" i="2"/>
  <c r="K32" i="3" s="1"/>
  <c r="L36" i="2"/>
  <c r="L32" i="3" s="1"/>
  <c r="M36" i="2"/>
  <c r="M32" i="3" s="1"/>
  <c r="N36" i="2"/>
  <c r="N32" i="3" s="1"/>
  <c r="O36" i="2"/>
  <c r="O32" i="3" s="1"/>
  <c r="P36" i="2"/>
  <c r="P32" i="3" s="1"/>
  <c r="C37" i="2"/>
  <c r="C3" i="3" s="1"/>
  <c r="D37" i="2"/>
  <c r="D3" i="3" s="1"/>
  <c r="E37" i="2"/>
  <c r="E3" i="3" s="1"/>
  <c r="F37" i="2"/>
  <c r="F3" i="3" s="1"/>
  <c r="G37" i="2"/>
  <c r="G3" i="3" s="1"/>
  <c r="H37" i="2"/>
  <c r="H3" i="3" s="1"/>
  <c r="I37" i="2"/>
  <c r="I3" i="3" s="1"/>
  <c r="J37" i="2"/>
  <c r="J3" i="3" s="1"/>
  <c r="K37" i="2"/>
  <c r="K3" i="3" s="1"/>
  <c r="L37" i="2"/>
  <c r="L3" i="3" s="1"/>
  <c r="M37" i="2"/>
  <c r="M3" i="3" s="1"/>
  <c r="N37" i="2"/>
  <c r="N3" i="3" s="1"/>
  <c r="O37" i="2"/>
  <c r="O3" i="3" s="1"/>
  <c r="P37" i="2"/>
  <c r="P3" i="3" s="1"/>
  <c r="C38" i="2"/>
  <c r="C52" i="3" s="1"/>
  <c r="D38" i="2"/>
  <c r="D52" i="3" s="1"/>
  <c r="E38" i="2"/>
  <c r="E52" i="3" s="1"/>
  <c r="F38" i="2"/>
  <c r="F52" i="3" s="1"/>
  <c r="G38" i="2"/>
  <c r="G52" i="3" s="1"/>
  <c r="H38" i="2"/>
  <c r="H52" i="3" s="1"/>
  <c r="I38" i="2"/>
  <c r="I52" i="3" s="1"/>
  <c r="J38" i="2"/>
  <c r="J52" i="3" s="1"/>
  <c r="K38" i="2"/>
  <c r="K52" i="3" s="1"/>
  <c r="L38" i="2"/>
  <c r="L52" i="3" s="1"/>
  <c r="M38" i="2"/>
  <c r="M52" i="3" s="1"/>
  <c r="N38" i="2"/>
  <c r="N52" i="3" s="1"/>
  <c r="O38" i="2"/>
  <c r="O52" i="3" s="1"/>
  <c r="P38" i="2"/>
  <c r="P52" i="3" s="1"/>
  <c r="C39" i="2"/>
  <c r="C45" i="3" s="1"/>
  <c r="D39" i="2"/>
  <c r="D45" i="3" s="1"/>
  <c r="E39" i="2"/>
  <c r="E45" i="3" s="1"/>
  <c r="F39" i="2"/>
  <c r="F45" i="3" s="1"/>
  <c r="G39" i="2"/>
  <c r="G45" i="3" s="1"/>
  <c r="H39" i="2"/>
  <c r="H45" i="3" s="1"/>
  <c r="I39" i="2"/>
  <c r="I45" i="3" s="1"/>
  <c r="J39" i="2"/>
  <c r="J45" i="3" s="1"/>
  <c r="K39" i="2"/>
  <c r="K45" i="3" s="1"/>
  <c r="L39" i="2"/>
  <c r="L45" i="3" s="1"/>
  <c r="M39" i="2"/>
  <c r="M45" i="3" s="1"/>
  <c r="N39" i="2"/>
  <c r="N45" i="3" s="1"/>
  <c r="O39" i="2"/>
  <c r="O45" i="3" s="1"/>
  <c r="P39" i="2"/>
  <c r="P45" i="3" s="1"/>
  <c r="C40" i="2"/>
  <c r="C15" i="3" s="1"/>
  <c r="D40" i="2"/>
  <c r="D15" i="3" s="1"/>
  <c r="E40" i="2"/>
  <c r="E15" i="3" s="1"/>
  <c r="F40" i="2"/>
  <c r="F15" i="3" s="1"/>
  <c r="G40" i="2"/>
  <c r="G15" i="3" s="1"/>
  <c r="H40" i="2"/>
  <c r="H15" i="3" s="1"/>
  <c r="I40" i="2"/>
  <c r="I15" i="3" s="1"/>
  <c r="J40" i="2"/>
  <c r="J15" i="3" s="1"/>
  <c r="K40" i="2"/>
  <c r="K15" i="3" s="1"/>
  <c r="L40" i="2"/>
  <c r="L15" i="3" s="1"/>
  <c r="M40" i="2"/>
  <c r="M15" i="3" s="1"/>
  <c r="N40" i="2"/>
  <c r="N15" i="3" s="1"/>
  <c r="O40" i="2"/>
  <c r="O15" i="3" s="1"/>
  <c r="P40" i="2"/>
  <c r="P15" i="3" s="1"/>
  <c r="C41" i="2"/>
  <c r="C16" i="3" s="1"/>
  <c r="D41" i="2"/>
  <c r="D16" i="3" s="1"/>
  <c r="E41" i="2"/>
  <c r="E16" i="3" s="1"/>
  <c r="F41" i="2"/>
  <c r="F16" i="3" s="1"/>
  <c r="G41" i="2"/>
  <c r="G16" i="3" s="1"/>
  <c r="H41" i="2"/>
  <c r="H16" i="3" s="1"/>
  <c r="I41" i="2"/>
  <c r="I16" i="3" s="1"/>
  <c r="J41" i="2"/>
  <c r="J16" i="3" s="1"/>
  <c r="K41" i="2"/>
  <c r="K16" i="3" s="1"/>
  <c r="L41" i="2"/>
  <c r="L16" i="3" s="1"/>
  <c r="M41" i="2"/>
  <c r="M16" i="3" s="1"/>
  <c r="N41" i="2"/>
  <c r="N16" i="3" s="1"/>
  <c r="O41" i="2"/>
  <c r="O16" i="3" s="1"/>
  <c r="P41" i="2"/>
  <c r="P16" i="3" s="1"/>
  <c r="C42" i="2"/>
  <c r="C19" i="3" s="1"/>
  <c r="D42" i="2"/>
  <c r="D19" i="3" s="1"/>
  <c r="E42" i="2"/>
  <c r="E19" i="3" s="1"/>
  <c r="F42" i="2"/>
  <c r="F19" i="3" s="1"/>
  <c r="G42" i="2"/>
  <c r="G19" i="3" s="1"/>
  <c r="H42" i="2"/>
  <c r="H19" i="3" s="1"/>
  <c r="I42" i="2"/>
  <c r="I19" i="3" s="1"/>
  <c r="J42" i="2"/>
  <c r="J19" i="3" s="1"/>
  <c r="K42" i="2"/>
  <c r="K19" i="3" s="1"/>
  <c r="L42" i="2"/>
  <c r="L19" i="3" s="1"/>
  <c r="M42" i="2"/>
  <c r="M19" i="3" s="1"/>
  <c r="N42" i="2"/>
  <c r="N19" i="3" s="1"/>
  <c r="O42" i="2"/>
  <c r="O19" i="3" s="1"/>
  <c r="P42" i="2"/>
  <c r="P19" i="3" s="1"/>
  <c r="C43" i="2"/>
  <c r="C11" i="3" s="1"/>
  <c r="D43" i="2"/>
  <c r="D11" i="3" s="1"/>
  <c r="E43" i="2"/>
  <c r="E11" i="3" s="1"/>
  <c r="F43" i="2"/>
  <c r="F11" i="3" s="1"/>
  <c r="G43" i="2"/>
  <c r="G11" i="3" s="1"/>
  <c r="H43" i="2"/>
  <c r="H11" i="3" s="1"/>
  <c r="I43" i="2"/>
  <c r="I11" i="3" s="1"/>
  <c r="J43" i="2"/>
  <c r="J11" i="3" s="1"/>
  <c r="K43" i="2"/>
  <c r="K11" i="3" s="1"/>
  <c r="L43" i="2"/>
  <c r="L11" i="3" s="1"/>
  <c r="M43" i="2"/>
  <c r="M11" i="3" s="1"/>
  <c r="N43" i="2"/>
  <c r="N11" i="3" s="1"/>
  <c r="O43" i="2"/>
  <c r="O11" i="3" s="1"/>
  <c r="P43" i="2"/>
  <c r="P11" i="3" s="1"/>
  <c r="C44" i="2"/>
  <c r="C36" i="3" s="1"/>
  <c r="D44" i="2"/>
  <c r="D36" i="3" s="1"/>
  <c r="E44" i="2"/>
  <c r="E36" i="3" s="1"/>
  <c r="F44" i="2"/>
  <c r="F36" i="3" s="1"/>
  <c r="G44" i="2"/>
  <c r="G36" i="3" s="1"/>
  <c r="H44" i="2"/>
  <c r="H36" i="3" s="1"/>
  <c r="I44" i="2"/>
  <c r="I36" i="3" s="1"/>
  <c r="J44" i="2"/>
  <c r="J36" i="3" s="1"/>
  <c r="K44" i="2"/>
  <c r="K36" i="3" s="1"/>
  <c r="L44" i="2"/>
  <c r="L36" i="3" s="1"/>
  <c r="M44" i="2"/>
  <c r="M36" i="3" s="1"/>
  <c r="N44" i="2"/>
  <c r="N36" i="3" s="1"/>
  <c r="O44" i="2"/>
  <c r="O36" i="3" s="1"/>
  <c r="P44" i="2"/>
  <c r="P36" i="3" s="1"/>
  <c r="C45" i="2"/>
  <c r="C30" i="3" s="1"/>
  <c r="D45" i="2"/>
  <c r="D30" i="3" s="1"/>
  <c r="E45" i="2"/>
  <c r="E30" i="3" s="1"/>
  <c r="F45" i="2"/>
  <c r="F30" i="3" s="1"/>
  <c r="G45" i="2"/>
  <c r="G30" i="3" s="1"/>
  <c r="H45" i="2"/>
  <c r="H30" i="3" s="1"/>
  <c r="I45" i="2"/>
  <c r="I30" i="3" s="1"/>
  <c r="J45" i="2"/>
  <c r="J30" i="3" s="1"/>
  <c r="K45" i="2"/>
  <c r="K30" i="3" s="1"/>
  <c r="L45" i="2"/>
  <c r="L30" i="3" s="1"/>
  <c r="M45" i="2"/>
  <c r="M30" i="3" s="1"/>
  <c r="N45" i="2"/>
  <c r="N30" i="3" s="1"/>
  <c r="O45" i="2"/>
  <c r="O30" i="3" s="1"/>
  <c r="P45" i="2"/>
  <c r="P30" i="3" s="1"/>
  <c r="C46" i="2"/>
  <c r="C24" i="3" s="1"/>
  <c r="D46" i="2"/>
  <c r="D24" i="3" s="1"/>
  <c r="E46" i="2"/>
  <c r="E24" i="3" s="1"/>
  <c r="F46" i="2"/>
  <c r="F24" i="3" s="1"/>
  <c r="G46" i="2"/>
  <c r="G24" i="3" s="1"/>
  <c r="H46" i="2"/>
  <c r="H24" i="3" s="1"/>
  <c r="I46" i="2"/>
  <c r="I24" i="3" s="1"/>
  <c r="J46" i="2"/>
  <c r="J24" i="3" s="1"/>
  <c r="K46" i="2"/>
  <c r="K24" i="3" s="1"/>
  <c r="L46" i="2"/>
  <c r="L24" i="3" s="1"/>
  <c r="M46" i="2"/>
  <c r="M24" i="3" s="1"/>
  <c r="N46" i="2"/>
  <c r="N24" i="3" s="1"/>
  <c r="O46" i="2"/>
  <c r="O24" i="3" s="1"/>
  <c r="P46" i="2"/>
  <c r="P24" i="3" s="1"/>
  <c r="C47" i="2"/>
  <c r="C35" i="3" s="1"/>
  <c r="D47" i="2"/>
  <c r="D35" i="3" s="1"/>
  <c r="E47" i="2"/>
  <c r="E35" i="3" s="1"/>
  <c r="F47" i="2"/>
  <c r="F35" i="3" s="1"/>
  <c r="G47" i="2"/>
  <c r="G35" i="3" s="1"/>
  <c r="H47" i="2"/>
  <c r="H35" i="3" s="1"/>
  <c r="I47" i="2"/>
  <c r="I35" i="3" s="1"/>
  <c r="J47" i="2"/>
  <c r="J35" i="3" s="1"/>
  <c r="K47" i="2"/>
  <c r="K35" i="3" s="1"/>
  <c r="L47" i="2"/>
  <c r="L35" i="3" s="1"/>
  <c r="M47" i="2"/>
  <c r="M35" i="3" s="1"/>
  <c r="N47" i="2"/>
  <c r="N35" i="3" s="1"/>
  <c r="O47" i="2"/>
  <c r="O35" i="3" s="1"/>
  <c r="P47" i="2"/>
  <c r="P35" i="3" s="1"/>
  <c r="C48" i="2"/>
  <c r="C21" i="3" s="1"/>
  <c r="D48" i="2"/>
  <c r="D21" i="3" s="1"/>
  <c r="E48" i="2"/>
  <c r="E21" i="3" s="1"/>
  <c r="F48" i="2"/>
  <c r="F21" i="3" s="1"/>
  <c r="G48" i="2"/>
  <c r="G21" i="3" s="1"/>
  <c r="H48" i="2"/>
  <c r="H21" i="3" s="1"/>
  <c r="I48" i="2"/>
  <c r="I21" i="3" s="1"/>
  <c r="J48" i="2"/>
  <c r="J21" i="3" s="1"/>
  <c r="K48" i="2"/>
  <c r="K21" i="3" s="1"/>
  <c r="L48" i="2"/>
  <c r="L21" i="3" s="1"/>
  <c r="M48" i="2"/>
  <c r="M21" i="3" s="1"/>
  <c r="N48" i="2"/>
  <c r="N21" i="3" s="1"/>
  <c r="O48" i="2"/>
  <c r="O21" i="3" s="1"/>
  <c r="P48" i="2"/>
  <c r="P21" i="3" s="1"/>
  <c r="C49" i="2"/>
  <c r="C20" i="3" s="1"/>
  <c r="D49" i="2"/>
  <c r="D20" i="3" s="1"/>
  <c r="E49" i="2"/>
  <c r="E20" i="3" s="1"/>
  <c r="F49" i="2"/>
  <c r="F20" i="3" s="1"/>
  <c r="G49" i="2"/>
  <c r="G20" i="3" s="1"/>
  <c r="H49" i="2"/>
  <c r="H20" i="3" s="1"/>
  <c r="I49" i="2"/>
  <c r="I20" i="3" s="1"/>
  <c r="J49" i="2"/>
  <c r="J20" i="3" s="1"/>
  <c r="K49" i="2"/>
  <c r="K20" i="3" s="1"/>
  <c r="L49" i="2"/>
  <c r="L20" i="3" s="1"/>
  <c r="M49" i="2"/>
  <c r="M20" i="3" s="1"/>
  <c r="N49" i="2"/>
  <c r="N20" i="3" s="1"/>
  <c r="O49" i="2"/>
  <c r="O20" i="3" s="1"/>
  <c r="P49" i="2"/>
  <c r="P20" i="3" s="1"/>
  <c r="C50" i="2"/>
  <c r="C9" i="3" s="1"/>
  <c r="D50" i="2"/>
  <c r="D9" i="3" s="1"/>
  <c r="E50" i="2"/>
  <c r="E9" i="3" s="1"/>
  <c r="F50" i="2"/>
  <c r="F9" i="3" s="1"/>
  <c r="G50" i="2"/>
  <c r="G9" i="3" s="1"/>
  <c r="H50" i="2"/>
  <c r="H9" i="3" s="1"/>
  <c r="I50" i="2"/>
  <c r="I9" i="3" s="1"/>
  <c r="J50" i="2"/>
  <c r="J9" i="3" s="1"/>
  <c r="K50" i="2"/>
  <c r="K9" i="3" s="1"/>
  <c r="L50" i="2"/>
  <c r="L9" i="3" s="1"/>
  <c r="M50" i="2"/>
  <c r="M9" i="3" s="1"/>
  <c r="N50" i="2"/>
  <c r="N9" i="3" s="1"/>
  <c r="O50" i="2"/>
  <c r="O9" i="3" s="1"/>
  <c r="P50" i="2"/>
  <c r="P9" i="3" s="1"/>
  <c r="C51" i="2"/>
  <c r="C34" i="3" s="1"/>
  <c r="D51" i="2"/>
  <c r="D34" i="3" s="1"/>
  <c r="E51" i="2"/>
  <c r="E34" i="3" s="1"/>
  <c r="F51" i="2"/>
  <c r="F34" i="3" s="1"/>
  <c r="G51" i="2"/>
  <c r="G34" i="3" s="1"/>
  <c r="H51" i="2"/>
  <c r="H34" i="3" s="1"/>
  <c r="I51" i="2"/>
  <c r="I34" i="3" s="1"/>
  <c r="J51" i="2"/>
  <c r="J34" i="3" s="1"/>
  <c r="K51" i="2"/>
  <c r="K34" i="3" s="1"/>
  <c r="L51" i="2"/>
  <c r="L34" i="3" s="1"/>
  <c r="M51" i="2"/>
  <c r="M34" i="3" s="1"/>
  <c r="N51" i="2"/>
  <c r="N34" i="3" s="1"/>
  <c r="O51" i="2"/>
  <c r="O34" i="3" s="1"/>
  <c r="P51" i="2"/>
  <c r="P34" i="3" s="1"/>
  <c r="C52" i="2"/>
  <c r="C22" i="3" s="1"/>
  <c r="D52" i="2"/>
  <c r="D22" i="3" s="1"/>
  <c r="E52" i="2"/>
  <c r="E22" i="3" s="1"/>
  <c r="F52" i="2"/>
  <c r="F22" i="3" s="1"/>
  <c r="G52" i="2"/>
  <c r="G22" i="3" s="1"/>
  <c r="H52" i="2"/>
  <c r="H22" i="3" s="1"/>
  <c r="I52" i="2"/>
  <c r="I22" i="3" s="1"/>
  <c r="J52" i="2"/>
  <c r="J22" i="3" s="1"/>
  <c r="K52" i="2"/>
  <c r="K22" i="3" s="1"/>
  <c r="L52" i="2"/>
  <c r="L22" i="3" s="1"/>
  <c r="M52" i="2"/>
  <c r="M22" i="3" s="1"/>
  <c r="N52" i="2"/>
  <c r="N22" i="3" s="1"/>
  <c r="O52" i="2"/>
  <c r="O22" i="3" s="1"/>
  <c r="P52" i="2"/>
  <c r="P22" i="3" s="1"/>
  <c r="C53" i="2"/>
  <c r="C51" i="3" s="1"/>
  <c r="D53" i="2"/>
  <c r="D51" i="3" s="1"/>
  <c r="E53" i="2"/>
  <c r="E51" i="3" s="1"/>
  <c r="F53" i="2"/>
  <c r="F51" i="3" s="1"/>
  <c r="G53" i="2"/>
  <c r="G51" i="3" s="1"/>
  <c r="H53" i="2"/>
  <c r="H51" i="3" s="1"/>
  <c r="I53" i="2"/>
  <c r="I51" i="3" s="1"/>
  <c r="J53" i="2"/>
  <c r="J51" i="3" s="1"/>
  <c r="K53" i="2"/>
  <c r="K51" i="3" s="1"/>
  <c r="L53" i="2"/>
  <c r="L51" i="3" s="1"/>
  <c r="M53" i="2"/>
  <c r="M51" i="3" s="1"/>
  <c r="N53" i="2"/>
  <c r="N51" i="3" s="1"/>
  <c r="O53" i="2"/>
  <c r="O51" i="3" s="1"/>
  <c r="P53" i="2"/>
  <c r="P51" i="3" s="1"/>
  <c r="C54" i="2"/>
  <c r="C46" i="3" s="1"/>
  <c r="D54" i="2"/>
  <c r="D46" i="3" s="1"/>
  <c r="E54" i="2"/>
  <c r="E46" i="3" s="1"/>
  <c r="F54" i="2"/>
  <c r="F46" i="3" s="1"/>
  <c r="G54" i="2"/>
  <c r="G46" i="3" s="1"/>
  <c r="H54" i="2"/>
  <c r="H46" i="3" s="1"/>
  <c r="I54" i="2"/>
  <c r="I46" i="3" s="1"/>
  <c r="J54" i="2"/>
  <c r="J46" i="3" s="1"/>
  <c r="K54" i="2"/>
  <c r="K46" i="3" s="1"/>
  <c r="L54" i="2"/>
  <c r="L46" i="3" s="1"/>
  <c r="M54" i="2"/>
  <c r="M46" i="3" s="1"/>
  <c r="N54" i="2"/>
  <c r="N46" i="3" s="1"/>
  <c r="O54" i="2"/>
  <c r="O46" i="3" s="1"/>
  <c r="P54" i="2"/>
  <c r="P46" i="3" s="1"/>
  <c r="C55" i="2"/>
  <c r="C56" i="3" s="1"/>
  <c r="D55" i="2"/>
  <c r="D56" i="3" s="1"/>
  <c r="E55" i="2"/>
  <c r="E56" i="3" s="1"/>
  <c r="F55" i="2"/>
  <c r="F56" i="3" s="1"/>
  <c r="G55" i="2"/>
  <c r="G56" i="3" s="1"/>
  <c r="H55" i="2"/>
  <c r="H56" i="3" s="1"/>
  <c r="I55" i="2"/>
  <c r="I56" i="3" s="1"/>
  <c r="J55" i="2"/>
  <c r="J56" i="3" s="1"/>
  <c r="K55" i="2"/>
  <c r="K56" i="3" s="1"/>
  <c r="L55" i="2"/>
  <c r="L56" i="3" s="1"/>
  <c r="M55" i="2"/>
  <c r="M56" i="3" s="1"/>
  <c r="N55" i="2"/>
  <c r="N56" i="3" s="1"/>
  <c r="O55" i="2"/>
  <c r="O56" i="3" s="1"/>
  <c r="P55" i="2"/>
  <c r="P56" i="3" s="1"/>
  <c r="C56" i="2"/>
  <c r="C53" i="3" s="1"/>
  <c r="D56" i="2"/>
  <c r="D53" i="3" s="1"/>
  <c r="E56" i="2"/>
  <c r="E53" i="3" s="1"/>
  <c r="F56" i="2"/>
  <c r="F53" i="3" s="1"/>
  <c r="G56" i="2"/>
  <c r="G53" i="3" s="1"/>
  <c r="H56" i="2"/>
  <c r="H53" i="3" s="1"/>
  <c r="I56" i="2"/>
  <c r="I53" i="3" s="1"/>
  <c r="J56" i="2"/>
  <c r="J53" i="3" s="1"/>
  <c r="K56" i="2"/>
  <c r="K53" i="3" s="1"/>
  <c r="L56" i="2"/>
  <c r="L53" i="3" s="1"/>
  <c r="M56" i="2"/>
  <c r="M53" i="3" s="1"/>
  <c r="N56" i="2"/>
  <c r="N53" i="3" s="1"/>
  <c r="O56" i="2"/>
  <c r="O53" i="3" s="1"/>
  <c r="P56" i="2"/>
  <c r="P53" i="3" s="1"/>
  <c r="C57" i="2"/>
  <c r="C61" i="3" s="1"/>
  <c r="D57" i="2"/>
  <c r="D61" i="3" s="1"/>
  <c r="E57" i="2"/>
  <c r="E61" i="3" s="1"/>
  <c r="F57" i="2"/>
  <c r="F61" i="3" s="1"/>
  <c r="G57" i="2"/>
  <c r="G61" i="3" s="1"/>
  <c r="H57" i="2"/>
  <c r="H61" i="3" s="1"/>
  <c r="I57" i="2"/>
  <c r="I61" i="3" s="1"/>
  <c r="J57" i="2"/>
  <c r="J61" i="3" s="1"/>
  <c r="K57" i="2"/>
  <c r="K61" i="3" s="1"/>
  <c r="L57" i="2"/>
  <c r="L61" i="3" s="1"/>
  <c r="M57" i="2"/>
  <c r="M61" i="3" s="1"/>
  <c r="N57" i="2"/>
  <c r="N61" i="3" s="1"/>
  <c r="O57" i="2"/>
  <c r="O61" i="3" s="1"/>
  <c r="P57" i="2"/>
  <c r="P61" i="3" s="1"/>
  <c r="C58" i="2"/>
  <c r="C58" i="3" s="1"/>
  <c r="D58" i="2"/>
  <c r="D58" i="3" s="1"/>
  <c r="E58" i="2"/>
  <c r="E58" i="3" s="1"/>
  <c r="F58" i="2"/>
  <c r="F58" i="3" s="1"/>
  <c r="G58" i="2"/>
  <c r="G58" i="3" s="1"/>
  <c r="H58" i="2"/>
  <c r="H58" i="3" s="1"/>
  <c r="I58" i="2"/>
  <c r="I58" i="3" s="1"/>
  <c r="J58" i="2"/>
  <c r="J58" i="3" s="1"/>
  <c r="K58" i="2"/>
  <c r="K58" i="3" s="1"/>
  <c r="L58" i="2"/>
  <c r="L58" i="3" s="1"/>
  <c r="M58" i="2"/>
  <c r="M58" i="3" s="1"/>
  <c r="N58" i="2"/>
  <c r="N58" i="3" s="1"/>
  <c r="O58" i="2"/>
  <c r="O58" i="3" s="1"/>
  <c r="P58" i="2"/>
  <c r="P58" i="3" s="1"/>
  <c r="C59" i="2"/>
  <c r="C59" i="3" s="1"/>
  <c r="D59" i="2"/>
  <c r="D59" i="3" s="1"/>
  <c r="E59" i="2"/>
  <c r="E59" i="3" s="1"/>
  <c r="F59" i="2"/>
  <c r="F59" i="3" s="1"/>
  <c r="G59" i="2"/>
  <c r="G59" i="3" s="1"/>
  <c r="H59" i="2"/>
  <c r="H59" i="3" s="1"/>
  <c r="I59" i="2"/>
  <c r="I59" i="3" s="1"/>
  <c r="J59" i="2"/>
  <c r="J59" i="3" s="1"/>
  <c r="K59" i="2"/>
  <c r="K59" i="3" s="1"/>
  <c r="L59" i="2"/>
  <c r="L59" i="3" s="1"/>
  <c r="M59" i="2"/>
  <c r="M59" i="3" s="1"/>
  <c r="N59" i="2"/>
  <c r="N59" i="3" s="1"/>
  <c r="O59" i="2"/>
  <c r="O59" i="3" s="1"/>
  <c r="P59" i="2"/>
  <c r="P59" i="3" s="1"/>
  <c r="C60" i="2"/>
  <c r="C60" i="3" s="1"/>
  <c r="D60" i="2"/>
  <c r="D60" i="3" s="1"/>
  <c r="E60" i="2"/>
  <c r="E60" i="3" s="1"/>
  <c r="F60" i="2"/>
  <c r="F60" i="3" s="1"/>
  <c r="G60" i="2"/>
  <c r="G60" i="3" s="1"/>
  <c r="H60" i="2"/>
  <c r="H60" i="3" s="1"/>
  <c r="I60" i="2"/>
  <c r="I60" i="3" s="1"/>
  <c r="J60" i="2"/>
  <c r="J60" i="3" s="1"/>
  <c r="K60" i="2"/>
  <c r="K60" i="3" s="1"/>
  <c r="L60" i="2"/>
  <c r="L60" i="3" s="1"/>
  <c r="M60" i="2"/>
  <c r="M60" i="3" s="1"/>
  <c r="N60" i="2"/>
  <c r="N60" i="3" s="1"/>
  <c r="O60" i="2"/>
  <c r="O60" i="3" s="1"/>
  <c r="P60" i="2"/>
  <c r="P60" i="3" s="1"/>
  <c r="C61" i="2"/>
  <c r="C64" i="3" s="1"/>
  <c r="D61" i="2"/>
  <c r="D64" i="3" s="1"/>
  <c r="E61" i="2"/>
  <c r="E64" i="3" s="1"/>
  <c r="F61" i="2"/>
  <c r="F64" i="3" s="1"/>
  <c r="G61" i="2"/>
  <c r="G64" i="3" s="1"/>
  <c r="H61" i="2"/>
  <c r="H64" i="3" s="1"/>
  <c r="I61" i="2"/>
  <c r="I64" i="3" s="1"/>
  <c r="J61" i="2"/>
  <c r="J64" i="3" s="1"/>
  <c r="K61" i="2"/>
  <c r="K64" i="3" s="1"/>
  <c r="L61" i="2"/>
  <c r="L64" i="3" s="1"/>
  <c r="M61" i="2"/>
  <c r="M64" i="3" s="1"/>
  <c r="N61" i="2"/>
  <c r="N64" i="3" s="1"/>
  <c r="O61" i="2"/>
  <c r="O64" i="3" s="1"/>
  <c r="P61" i="2"/>
  <c r="P64" i="3" s="1"/>
  <c r="C62" i="2"/>
  <c r="C57" i="3" s="1"/>
  <c r="D62" i="2"/>
  <c r="D57" i="3" s="1"/>
  <c r="E62" i="2"/>
  <c r="E57" i="3" s="1"/>
  <c r="F62" i="2"/>
  <c r="F57" i="3" s="1"/>
  <c r="G62" i="2"/>
  <c r="G57" i="3" s="1"/>
  <c r="H62" i="2"/>
  <c r="H57" i="3" s="1"/>
  <c r="I62" i="2"/>
  <c r="I57" i="3" s="1"/>
  <c r="J62" i="2"/>
  <c r="J57" i="3" s="1"/>
  <c r="K62" i="2"/>
  <c r="K57" i="3" s="1"/>
  <c r="L62" i="2"/>
  <c r="L57" i="3" s="1"/>
  <c r="M62" i="2"/>
  <c r="M57" i="3" s="1"/>
  <c r="N62" i="2"/>
  <c r="N57" i="3" s="1"/>
  <c r="O62" i="2"/>
  <c r="O57" i="3" s="1"/>
  <c r="P62" i="2"/>
  <c r="P57" i="3" s="1"/>
  <c r="C63" i="2"/>
  <c r="C63" i="3" s="1"/>
  <c r="D63" i="2"/>
  <c r="D63" i="3" s="1"/>
  <c r="E63" i="2"/>
  <c r="E63" i="3" s="1"/>
  <c r="F63" i="2"/>
  <c r="F63" i="3" s="1"/>
  <c r="G63" i="2"/>
  <c r="G63" i="3" s="1"/>
  <c r="H63" i="2"/>
  <c r="H63" i="3" s="1"/>
  <c r="I63" i="2"/>
  <c r="I63" i="3" s="1"/>
  <c r="J63" i="2"/>
  <c r="J63" i="3" s="1"/>
  <c r="K63" i="2"/>
  <c r="K63" i="3" s="1"/>
  <c r="L63" i="2"/>
  <c r="L63" i="3" s="1"/>
  <c r="M63" i="2"/>
  <c r="M63" i="3" s="1"/>
  <c r="N63" i="2"/>
  <c r="N63" i="3" s="1"/>
  <c r="O63" i="2"/>
  <c r="O63" i="3" s="1"/>
  <c r="P63" i="2"/>
  <c r="P63" i="3" s="1"/>
  <c r="C64" i="2"/>
  <c r="C62" i="3" s="1"/>
  <c r="D64" i="2"/>
  <c r="D62" i="3" s="1"/>
  <c r="E64" i="2"/>
  <c r="E62" i="3" s="1"/>
  <c r="F64" i="2"/>
  <c r="F62" i="3" s="1"/>
  <c r="G64" i="2"/>
  <c r="G62" i="3" s="1"/>
  <c r="H64" i="2"/>
  <c r="H62" i="3" s="1"/>
  <c r="I64" i="2"/>
  <c r="I62" i="3" s="1"/>
  <c r="J64" i="2"/>
  <c r="J62" i="3" s="1"/>
  <c r="K64" i="2"/>
  <c r="K62" i="3" s="1"/>
  <c r="L64" i="2"/>
  <c r="L62" i="3" s="1"/>
  <c r="M64" i="2"/>
  <c r="M62" i="3" s="1"/>
  <c r="N64" i="2"/>
  <c r="N62" i="3" s="1"/>
  <c r="O64" i="2"/>
  <c r="O62" i="3" s="1"/>
  <c r="P64" i="2"/>
  <c r="P62" i="3" s="1"/>
  <c r="P2" i="2"/>
  <c r="P33" i="3" s="1"/>
  <c r="O2" i="2"/>
  <c r="O33" i="3" s="1"/>
  <c r="N2" i="2"/>
  <c r="N33" i="3" s="1"/>
  <c r="M2" i="2"/>
  <c r="M33" i="3" s="1"/>
  <c r="L2" i="2"/>
  <c r="L33" i="3" s="1"/>
  <c r="K2" i="2"/>
  <c r="K33" i="3" s="1"/>
  <c r="J2" i="2"/>
  <c r="J33" i="3" s="1"/>
  <c r="I2" i="2"/>
  <c r="I33" i="3" s="1"/>
  <c r="H2" i="2"/>
  <c r="H33" i="3" s="1"/>
  <c r="G2" i="2"/>
  <c r="G33" i="3" s="1"/>
  <c r="F2" i="2"/>
  <c r="F33" i="3" s="1"/>
  <c r="E2" i="2"/>
  <c r="E33" i="3" s="1"/>
  <c r="D2" i="2"/>
  <c r="D33" i="3" s="1"/>
  <c r="C2" i="2"/>
  <c r="C33" i="3" s="1"/>
  <c r="B3" i="2"/>
  <c r="B41" i="3" s="1"/>
  <c r="B4" i="2"/>
  <c r="B17" i="3" s="1"/>
  <c r="B5" i="2"/>
  <c r="B38" i="3" s="1"/>
  <c r="B6" i="2"/>
  <c r="B28" i="3" s="1"/>
  <c r="B7" i="2"/>
  <c r="B13" i="3" s="1"/>
  <c r="B8" i="2"/>
  <c r="B12" i="3" s="1"/>
  <c r="B9" i="2"/>
  <c r="B25" i="3" s="1"/>
  <c r="B10" i="2"/>
  <c r="B4" i="3" s="1"/>
  <c r="B11" i="2"/>
  <c r="B18" i="3" s="1"/>
  <c r="B12" i="2"/>
  <c r="B5" i="3" s="1"/>
  <c r="B13" i="2"/>
  <c r="B39" i="3" s="1"/>
  <c r="B14" i="2"/>
  <c r="B2" i="3" s="1"/>
  <c r="B15" i="2"/>
  <c r="B8" i="3" s="1"/>
  <c r="B16" i="2"/>
  <c r="B6" i="3" s="1"/>
  <c r="B17" i="2"/>
  <c r="B7" i="3" s="1"/>
  <c r="B18" i="2"/>
  <c r="B26" i="3" s="1"/>
  <c r="B19" i="2"/>
  <c r="B49" i="3" s="1"/>
  <c r="B20" i="2"/>
  <c r="B48" i="3" s="1"/>
  <c r="B21" i="2"/>
  <c r="B10" i="3" s="1"/>
  <c r="B22" i="2"/>
  <c r="B14" i="3" s="1"/>
  <c r="B23" i="2"/>
  <c r="B40" i="3" s="1"/>
  <c r="B24" i="2"/>
  <c r="B55" i="3" s="1"/>
  <c r="B25" i="2"/>
  <c r="B54" i="3" s="1"/>
  <c r="B26" i="2"/>
  <c r="B37" i="3" s="1"/>
  <c r="B27" i="2"/>
  <c r="B31" i="3" s="1"/>
  <c r="B28" i="2"/>
  <c r="B43" i="3" s="1"/>
  <c r="B29" i="2"/>
  <c r="B27" i="3" s="1"/>
  <c r="B30" i="2"/>
  <c r="B42" i="3" s="1"/>
  <c r="B31" i="2"/>
  <c r="B44" i="3" s="1"/>
  <c r="B32" i="2"/>
  <c r="B50" i="3" s="1"/>
  <c r="B33" i="2"/>
  <c r="B47" i="3" s="1"/>
  <c r="B34" i="2"/>
  <c r="B29" i="3" s="1"/>
  <c r="B35" i="2"/>
  <c r="B23" i="3" s="1"/>
  <c r="B36" i="2"/>
  <c r="B32" i="3" s="1"/>
  <c r="B37" i="2"/>
  <c r="B3" i="3" s="1"/>
  <c r="B38" i="2"/>
  <c r="B52" i="3" s="1"/>
  <c r="B39" i="2"/>
  <c r="B45" i="3" s="1"/>
  <c r="B40" i="2"/>
  <c r="B15" i="3" s="1"/>
  <c r="B41" i="2"/>
  <c r="B16" i="3" s="1"/>
  <c r="B42" i="2"/>
  <c r="B19" i="3" s="1"/>
  <c r="B43" i="2"/>
  <c r="B11" i="3" s="1"/>
  <c r="B44" i="2"/>
  <c r="B36" i="3" s="1"/>
  <c r="B45" i="2"/>
  <c r="B30" i="3" s="1"/>
  <c r="B46" i="2"/>
  <c r="B24" i="3" s="1"/>
  <c r="B47" i="2"/>
  <c r="B35" i="3" s="1"/>
  <c r="B48" i="2"/>
  <c r="B21" i="3" s="1"/>
  <c r="B49" i="2"/>
  <c r="B20" i="3" s="1"/>
  <c r="B50" i="2"/>
  <c r="B9" i="3" s="1"/>
  <c r="B51" i="2"/>
  <c r="B34" i="3" s="1"/>
  <c r="B52" i="2"/>
  <c r="B22" i="3" s="1"/>
  <c r="B53" i="2"/>
  <c r="B51" i="3" s="1"/>
  <c r="B54" i="2"/>
  <c r="B46" i="3" s="1"/>
  <c r="B55" i="2"/>
  <c r="B56" i="3" s="1"/>
  <c r="B56" i="2"/>
  <c r="B53" i="3" s="1"/>
  <c r="B57" i="2"/>
  <c r="B61" i="3" s="1"/>
  <c r="B58" i="2"/>
  <c r="B58" i="3" s="1"/>
  <c r="B59" i="2"/>
  <c r="B59" i="3" s="1"/>
  <c r="B60" i="2"/>
  <c r="B60" i="3" s="1"/>
  <c r="B61" i="2"/>
  <c r="B64" i="3" s="1"/>
  <c r="B62" i="2"/>
  <c r="B57" i="3" s="1"/>
  <c r="B63" i="2"/>
  <c r="B63" i="3" s="1"/>
  <c r="B64" i="2"/>
  <c r="B62" i="3" s="1"/>
</calcChain>
</file>

<file path=xl/sharedStrings.xml><?xml version="1.0" encoding="utf-8"?>
<sst xmlns="http://schemas.openxmlformats.org/spreadsheetml/2006/main" count="324" uniqueCount="90">
  <si>
    <t>1K</t>
  </si>
  <si>
    <t>4K</t>
  </si>
  <si>
    <t>17K</t>
  </si>
  <si>
    <t>200Kp</t>
  </si>
  <si>
    <t>200Ks</t>
  </si>
  <si>
    <t>Group</t>
  </si>
  <si>
    <t>Prkca</t>
  </si>
  <si>
    <t>Basophilic</t>
  </si>
  <si>
    <t>Prkcb</t>
  </si>
  <si>
    <t>Mark1</t>
  </si>
  <si>
    <t>Chek1</t>
  </si>
  <si>
    <t>Cdc42bpa</t>
  </si>
  <si>
    <t>Mark3</t>
  </si>
  <si>
    <t>Prkcd</t>
  </si>
  <si>
    <t>Mark4</t>
  </si>
  <si>
    <t>Mark2</t>
  </si>
  <si>
    <t>Pkn2</t>
  </si>
  <si>
    <t>Cdc42bpb</t>
  </si>
  <si>
    <t>Adrbk2</t>
  </si>
  <si>
    <t>Camk2d</t>
  </si>
  <si>
    <t>Camk2b</t>
  </si>
  <si>
    <t>Camk2a</t>
  </si>
  <si>
    <t>Camk2g</t>
  </si>
  <si>
    <t>Akt1</t>
  </si>
  <si>
    <t>Akt3</t>
  </si>
  <si>
    <t>Akt2</t>
  </si>
  <si>
    <t>Prkci</t>
  </si>
  <si>
    <t>Cask</t>
  </si>
  <si>
    <t>Pkn1</t>
  </si>
  <si>
    <t>Prkcg</t>
  </si>
  <si>
    <t>Camk1</t>
  </si>
  <si>
    <t>Prkce</t>
  </si>
  <si>
    <t>Prkcz</t>
  </si>
  <si>
    <t>Prkch</t>
  </si>
  <si>
    <t>Prkd2</t>
  </si>
  <si>
    <t>Pkn3</t>
  </si>
  <si>
    <t>Prkcq</t>
  </si>
  <si>
    <t>Dapk3</t>
  </si>
  <si>
    <t>Mknk2</t>
  </si>
  <si>
    <t>Rps6ka4</t>
  </si>
  <si>
    <t>Prkaa2</t>
  </si>
  <si>
    <t>Stk38</t>
  </si>
  <si>
    <t>Prkaa1</t>
  </si>
  <si>
    <t>Ttn</t>
  </si>
  <si>
    <t>Stk38l</t>
  </si>
  <si>
    <t>Prkacb</t>
  </si>
  <si>
    <t>Mylk2</t>
  </si>
  <si>
    <t>Mylk3</t>
  </si>
  <si>
    <t>Mylk4</t>
  </si>
  <si>
    <t>Rps6ka5</t>
  </si>
  <si>
    <t>Rps6ka2</t>
  </si>
  <si>
    <t>Rps6ka1</t>
  </si>
  <si>
    <t>Adrbk1</t>
  </si>
  <si>
    <t>Rps6ka3</t>
  </si>
  <si>
    <t>Mylk</t>
  </si>
  <si>
    <t>Prkaca</t>
  </si>
  <si>
    <t>Rock1</t>
  </si>
  <si>
    <t>Rock2</t>
  </si>
  <si>
    <t>Cdc42bpg</t>
  </si>
  <si>
    <t>Rps6kb2</t>
  </si>
  <si>
    <t>Trio</t>
  </si>
  <si>
    <t>Stk11</t>
  </si>
  <si>
    <t>Pdpk1</t>
  </si>
  <si>
    <t>Mapkapk2</t>
  </si>
  <si>
    <t>Mapkapk5</t>
  </si>
  <si>
    <t>Rps6kb1</t>
  </si>
  <si>
    <t>Kalrn</t>
  </si>
  <si>
    <t>Mapkapk3</t>
  </si>
  <si>
    <t>Pask</t>
  </si>
  <si>
    <t>Rps6ka6</t>
  </si>
  <si>
    <t>Aqp2</t>
  </si>
  <si>
    <t>Substrate</t>
  </si>
  <si>
    <t>Bad</t>
  </si>
  <si>
    <t>Bok</t>
  </si>
  <si>
    <t>Cbx5</t>
  </si>
  <si>
    <t>Ctnnb1</t>
  </si>
  <si>
    <t>Flna</t>
  </si>
  <si>
    <t>Hist1h1d</t>
  </si>
  <si>
    <t>Hist1h1e</t>
  </si>
  <si>
    <t>Itpr3</t>
  </si>
  <si>
    <t>Kif13b</t>
  </si>
  <si>
    <t>Lcmt1</t>
  </si>
  <si>
    <t>Mcm2</t>
  </si>
  <si>
    <t>Sec22b</t>
  </si>
  <si>
    <t>Sorbs2</t>
  </si>
  <si>
    <t>Stmn1</t>
  </si>
  <si>
    <t>Gene Symbol</t>
  </si>
  <si>
    <t>Note: change each column number of sub</t>
  </si>
  <si>
    <t>Note: this works with Sumproduct</t>
  </si>
  <si>
    <t xml:space="preserve">Calculation of dot products for all basophiilic protein kinases versus all vasopressin-regulated basophilic sites.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</si>
</sst>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9" sqref="H19"/>
    </sheetView>
  </sheetViews>
  <sheetFormatPr defaultRowHeight="15" x14ac:dyDescent="0.25"/>
  <sheetData>
    <row r="1" spans="1:1" s="6" customFormat="1" x14ac:dyDescent="0.25">
      <c r="A1" s="6" t="s">
        <v>89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16" workbookViewId="0">
      <selection activeCell="I74" sqref="I74"/>
    </sheetView>
  </sheetViews>
  <sheetFormatPr defaultColWidth="20.5703125" defaultRowHeight="15" x14ac:dyDescent="0.25"/>
  <cols>
    <col min="2" max="2" width="13.7109375" style="1" customWidth="1"/>
    <col min="3" max="3" width="13.140625" style="1" customWidth="1"/>
    <col min="4" max="4" width="16.85546875" style="1" customWidth="1"/>
    <col min="5" max="5" width="16" style="1" customWidth="1"/>
    <col min="6" max="6" width="11.5703125" style="1" customWidth="1"/>
  </cols>
  <sheetData>
    <row r="1" spans="1:7" x14ac:dyDescent="0.25">
      <c r="A1" t="s">
        <v>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</row>
    <row r="2" spans="1:7" x14ac:dyDescent="0.25">
      <c r="A2" t="s">
        <v>6</v>
      </c>
      <c r="B2" s="1">
        <v>1.2987012987012988E-2</v>
      </c>
      <c r="C2" s="1">
        <v>6967.429844155844</v>
      </c>
      <c r="D2" s="1">
        <v>4446.9854545454546</v>
      </c>
      <c r="E2" s="1">
        <v>1.2987012987012988E-2</v>
      </c>
      <c r="F2" s="1">
        <v>1.2987012987012988E-2</v>
      </c>
      <c r="G2" t="s">
        <v>7</v>
      </c>
    </row>
    <row r="3" spans="1:7" x14ac:dyDescent="0.25">
      <c r="A3" t="s">
        <v>8</v>
      </c>
      <c r="B3" s="1">
        <v>1.2987012987012988E-2</v>
      </c>
      <c r="C3" s="1">
        <v>1653.7578441558442</v>
      </c>
      <c r="D3" s="1">
        <v>3819.8483116883112</v>
      </c>
      <c r="E3" s="1">
        <v>1.2987012987012988E-2</v>
      </c>
      <c r="F3" s="1">
        <v>1.2987012987012988E-2</v>
      </c>
      <c r="G3" t="s">
        <v>7</v>
      </c>
    </row>
    <row r="4" spans="1:7" x14ac:dyDescent="0.25">
      <c r="A4" t="s">
        <v>9</v>
      </c>
      <c r="B4" s="1">
        <v>1.1363636363636364E-2</v>
      </c>
      <c r="C4" s="1">
        <v>16012.192613636364</v>
      </c>
      <c r="D4" s="1">
        <v>58300.010454545452</v>
      </c>
      <c r="E4" s="1">
        <v>34323.565306818178</v>
      </c>
      <c r="F4" s="1">
        <v>1.1363636363636364E-2</v>
      </c>
      <c r="G4" t="s">
        <v>7</v>
      </c>
    </row>
    <row r="5" spans="1:7" x14ac:dyDescent="0.25">
      <c r="A5" t="s">
        <v>10</v>
      </c>
      <c r="B5" s="1">
        <v>1.8518518518518517E-2</v>
      </c>
      <c r="C5" s="1">
        <v>2899.343518518519</v>
      </c>
      <c r="D5" s="1">
        <v>5582.3133333333326</v>
      </c>
      <c r="E5" s="1">
        <v>1.8518518518518517E-2</v>
      </c>
      <c r="F5" s="1">
        <v>4164.8256296296295</v>
      </c>
      <c r="G5" t="s">
        <v>7</v>
      </c>
    </row>
    <row r="6" spans="1:7" x14ac:dyDescent="0.25">
      <c r="A6" t="s">
        <v>11</v>
      </c>
      <c r="B6" s="1">
        <v>5.076142131979695E-3</v>
      </c>
      <c r="C6" s="1">
        <v>4143.2435228426402</v>
      </c>
      <c r="D6" s="1">
        <v>18116.94659898477</v>
      </c>
      <c r="E6" s="1">
        <v>5.076142131979695E-3</v>
      </c>
      <c r="F6" s="1">
        <v>17667.968527918783</v>
      </c>
      <c r="G6" t="s">
        <v>7</v>
      </c>
    </row>
    <row r="7" spans="1:7" x14ac:dyDescent="0.25">
      <c r="A7" t="s">
        <v>12</v>
      </c>
      <c r="B7" s="1">
        <v>1.2345679012345678E-2</v>
      </c>
      <c r="C7" s="1">
        <v>19380.389234567901</v>
      </c>
      <c r="D7" s="1">
        <v>95007.418271604954</v>
      </c>
      <c r="E7" s="1">
        <v>92062.33201234568</v>
      </c>
      <c r="F7" s="1">
        <v>1.2345679012345678E-2</v>
      </c>
      <c r="G7" t="s">
        <v>7</v>
      </c>
    </row>
    <row r="8" spans="1:7" x14ac:dyDescent="0.25">
      <c r="A8" t="s">
        <v>13</v>
      </c>
      <c r="B8" s="1">
        <v>14264.440259740259</v>
      </c>
      <c r="C8" s="1">
        <v>30282.52127272727</v>
      </c>
      <c r="D8" s="1">
        <v>84226.431688311684</v>
      </c>
      <c r="E8" s="1">
        <v>80154.74677922079</v>
      </c>
      <c r="F8" s="1">
        <v>1947.1955324675325</v>
      </c>
      <c r="G8" t="s">
        <v>7</v>
      </c>
    </row>
    <row r="9" spans="1:7" x14ac:dyDescent="0.25">
      <c r="A9" t="s">
        <v>14</v>
      </c>
      <c r="B9" s="1">
        <v>1.2048192771084338E-2</v>
      </c>
      <c r="C9" s="1">
        <v>8249.464963855422</v>
      </c>
      <c r="D9" s="1">
        <v>24594.366265060238</v>
      </c>
      <c r="E9" s="1">
        <v>26036.019662650604</v>
      </c>
      <c r="F9" s="1">
        <v>1.2048192771084338E-2</v>
      </c>
      <c r="G9" t="s">
        <v>7</v>
      </c>
    </row>
    <row r="10" spans="1:7" x14ac:dyDescent="0.25">
      <c r="A10" t="s">
        <v>15</v>
      </c>
      <c r="B10" s="1">
        <v>36612.042345679016</v>
      </c>
      <c r="C10" s="1">
        <v>64197.510790123466</v>
      </c>
      <c r="D10" s="1">
        <v>232667.89234567899</v>
      </c>
      <c r="E10" s="1">
        <v>315093.65967901237</v>
      </c>
      <c r="F10" s="1">
        <v>6346.3850864197539</v>
      </c>
      <c r="G10" t="s">
        <v>7</v>
      </c>
    </row>
    <row r="11" spans="1:7" x14ac:dyDescent="0.25">
      <c r="A11" t="s">
        <v>16</v>
      </c>
      <c r="B11" s="1">
        <v>9.0090090090090089E-3</v>
      </c>
      <c r="C11" s="1">
        <v>18373.893495495497</v>
      </c>
      <c r="D11" s="1">
        <v>51031.646126126121</v>
      </c>
      <c r="E11" s="1">
        <v>95277.01257657657</v>
      </c>
      <c r="F11" s="1">
        <v>7815.0524684684688</v>
      </c>
      <c r="G11" t="s">
        <v>7</v>
      </c>
    </row>
    <row r="12" spans="1:7" x14ac:dyDescent="0.25">
      <c r="A12" t="s">
        <v>17</v>
      </c>
      <c r="B12" s="1">
        <v>17461.127128205128</v>
      </c>
      <c r="C12" s="1">
        <v>97610.018728205148</v>
      </c>
      <c r="D12" s="1">
        <v>187124.86420512822</v>
      </c>
      <c r="E12" s="1">
        <v>227180.86131282052</v>
      </c>
      <c r="F12" s="1">
        <v>255819.8493948718</v>
      </c>
      <c r="G12" t="s">
        <v>7</v>
      </c>
    </row>
    <row r="13" spans="1:7" x14ac:dyDescent="0.25">
      <c r="A13" t="s">
        <v>18</v>
      </c>
      <c r="B13" s="1">
        <v>1.2500000000000001E-2</v>
      </c>
      <c r="C13" s="1">
        <v>2870.3442500000006</v>
      </c>
      <c r="D13" s="1">
        <v>4188.7660000000005</v>
      </c>
      <c r="E13" s="1">
        <v>1.2500000000000001E-2</v>
      </c>
      <c r="F13" s="1">
        <v>33467.212500000001</v>
      </c>
      <c r="G13" t="s">
        <v>7</v>
      </c>
    </row>
    <row r="14" spans="1:7" x14ac:dyDescent="0.25">
      <c r="A14" t="s">
        <v>19</v>
      </c>
      <c r="B14" s="1">
        <v>211536.19185185188</v>
      </c>
      <c r="C14" s="1">
        <v>185943.39518518519</v>
      </c>
      <c r="D14" s="1">
        <v>290550.33407407405</v>
      </c>
      <c r="E14" s="1">
        <v>1718665.0795185184</v>
      </c>
      <c r="F14" s="1">
        <v>396648.31481481483</v>
      </c>
      <c r="G14" t="s">
        <v>7</v>
      </c>
    </row>
    <row r="15" spans="1:7" x14ac:dyDescent="0.25">
      <c r="A15" t="s">
        <v>20</v>
      </c>
      <c r="B15" s="1">
        <v>77257.605677966101</v>
      </c>
      <c r="C15" s="1">
        <v>94787.305186440673</v>
      </c>
      <c r="D15" s="1">
        <v>128648.16677966101</v>
      </c>
      <c r="E15" s="1">
        <v>855183.24291525432</v>
      </c>
      <c r="F15" s="1">
        <v>235246.07091525424</v>
      </c>
      <c r="G15" t="s">
        <v>7</v>
      </c>
    </row>
    <row r="16" spans="1:7" x14ac:dyDescent="0.25">
      <c r="A16" t="s">
        <v>21</v>
      </c>
      <c r="B16" s="1">
        <v>84411.087685185194</v>
      </c>
      <c r="C16" s="1">
        <v>101012.5015185185</v>
      </c>
      <c r="D16" s="1">
        <v>135655.20222222223</v>
      </c>
      <c r="E16" s="1">
        <v>934366.87651851855</v>
      </c>
      <c r="F16" s="1">
        <v>257028.11451851853</v>
      </c>
      <c r="G16" t="s">
        <v>7</v>
      </c>
    </row>
    <row r="17" spans="1:7" x14ac:dyDescent="0.25">
      <c r="A17" t="s">
        <v>22</v>
      </c>
      <c r="B17" s="1">
        <v>81396.405982142867</v>
      </c>
      <c r="C17" s="1">
        <v>99865.196535714291</v>
      </c>
      <c r="D17" s="1">
        <v>125845.53785714284</v>
      </c>
      <c r="E17" s="1">
        <v>939585.71364285715</v>
      </c>
      <c r="F17" s="1">
        <v>247848.53900000002</v>
      </c>
      <c r="G17" t="s">
        <v>7</v>
      </c>
    </row>
    <row r="18" spans="1:7" x14ac:dyDescent="0.25">
      <c r="A18" t="s">
        <v>23</v>
      </c>
      <c r="B18" s="1">
        <v>1.7857142857142856E-2</v>
      </c>
      <c r="C18" s="1">
        <v>21285.205249999999</v>
      </c>
      <c r="D18" s="1">
        <v>4233.1935714285719</v>
      </c>
      <c r="E18" s="1">
        <v>145293.76110714287</v>
      </c>
      <c r="F18" s="1">
        <v>240963.85785714287</v>
      </c>
      <c r="G18" t="s">
        <v>7</v>
      </c>
    </row>
    <row r="19" spans="1:7" x14ac:dyDescent="0.25">
      <c r="A19" t="s">
        <v>24</v>
      </c>
      <c r="B19" s="1">
        <v>1.7857142857142856E-2</v>
      </c>
      <c r="C19" s="1">
        <v>2124.8088928571428</v>
      </c>
      <c r="D19" s="1">
        <v>1.7857142857142856E-2</v>
      </c>
      <c r="E19" s="1">
        <v>21925.633035714291</v>
      </c>
      <c r="F19" s="1">
        <v>48001.544714285716</v>
      </c>
      <c r="G19" t="s">
        <v>7</v>
      </c>
    </row>
    <row r="20" spans="1:7" x14ac:dyDescent="0.25">
      <c r="A20" t="s">
        <v>25</v>
      </c>
      <c r="B20" s="1">
        <v>1.7857142857142856E-2</v>
      </c>
      <c r="C20" s="1">
        <v>2124.8088928571428</v>
      </c>
      <c r="D20" s="1">
        <v>1.7857142857142856E-2</v>
      </c>
      <c r="E20" s="1">
        <v>23094.99917857143</v>
      </c>
      <c r="F20" s="1">
        <v>56989.878428571428</v>
      </c>
      <c r="G20" t="s">
        <v>7</v>
      </c>
    </row>
    <row r="21" spans="1:7" x14ac:dyDescent="0.25">
      <c r="A21" t="s">
        <v>26</v>
      </c>
      <c r="B21" s="1">
        <v>40380.930147058825</v>
      </c>
      <c r="C21" s="1">
        <v>38035.747735294113</v>
      </c>
      <c r="D21" s="1">
        <v>106456.54470588235</v>
      </c>
      <c r="E21" s="1">
        <v>1224102.8109852942</v>
      </c>
      <c r="F21" s="1">
        <v>22993.949764705882</v>
      </c>
      <c r="G21" t="s">
        <v>7</v>
      </c>
    </row>
    <row r="22" spans="1:7" x14ac:dyDescent="0.25">
      <c r="A22" t="s">
        <v>27</v>
      </c>
      <c r="B22" s="1">
        <v>9.8039215686274508E-3</v>
      </c>
      <c r="C22" s="1">
        <v>8309.1341568627449</v>
      </c>
      <c r="D22" s="1">
        <v>100940.39725490195</v>
      </c>
      <c r="E22" s="1">
        <v>9.8039215686274508E-3</v>
      </c>
      <c r="F22" s="1">
        <v>9.8039215686274508E-3</v>
      </c>
      <c r="G22" t="s">
        <v>7</v>
      </c>
    </row>
    <row r="23" spans="1:7" x14ac:dyDescent="0.25">
      <c r="A23" t="s">
        <v>28</v>
      </c>
      <c r="B23" s="1">
        <v>9.6153846153846159E-3</v>
      </c>
      <c r="C23" s="1">
        <v>9.6153846153846159E-3</v>
      </c>
      <c r="D23" s="1">
        <v>4586.9549999999999</v>
      </c>
      <c r="E23" s="1">
        <v>55567.389211538451</v>
      </c>
      <c r="F23" s="1">
        <v>16270.217615384618</v>
      </c>
      <c r="G23" t="s">
        <v>7</v>
      </c>
    </row>
    <row r="24" spans="1:7" x14ac:dyDescent="0.25">
      <c r="A24" t="s">
        <v>29</v>
      </c>
      <c r="B24" s="1">
        <v>1.282051282051282E-2</v>
      </c>
      <c r="C24" s="1">
        <v>1.282051282051282E-2</v>
      </c>
      <c r="D24" s="1">
        <v>1.282051282051282E-2</v>
      </c>
      <c r="E24" s="1">
        <v>13327.788474358975</v>
      </c>
      <c r="F24" s="1">
        <v>1.282051282051282E-2</v>
      </c>
      <c r="G24" t="s">
        <v>7</v>
      </c>
    </row>
    <row r="25" spans="1:7" x14ac:dyDescent="0.25">
      <c r="A25" t="s">
        <v>30</v>
      </c>
      <c r="B25" s="1">
        <v>2.4390243902439025E-2</v>
      </c>
      <c r="C25" s="1">
        <v>2.4390243902439025E-2</v>
      </c>
      <c r="D25" s="1">
        <v>428.31317073170732</v>
      </c>
      <c r="E25" s="1">
        <v>2.4390243902439025E-2</v>
      </c>
      <c r="F25" s="1">
        <v>2.4390243902439025E-2</v>
      </c>
      <c r="G25" t="s">
        <v>7</v>
      </c>
    </row>
    <row r="26" spans="1:7" x14ac:dyDescent="0.25">
      <c r="A26" t="s">
        <v>31</v>
      </c>
      <c r="B26" s="1">
        <v>1.2048192771084338E-2</v>
      </c>
      <c r="C26" s="1">
        <v>1.2048192771084338E-2</v>
      </c>
      <c r="D26" s="1">
        <v>9044.3874698795189</v>
      </c>
      <c r="E26" s="1">
        <v>1.2048192771084338E-2</v>
      </c>
      <c r="F26" s="1">
        <v>1.2048192771084338E-2</v>
      </c>
      <c r="G26" t="s">
        <v>7</v>
      </c>
    </row>
    <row r="27" spans="1:7" x14ac:dyDescent="0.25">
      <c r="A27" t="s">
        <v>32</v>
      </c>
      <c r="B27" s="1">
        <v>2.1739130434782608E-2</v>
      </c>
      <c r="C27" s="1">
        <v>2.1739130434782608E-2</v>
      </c>
      <c r="D27" s="1">
        <v>16223.786956521739</v>
      </c>
      <c r="E27" s="1">
        <v>2.1739130434782608E-2</v>
      </c>
      <c r="F27" s="1">
        <v>2.1739130434782608E-2</v>
      </c>
      <c r="G27" t="s">
        <v>7</v>
      </c>
    </row>
    <row r="28" spans="1:7" x14ac:dyDescent="0.25">
      <c r="A28" t="s">
        <v>33</v>
      </c>
      <c r="B28" s="1">
        <v>1.282051282051282E-2</v>
      </c>
      <c r="C28" s="1">
        <v>1.282051282051282E-2</v>
      </c>
      <c r="D28" s="1">
        <v>3770.8758974358966</v>
      </c>
      <c r="E28" s="1">
        <v>1.282051282051282E-2</v>
      </c>
      <c r="F28" s="1">
        <v>1.282051282051282E-2</v>
      </c>
      <c r="G28" t="s">
        <v>7</v>
      </c>
    </row>
    <row r="29" spans="1:7" x14ac:dyDescent="0.25">
      <c r="A29" t="s">
        <v>34</v>
      </c>
      <c r="B29" s="1">
        <v>138820.62416666668</v>
      </c>
      <c r="C29" s="1">
        <v>1.0416666666666666E-2</v>
      </c>
      <c r="D29" s="1">
        <v>1.0416666666666666E-2</v>
      </c>
      <c r="E29" s="1">
        <v>39051.967229166672</v>
      </c>
      <c r="F29" s="1">
        <v>1.0416666666666666E-2</v>
      </c>
      <c r="G29" t="s">
        <v>7</v>
      </c>
    </row>
    <row r="30" spans="1:7" x14ac:dyDescent="0.25">
      <c r="A30" t="s">
        <v>35</v>
      </c>
      <c r="B30" s="1">
        <v>1.020408163265306E-2</v>
      </c>
      <c r="C30" s="1">
        <v>1.020408163265306E-2</v>
      </c>
      <c r="D30" s="1">
        <v>4300.379183673469</v>
      </c>
      <c r="E30" s="1">
        <v>1.020408163265306E-2</v>
      </c>
      <c r="F30" s="1">
        <v>1.020408163265306E-2</v>
      </c>
      <c r="G30" t="s">
        <v>7</v>
      </c>
    </row>
    <row r="31" spans="1:7" x14ac:dyDescent="0.25">
      <c r="A31" t="s">
        <v>36</v>
      </c>
      <c r="B31" s="1">
        <v>1.2345679012345678E-2</v>
      </c>
      <c r="C31" s="1">
        <v>1.2345679012345678E-2</v>
      </c>
      <c r="D31" s="1">
        <v>3631.2138271604931</v>
      </c>
      <c r="E31" s="1">
        <v>1.2345679012345678E-2</v>
      </c>
      <c r="F31" s="1">
        <v>1.2345679012345678E-2</v>
      </c>
      <c r="G31" t="s">
        <v>7</v>
      </c>
    </row>
    <row r="32" spans="1:7" x14ac:dyDescent="0.25">
      <c r="A32" t="s">
        <v>37</v>
      </c>
      <c r="B32" s="1">
        <v>1.9607843137254902E-2</v>
      </c>
      <c r="C32" s="1">
        <v>1.9607843137254902E-2</v>
      </c>
      <c r="D32" s="1">
        <v>2496.2713725490194</v>
      </c>
      <c r="E32" s="1">
        <v>9951.0961960784316</v>
      </c>
      <c r="F32" s="1">
        <v>1.9607843137254902E-2</v>
      </c>
      <c r="G32" t="s">
        <v>7</v>
      </c>
    </row>
    <row r="33" spans="1:7" x14ac:dyDescent="0.25">
      <c r="A33" t="s">
        <v>38</v>
      </c>
      <c r="B33" s="1">
        <v>2.1739130434782608E-2</v>
      </c>
      <c r="C33" s="1">
        <v>2.1739130434782608E-2</v>
      </c>
      <c r="D33" s="1">
        <v>2831.2278260869566</v>
      </c>
      <c r="E33" s="1">
        <v>13523.995391304348</v>
      </c>
      <c r="F33" s="1">
        <v>2.1739130434782608E-2</v>
      </c>
      <c r="G33" t="s">
        <v>7</v>
      </c>
    </row>
    <row r="34" spans="1:7" x14ac:dyDescent="0.25">
      <c r="A34" t="s">
        <v>39</v>
      </c>
      <c r="B34" s="1">
        <v>1.1627906976744186E-2</v>
      </c>
      <c r="C34" s="1">
        <v>1.1627906976744186E-2</v>
      </c>
      <c r="D34" s="1">
        <v>20826.798604651161</v>
      </c>
      <c r="E34" s="1">
        <v>83854.441895348849</v>
      </c>
      <c r="F34" s="1">
        <v>22415.252558139535</v>
      </c>
      <c r="G34" t="s">
        <v>7</v>
      </c>
    </row>
    <row r="35" spans="1:7" x14ac:dyDescent="0.25">
      <c r="A35" t="s">
        <v>40</v>
      </c>
      <c r="B35" s="1">
        <v>1.6129032258064516E-2</v>
      </c>
      <c r="C35" s="1">
        <v>572.399</v>
      </c>
      <c r="D35" s="1">
        <v>35945.763870967741</v>
      </c>
      <c r="E35" s="1">
        <v>64164.268032258078</v>
      </c>
      <c r="F35" s="1">
        <v>238545.58103225811</v>
      </c>
      <c r="G35" t="s">
        <v>7</v>
      </c>
    </row>
    <row r="36" spans="1:7" x14ac:dyDescent="0.25">
      <c r="A36" t="s">
        <v>41</v>
      </c>
      <c r="B36" s="1">
        <v>1.8518518518518517E-2</v>
      </c>
      <c r="C36" s="1">
        <v>1.8518518518518517E-2</v>
      </c>
      <c r="D36" s="1">
        <v>13495.080740740743</v>
      </c>
      <c r="E36" s="1">
        <v>1.8518518518518517E-2</v>
      </c>
      <c r="F36" s="1">
        <v>126530.82503703704</v>
      </c>
      <c r="G36" t="s">
        <v>7</v>
      </c>
    </row>
    <row r="37" spans="1:7" x14ac:dyDescent="0.25">
      <c r="A37" t="s">
        <v>42</v>
      </c>
      <c r="B37" s="1">
        <v>1218494.1390624999</v>
      </c>
      <c r="C37" s="1">
        <v>31084.403781249999</v>
      </c>
      <c r="D37" s="1">
        <v>171482.828125</v>
      </c>
      <c r="E37" s="1">
        <v>945688.34096875007</v>
      </c>
      <c r="F37" s="1">
        <v>253346.71962500003</v>
      </c>
      <c r="G37" t="s">
        <v>7</v>
      </c>
    </row>
    <row r="38" spans="1:7" x14ac:dyDescent="0.25">
      <c r="A38" t="s">
        <v>43</v>
      </c>
      <c r="B38" s="1">
        <v>2654.5564283322169</v>
      </c>
      <c r="C38" s="1">
        <v>3.348961821835231E-4</v>
      </c>
      <c r="D38" s="1">
        <v>301.3874079035499</v>
      </c>
      <c r="E38" s="1">
        <v>1891.5068553248495</v>
      </c>
      <c r="F38" s="1">
        <v>3.348961821835231E-4</v>
      </c>
      <c r="G38" t="s">
        <v>7</v>
      </c>
    </row>
    <row r="39" spans="1:7" x14ac:dyDescent="0.25">
      <c r="A39" t="s">
        <v>44</v>
      </c>
      <c r="B39" s="1">
        <v>1.8518518518518517E-2</v>
      </c>
      <c r="C39" s="1">
        <v>1.8518518518518517E-2</v>
      </c>
      <c r="D39" s="1">
        <v>3495.7274074074076</v>
      </c>
      <c r="E39" s="1">
        <v>1.8518518518518517E-2</v>
      </c>
      <c r="F39" s="1">
        <v>55927.428296296297</v>
      </c>
      <c r="G39" t="s">
        <v>7</v>
      </c>
    </row>
    <row r="40" spans="1:7" x14ac:dyDescent="0.25">
      <c r="A40" t="s">
        <v>45</v>
      </c>
      <c r="B40" s="1">
        <v>66652.695641025639</v>
      </c>
      <c r="C40" s="1">
        <v>481.75964102564103</v>
      </c>
      <c r="D40" s="1">
        <v>64648.752820512818</v>
      </c>
      <c r="E40" s="1">
        <v>829890.18210256414</v>
      </c>
      <c r="F40" s="1">
        <v>805684.24964102567</v>
      </c>
      <c r="G40" t="s">
        <v>7</v>
      </c>
    </row>
    <row r="41" spans="1:7" x14ac:dyDescent="0.25">
      <c r="A41" t="s">
        <v>46</v>
      </c>
      <c r="B41" s="1">
        <v>1.5151515151515152E-2</v>
      </c>
      <c r="C41" s="1">
        <v>29351.727151515148</v>
      </c>
      <c r="D41" s="1">
        <v>53655.081818181818</v>
      </c>
      <c r="E41" s="1">
        <v>134317.66256060606</v>
      </c>
      <c r="F41" s="1">
        <v>647600.47672727273</v>
      </c>
      <c r="G41" t="s">
        <v>7</v>
      </c>
    </row>
    <row r="42" spans="1:7" x14ac:dyDescent="0.25">
      <c r="A42" t="s">
        <v>47</v>
      </c>
      <c r="B42" s="1">
        <v>1.1627906976744186E-2</v>
      </c>
      <c r="C42" s="1">
        <v>22525.744093023255</v>
      </c>
      <c r="D42" s="1">
        <v>41177.15581395349</v>
      </c>
      <c r="E42" s="1">
        <v>103080.99684883721</v>
      </c>
      <c r="F42" s="1">
        <v>496995.71469767444</v>
      </c>
      <c r="G42" t="s">
        <v>7</v>
      </c>
    </row>
    <row r="43" spans="1:7" x14ac:dyDescent="0.25">
      <c r="A43" t="s">
        <v>48</v>
      </c>
      <c r="B43" s="1">
        <v>2.2727272727272728E-2</v>
      </c>
      <c r="C43" s="1">
        <v>44027.590727272727</v>
      </c>
      <c r="D43" s="1">
        <v>80482.622727272726</v>
      </c>
      <c r="E43" s="1">
        <v>201476.4938409091</v>
      </c>
      <c r="F43" s="1">
        <v>971400.71509090916</v>
      </c>
      <c r="G43" t="s">
        <v>7</v>
      </c>
    </row>
    <row r="44" spans="1:7" x14ac:dyDescent="0.25">
      <c r="A44" t="s">
        <v>49</v>
      </c>
      <c r="B44" s="1">
        <v>1.0416666666666666E-2</v>
      </c>
      <c r="C44" s="1">
        <v>5110.0707291666668</v>
      </c>
      <c r="D44" s="1">
        <v>3871.7112500000003</v>
      </c>
      <c r="E44" s="1">
        <v>9805.6327604166672</v>
      </c>
      <c r="F44" s="1">
        <v>74408.751749999996</v>
      </c>
      <c r="G44" t="s">
        <v>7</v>
      </c>
    </row>
    <row r="45" spans="1:7" x14ac:dyDescent="0.25">
      <c r="A45" t="s">
        <v>50</v>
      </c>
      <c r="B45" s="1">
        <v>1.2048192771084338E-2</v>
      </c>
      <c r="C45" s="1">
        <v>9532.154289156626</v>
      </c>
      <c r="D45" s="1">
        <v>9449.8857831325295</v>
      </c>
      <c r="E45" s="1">
        <v>26726.368349397595</v>
      </c>
      <c r="F45" s="1">
        <v>202190.28636144582</v>
      </c>
      <c r="G45" t="s">
        <v>7</v>
      </c>
    </row>
    <row r="46" spans="1:7" x14ac:dyDescent="0.25">
      <c r="A46" t="s">
        <v>51</v>
      </c>
      <c r="B46" s="1">
        <v>1.2048192771084338E-2</v>
      </c>
      <c r="C46" s="1">
        <v>21554.222867469878</v>
      </c>
      <c r="D46" s="1">
        <v>8462.5855421686738</v>
      </c>
      <c r="E46" s="1">
        <v>95761.237024096408</v>
      </c>
      <c r="F46" s="1">
        <v>272898.8187951807</v>
      </c>
      <c r="G46" t="s">
        <v>7</v>
      </c>
    </row>
    <row r="47" spans="1:7" x14ac:dyDescent="0.25">
      <c r="A47" t="s">
        <v>52</v>
      </c>
      <c r="B47" s="1">
        <v>1.3333333333333334E-2</v>
      </c>
      <c r="C47" s="1">
        <v>3061.7005333333336</v>
      </c>
      <c r="D47" s="1">
        <v>6555.6869333333325</v>
      </c>
      <c r="E47" s="1">
        <v>545.71753333333334</v>
      </c>
      <c r="F47" s="1">
        <v>97670.689813333345</v>
      </c>
      <c r="G47" t="s">
        <v>7</v>
      </c>
    </row>
    <row r="48" spans="1:7" x14ac:dyDescent="0.25">
      <c r="A48" t="s">
        <v>53</v>
      </c>
      <c r="B48" s="1">
        <v>1.1904761904761904E-2</v>
      </c>
      <c r="C48" s="1">
        <v>12748.758119047619</v>
      </c>
      <c r="D48" s="1">
        <v>33517.008095238089</v>
      </c>
      <c r="E48" s="1">
        <v>45702.73865476191</v>
      </c>
      <c r="F48" s="1">
        <v>481545.20961904776</v>
      </c>
      <c r="G48" t="s">
        <v>7</v>
      </c>
    </row>
    <row r="49" spans="1:7" x14ac:dyDescent="0.25">
      <c r="A49" t="s">
        <v>54</v>
      </c>
      <c r="B49" s="1">
        <v>82334.10032863848</v>
      </c>
      <c r="C49" s="1">
        <v>13573.745962441315</v>
      </c>
      <c r="D49" s="1">
        <v>27569.503098591551</v>
      </c>
      <c r="E49" s="1">
        <v>41811.706779342734</v>
      </c>
      <c r="F49" s="1">
        <v>613056.25949295785</v>
      </c>
      <c r="G49" t="s">
        <v>7</v>
      </c>
    </row>
    <row r="50" spans="1:7" x14ac:dyDescent="0.25">
      <c r="A50" t="s">
        <v>55</v>
      </c>
      <c r="B50" s="1">
        <v>419207.76850000001</v>
      </c>
      <c r="C50" s="1">
        <v>18892.026700000002</v>
      </c>
      <c r="D50" s="1">
        <v>75178.09</v>
      </c>
      <c r="E50" s="1">
        <v>1478108.0637250002</v>
      </c>
      <c r="F50" s="1">
        <v>1373493.9129999999</v>
      </c>
      <c r="G50" t="s">
        <v>7</v>
      </c>
    </row>
    <row r="51" spans="1:7" x14ac:dyDescent="0.25">
      <c r="A51" t="s">
        <v>56</v>
      </c>
      <c r="B51" s="1">
        <v>6.3291139240506328E-3</v>
      </c>
      <c r="C51" s="1">
        <v>92.491126582278497</v>
      </c>
      <c r="D51" s="1">
        <v>8900.3260759493678</v>
      </c>
      <c r="E51" s="1">
        <v>48232.659196202534</v>
      </c>
      <c r="F51" s="1">
        <v>155423.37767088608</v>
      </c>
      <c r="G51" t="s">
        <v>7</v>
      </c>
    </row>
    <row r="52" spans="1:7" x14ac:dyDescent="0.25">
      <c r="A52" t="s">
        <v>57</v>
      </c>
      <c r="B52" s="1">
        <v>6.2500000000000003E-3</v>
      </c>
      <c r="C52" s="1">
        <v>626.26044999999999</v>
      </c>
      <c r="D52" s="1">
        <v>34378.880500000007</v>
      </c>
      <c r="E52" s="1">
        <v>216405.82806250002</v>
      </c>
      <c r="F52" s="1">
        <v>627510.00624999998</v>
      </c>
      <c r="G52" t="s">
        <v>7</v>
      </c>
    </row>
    <row r="53" spans="1:7" x14ac:dyDescent="0.25">
      <c r="A53" t="s">
        <v>58</v>
      </c>
      <c r="B53" s="1">
        <v>5.8139534883720929E-3</v>
      </c>
      <c r="C53" s="1">
        <v>5.8139534883720929E-3</v>
      </c>
      <c r="D53" s="1">
        <v>757.18883720930228</v>
      </c>
      <c r="E53" s="1">
        <v>7566.8925406976759</v>
      </c>
      <c r="F53" s="1">
        <v>50870.149813953481</v>
      </c>
      <c r="G53" t="s">
        <v>7</v>
      </c>
    </row>
    <row r="54" spans="1:7" x14ac:dyDescent="0.25">
      <c r="A54" t="s">
        <v>59</v>
      </c>
      <c r="B54" s="1">
        <v>1.8867924528301886E-2</v>
      </c>
      <c r="C54" s="1">
        <v>1.8867924528301886E-2</v>
      </c>
      <c r="D54" s="1">
        <v>2015.5350943396227</v>
      </c>
      <c r="E54" s="1">
        <v>51121.176471698112</v>
      </c>
      <c r="F54" s="1">
        <v>142254.56256603773</v>
      </c>
      <c r="G54" t="s">
        <v>7</v>
      </c>
    </row>
    <row r="55" spans="1:7" x14ac:dyDescent="0.25">
      <c r="A55" t="s">
        <v>60</v>
      </c>
      <c r="B55" s="1">
        <v>2.8735632183908046E-3</v>
      </c>
      <c r="C55" s="1">
        <v>2.8735632183908046E-3</v>
      </c>
      <c r="D55" s="1">
        <v>29.437471264367822</v>
      </c>
      <c r="E55" s="1">
        <v>70.56807183908046</v>
      </c>
      <c r="F55" s="1">
        <v>3292.8676091954026</v>
      </c>
      <c r="G55" t="s">
        <v>7</v>
      </c>
    </row>
    <row r="56" spans="1:7" x14ac:dyDescent="0.25">
      <c r="A56" t="s">
        <v>61</v>
      </c>
      <c r="B56" s="1">
        <v>2.0408163265306121E-2</v>
      </c>
      <c r="C56" s="1">
        <v>681.65763265306123</v>
      </c>
      <c r="D56" s="1">
        <v>2.0408163265306121E-2</v>
      </c>
      <c r="E56" s="1">
        <v>2.0408163265306121E-2</v>
      </c>
      <c r="F56" s="1">
        <v>8305.3500408163272</v>
      </c>
      <c r="G56" t="s">
        <v>7</v>
      </c>
    </row>
    <row r="57" spans="1:7" x14ac:dyDescent="0.25">
      <c r="A57" t="s">
        <v>62</v>
      </c>
      <c r="B57" s="1">
        <v>1.5625E-2</v>
      </c>
      <c r="C57" s="1">
        <v>1.5625E-2</v>
      </c>
      <c r="D57" s="1">
        <v>1.5625E-2</v>
      </c>
      <c r="E57" s="1">
        <v>1.5625E-2</v>
      </c>
      <c r="F57" s="1">
        <v>50535.487625000009</v>
      </c>
      <c r="G57" t="s">
        <v>7</v>
      </c>
    </row>
    <row r="58" spans="1:7" x14ac:dyDescent="0.25">
      <c r="A58" t="s">
        <v>63</v>
      </c>
      <c r="B58" s="1">
        <v>2.2727272727272728E-2</v>
      </c>
      <c r="C58" s="1">
        <v>2.2727272727272728E-2</v>
      </c>
      <c r="D58" s="1">
        <v>2.2727272727272728E-2</v>
      </c>
      <c r="E58" s="1">
        <v>2.2727272727272728E-2</v>
      </c>
      <c r="F58" s="1">
        <v>150176.47654545456</v>
      </c>
      <c r="G58" t="s">
        <v>7</v>
      </c>
    </row>
    <row r="59" spans="1:7" x14ac:dyDescent="0.25">
      <c r="A59" t="s">
        <v>64</v>
      </c>
      <c r="B59" s="1">
        <v>1.8518518518518517E-2</v>
      </c>
      <c r="C59" s="1">
        <v>1.8518518518518517E-2</v>
      </c>
      <c r="D59" s="1">
        <v>1.8518518518518517E-2</v>
      </c>
      <c r="E59" s="1">
        <v>1.8518518518518517E-2</v>
      </c>
      <c r="F59" s="1">
        <v>46804.517481481482</v>
      </c>
      <c r="G59" t="s">
        <v>7</v>
      </c>
    </row>
    <row r="60" spans="1:7" x14ac:dyDescent="0.25">
      <c r="A60" t="s">
        <v>65</v>
      </c>
      <c r="B60" s="1">
        <v>1.6949152542372881E-2</v>
      </c>
      <c r="C60" s="1">
        <v>1.6949152542372881E-2</v>
      </c>
      <c r="D60" s="1">
        <v>1.6949152542372881E-2</v>
      </c>
      <c r="E60" s="1">
        <v>1.6949152542372881E-2</v>
      </c>
      <c r="F60" s="1">
        <v>33580.665084745764</v>
      </c>
      <c r="G60" t="s">
        <v>7</v>
      </c>
    </row>
    <row r="61" spans="1:7" x14ac:dyDescent="0.25">
      <c r="A61" t="s">
        <v>66</v>
      </c>
      <c r="B61" s="1">
        <v>5.235602094240838E-3</v>
      </c>
      <c r="C61" s="1">
        <v>5.235602094240838E-3</v>
      </c>
      <c r="D61" s="1">
        <v>5.235602094240838E-3</v>
      </c>
      <c r="E61" s="1">
        <v>5.235602094240838E-3</v>
      </c>
      <c r="F61" s="1">
        <v>14017.680628272252</v>
      </c>
      <c r="G61" t="s">
        <v>7</v>
      </c>
    </row>
    <row r="62" spans="1:7" x14ac:dyDescent="0.25">
      <c r="A62" t="s">
        <v>67</v>
      </c>
      <c r="B62" s="1">
        <v>2.3255813953488372E-2</v>
      </c>
      <c r="C62" s="1">
        <v>2.3255813953488372E-2</v>
      </c>
      <c r="D62" s="1">
        <v>2.3255813953488372E-2</v>
      </c>
      <c r="E62" s="1">
        <v>2.3255813953488372E-2</v>
      </c>
      <c r="F62" s="1">
        <v>193020.1534883721</v>
      </c>
      <c r="G62" t="s">
        <v>7</v>
      </c>
    </row>
    <row r="63" spans="1:7" x14ac:dyDescent="0.25">
      <c r="A63" t="s">
        <v>68</v>
      </c>
      <c r="B63" s="1">
        <v>6.6225165562913907E-3</v>
      </c>
      <c r="C63" s="1">
        <v>6.6225165562913907E-3</v>
      </c>
      <c r="D63" s="1">
        <v>6.6225165562913907E-3</v>
      </c>
      <c r="E63" s="1">
        <v>6.6225165562913907E-3</v>
      </c>
      <c r="F63" s="1">
        <v>60214.370172185438</v>
      </c>
      <c r="G63" t="s">
        <v>7</v>
      </c>
    </row>
    <row r="64" spans="1:7" x14ac:dyDescent="0.25">
      <c r="A64" t="s">
        <v>69</v>
      </c>
      <c r="B64" s="1">
        <v>1.0309278350515464E-2</v>
      </c>
      <c r="C64" s="1">
        <v>1.0309278350515464E-2</v>
      </c>
      <c r="D64" s="1">
        <v>1.0309278350515464E-2</v>
      </c>
      <c r="E64" s="1">
        <v>1.0309278350515464E-2</v>
      </c>
      <c r="F64" s="1">
        <v>26056.123134020621</v>
      </c>
      <c r="G64" t="s">
        <v>7</v>
      </c>
    </row>
    <row r="67" spans="1:8" x14ac:dyDescent="0.25">
      <c r="A67" t="s">
        <v>70</v>
      </c>
      <c r="B67" s="1">
        <v>545393.03310344799</v>
      </c>
      <c r="C67" s="1">
        <v>3354707.0157241379</v>
      </c>
      <c r="D67" s="1">
        <v>2850345.5572413793</v>
      </c>
      <c r="E67" s="1">
        <v>73387.84068965519</v>
      </c>
      <c r="F67" s="1">
        <v>3.4482758620689655E-2</v>
      </c>
      <c r="G67" t="s">
        <v>71</v>
      </c>
      <c r="H67" t="s">
        <v>88</v>
      </c>
    </row>
    <row r="68" spans="1:8" x14ac:dyDescent="0.25">
      <c r="A68" t="s">
        <v>72</v>
      </c>
      <c r="B68" s="1">
        <v>4.5454545454545456E-2</v>
      </c>
      <c r="C68" s="1">
        <v>4.5454545454545456E-2</v>
      </c>
      <c r="D68" s="1">
        <v>4.5454545454545456E-2</v>
      </c>
      <c r="E68" s="1">
        <v>4.5454545454545456E-2</v>
      </c>
      <c r="F68" s="1">
        <v>15090.710181818182</v>
      </c>
      <c r="G68" t="s">
        <v>71</v>
      </c>
    </row>
    <row r="69" spans="1:8" x14ac:dyDescent="0.25">
      <c r="A69" t="s">
        <v>73</v>
      </c>
      <c r="B69" s="1">
        <v>4.3478260869565216E-2</v>
      </c>
      <c r="C69" s="1">
        <v>36758.442173913041</v>
      </c>
      <c r="D69" s="1">
        <v>5853.3234782608697</v>
      </c>
      <c r="E69" s="1">
        <v>4.3478260869565216E-2</v>
      </c>
      <c r="F69" s="1">
        <v>4.3478260869565216E-2</v>
      </c>
      <c r="G69" t="s">
        <v>71</v>
      </c>
    </row>
    <row r="70" spans="1:8" x14ac:dyDescent="0.25">
      <c r="A70" t="s">
        <v>74</v>
      </c>
      <c r="B70" s="1">
        <v>2280763.0961363637</v>
      </c>
      <c r="C70" s="1">
        <v>4.5454545454545456E-2</v>
      </c>
      <c r="D70" s="1">
        <v>997.76363636363635</v>
      </c>
      <c r="E70" s="1">
        <v>4.5454545454545456E-2</v>
      </c>
      <c r="F70" s="1">
        <v>162589.788</v>
      </c>
      <c r="G70" t="s">
        <v>71</v>
      </c>
    </row>
    <row r="71" spans="1:8" x14ac:dyDescent="0.25">
      <c r="A71" t="s">
        <v>75</v>
      </c>
      <c r="B71" s="1">
        <v>2551212.4081176468</v>
      </c>
      <c r="C71" s="1">
        <v>635979.57110588229</v>
      </c>
      <c r="D71" s="1">
        <v>1705318.7087058825</v>
      </c>
      <c r="E71" s="1">
        <v>107375.3381764706</v>
      </c>
      <c r="F71" s="1">
        <v>73076.627294117658</v>
      </c>
      <c r="G71" t="s">
        <v>71</v>
      </c>
    </row>
    <row r="72" spans="1:8" x14ac:dyDescent="0.25">
      <c r="A72" t="s">
        <v>76</v>
      </c>
      <c r="B72" s="1">
        <v>111993.58819642857</v>
      </c>
      <c r="C72" s="1">
        <v>37657.265050000002</v>
      </c>
      <c r="D72" s="1">
        <v>98842.043428571429</v>
      </c>
      <c r="E72" s="1">
        <v>352125.38333928579</v>
      </c>
      <c r="F72" s="1">
        <v>2159380.2440285715</v>
      </c>
      <c r="G72" t="s">
        <v>71</v>
      </c>
    </row>
    <row r="73" spans="1:8" x14ac:dyDescent="0.25">
      <c r="A73" t="s">
        <v>77</v>
      </c>
      <c r="B73" s="1">
        <v>202794866.30704546</v>
      </c>
      <c r="C73" s="1">
        <v>1581576.5614545457</v>
      </c>
      <c r="D73" s="1">
        <v>6070383.5218181824</v>
      </c>
      <c r="E73" s="1">
        <v>6976332.1477272725</v>
      </c>
      <c r="F73" s="1">
        <v>16551.097090909094</v>
      </c>
      <c r="G73" t="s">
        <v>71</v>
      </c>
    </row>
    <row r="74" spans="1:8" x14ac:dyDescent="0.25">
      <c r="A74" t="s">
        <v>78</v>
      </c>
      <c r="B74" s="1">
        <v>130260610.23590909</v>
      </c>
      <c r="C74" s="1">
        <v>446063.83245454542</v>
      </c>
      <c r="D74" s="1">
        <v>5352225.9745454546</v>
      </c>
      <c r="E74" s="1">
        <v>4674700.6605454553</v>
      </c>
      <c r="F74" s="1">
        <v>9735.9581818181832</v>
      </c>
      <c r="G74" t="s">
        <v>71</v>
      </c>
    </row>
    <row r="75" spans="1:8" x14ac:dyDescent="0.25">
      <c r="A75" t="s">
        <v>79</v>
      </c>
      <c r="B75" s="1">
        <v>2830.209555921052</v>
      </c>
      <c r="C75" s="1">
        <v>2485.7929868421056</v>
      </c>
      <c r="D75" s="1">
        <v>1728.0686842105263</v>
      </c>
      <c r="E75" s="1">
        <v>3.2894736842105261E-3</v>
      </c>
      <c r="F75" s="1">
        <v>3.2894736842105261E-3</v>
      </c>
      <c r="G75" t="s">
        <v>71</v>
      </c>
    </row>
    <row r="76" spans="1:8" x14ac:dyDescent="0.25">
      <c r="A76" t="s">
        <v>80</v>
      </c>
      <c r="B76" s="1">
        <v>14357.663725490196</v>
      </c>
      <c r="C76" s="1">
        <v>21100.268960784317</v>
      </c>
      <c r="D76" s="1">
        <v>56904.502745098041</v>
      </c>
      <c r="E76" s="1">
        <v>328546.0335490196</v>
      </c>
      <c r="F76" s="1">
        <v>660891.89635294117</v>
      </c>
      <c r="G76" t="s">
        <v>71</v>
      </c>
    </row>
    <row r="77" spans="1:8" x14ac:dyDescent="0.25">
      <c r="A77" t="s">
        <v>81</v>
      </c>
      <c r="B77" s="1">
        <v>2.6315789473684209E-2</v>
      </c>
      <c r="C77" s="1">
        <v>2.6315789473684209E-2</v>
      </c>
      <c r="D77" s="1">
        <v>48289.586315789471</v>
      </c>
      <c r="E77" s="1">
        <v>20894.752921052634</v>
      </c>
      <c r="F77" s="1">
        <v>2294370.3437894741</v>
      </c>
      <c r="G77" t="s">
        <v>71</v>
      </c>
    </row>
    <row r="78" spans="1:8" x14ac:dyDescent="0.25">
      <c r="A78" t="s">
        <v>82</v>
      </c>
      <c r="B78" s="1">
        <v>3030004.4337745099</v>
      </c>
      <c r="C78" s="1">
        <v>121485.13827450981</v>
      </c>
      <c r="D78" s="1">
        <v>434060.89137254906</v>
      </c>
      <c r="E78" s="1">
        <v>6427753.480862746</v>
      </c>
      <c r="F78" s="1">
        <v>2387169.4504313725</v>
      </c>
      <c r="G78" t="s">
        <v>71</v>
      </c>
    </row>
    <row r="79" spans="1:8" x14ac:dyDescent="0.25">
      <c r="A79" t="s">
        <v>83</v>
      </c>
      <c r="B79" s="1">
        <v>3535448.6795652178</v>
      </c>
      <c r="C79" s="1">
        <v>708847.18869565206</v>
      </c>
      <c r="D79" s="1">
        <v>945241.14086956519</v>
      </c>
      <c r="E79" s="1">
        <v>859128.26443478267</v>
      </c>
      <c r="F79" s="1">
        <v>19556.529043478262</v>
      </c>
      <c r="G79" t="s">
        <v>71</v>
      </c>
    </row>
    <row r="80" spans="1:8" x14ac:dyDescent="0.25">
      <c r="A80" t="s">
        <v>84</v>
      </c>
      <c r="B80" s="1">
        <v>7.462686567164179E-3</v>
      </c>
      <c r="C80" s="1">
        <v>2305.6199402985076</v>
      </c>
      <c r="D80" s="1">
        <v>371.29761194029857</v>
      </c>
      <c r="E80" s="1">
        <v>7.462686567164179E-3</v>
      </c>
      <c r="F80" s="1">
        <v>7.462686567164179E-3</v>
      </c>
      <c r="G80" t="s">
        <v>71</v>
      </c>
    </row>
    <row r="81" spans="1:7" x14ac:dyDescent="0.25">
      <c r="A81" t="s">
        <v>85</v>
      </c>
      <c r="B81" s="1">
        <v>173368.78911764707</v>
      </c>
      <c r="C81" s="1">
        <v>80921.92505882353</v>
      </c>
      <c r="D81" s="1">
        <v>326492.57411764702</v>
      </c>
      <c r="E81" s="1">
        <v>79929.673999999999</v>
      </c>
      <c r="F81" s="1">
        <v>4607606.6621176479</v>
      </c>
      <c r="G8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opLeftCell="A4" workbookViewId="0">
      <selection activeCell="R10" sqref="R10"/>
    </sheetView>
  </sheetViews>
  <sheetFormatPr defaultRowHeight="15" x14ac:dyDescent="0.25"/>
  <cols>
    <col min="1" max="1" width="13.5703125" customWidth="1"/>
    <col min="2" max="2" width="14.5703125" customWidth="1"/>
    <col min="3" max="3" width="12.5703125" customWidth="1"/>
    <col min="6" max="6" width="12" bestFit="1" customWidth="1"/>
    <col min="7" max="7" width="10" bestFit="1" customWidth="1"/>
    <col min="8" max="9" width="12" bestFit="1" customWidth="1"/>
    <col min="11" max="12" width="10" bestFit="1" customWidth="1"/>
    <col min="13" max="14" width="11" bestFit="1" customWidth="1"/>
    <col min="16" max="16" width="11" bestFit="1" customWidth="1"/>
  </cols>
  <sheetData>
    <row r="1" spans="1:18" x14ac:dyDescent="0.25">
      <c r="A1" t="s">
        <v>86</v>
      </c>
      <c r="B1" t="s">
        <v>70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</row>
    <row r="2" spans="1:18" x14ac:dyDescent="0.25">
      <c r="A2" t="s">
        <v>6</v>
      </c>
      <c r="B2">
        <f>SUMPRODUCT(Basophilic!$B2:$F2, Basophilic!$B$67:$F$67)</f>
        <v>36049139049.351715</v>
      </c>
      <c r="C2">
        <f>SUMPRODUCT(Basophilic!$B2:$F2, Basophilic!$B$68:$F$68)</f>
        <v>714.82148878394332</v>
      </c>
      <c r="D2">
        <f>SUMPRODUCT(Basophilic!$B2:$F2, Basophilic!$B$69:$F$69)</f>
        <v>282141511.39746797</v>
      </c>
      <c r="E2">
        <f>SUMPRODUCT(Basophilic!$B2:$F2, Basophilic!$B$70:$F$70)</f>
        <v>4469088.935568477</v>
      </c>
      <c r="F2">
        <f>SUMPRODUCT(Basophilic!$B2:$F2, Basophilic!$B$71:$F$71)</f>
        <v>12014706013.136549</v>
      </c>
      <c r="G2">
        <f>SUMPRODUCT(Basophilic!$B2:$F2, Basophilic!$B$72:$F$72)</f>
        <v>701957553.2014482</v>
      </c>
      <c r="H2">
        <f>SUMPRODUCT(Basophilic!$B2:$F2, Basophilic!$B$73:$F$73)</f>
        <v>38017155476.361588</v>
      </c>
      <c r="I2">
        <f>SUMPRODUCT(Basophilic!$B2:$F2, Basophilic!$B$74:$F$74)</f>
        <v>26910942049.962376</v>
      </c>
      <c r="J2">
        <f>SUMPRODUCT(Basophilic!$B2:$F2, Basophilic!$B$75:$F$75)</f>
        <v>25004321.302110396</v>
      </c>
      <c r="K2">
        <f>SUMPRODUCT(Basophilic!$B2:$F2, Basophilic!$B$76:$F$76)</f>
        <v>400081175.98908746</v>
      </c>
      <c r="L2">
        <f>SUMPRODUCT(Basophilic!$B2:$F2, Basophilic!$B$77:$F$77)</f>
        <v>214773339.68397111</v>
      </c>
      <c r="M2">
        <f>SUMPRODUCT(Basophilic!$B2:$F2, Basophilic!$B$78:$F$78)</f>
        <v>2776855478.5814996</v>
      </c>
      <c r="N2">
        <f>SUMPRODUCT(Basophilic!$B2:$F2, Basophilic!$B$79:$F$79)</f>
        <v>9142373988.3577023</v>
      </c>
      <c r="O2">
        <f>SUMPRODUCT(Basophilic!$B2:$F2, Basophilic!$B$80:$F$80)</f>
        <v>17715400.261213358</v>
      </c>
      <c r="P2">
        <f>SUMPRODUCT(Basophilic!$B2:$F2, Basophilic!$B$81:$F$81)</f>
        <v>2015788692.4576595</v>
      </c>
      <c r="R2" t="s">
        <v>87</v>
      </c>
    </row>
    <row r="3" spans="1:18" x14ac:dyDescent="0.25">
      <c r="A3" t="s">
        <v>8</v>
      </c>
      <c r="B3">
        <f>SUMPRODUCT(Basophilic!$B3:$F3, Basophilic!$B$67:$F$67)</f>
        <v>16435768742.770891</v>
      </c>
      <c r="C3">
        <f>SUMPRODUCT(Basophilic!$B3:$F3, Basophilic!$B$68:$F$68)</f>
        <v>444.78470956316414</v>
      </c>
      <c r="D3">
        <f>SUMPRODUCT(Basophilic!$B3:$F3, Basophilic!$B$69:$F$69)</f>
        <v>83148369.891951978</v>
      </c>
      <c r="E3">
        <f>SUMPRODUCT(Basophilic!$B3:$F3, Basophilic!$B$70:$F$70)</f>
        <v>3843112.7688671779</v>
      </c>
      <c r="F3">
        <f>SUMPRODUCT(Basophilic!$B3:$F3, Basophilic!$B$71:$F$71)</f>
        <v>7565850470.9405746</v>
      </c>
      <c r="G3">
        <f>SUMPRODUCT(Basophilic!$B3:$F3, Basophilic!$B$72:$F$72)</f>
        <v>439871681.59872848</v>
      </c>
      <c r="H3">
        <f>SUMPRODUCT(Basophilic!$B3:$F3, Basophilic!$B$73:$F$73)</f>
        <v>25806213407.984161</v>
      </c>
      <c r="I3">
        <f>SUMPRODUCT(Basophilic!$B3:$F3, Basophilic!$B$74:$F$74)</f>
        <v>21184125447.633739</v>
      </c>
      <c r="J3">
        <f>SUMPRODUCT(Basophilic!$B3:$F3, Basophilic!$B$75:$F$75)</f>
        <v>10711896.652854435</v>
      </c>
      <c r="K3">
        <f>SUMPRODUCT(Basophilic!$B3:$F3, Basophilic!$B$76:$F$76)</f>
        <v>252274340.35243151</v>
      </c>
      <c r="L3">
        <f>SUMPRODUCT(Basophilic!$B3:$F3, Basophilic!$B$77:$F$77)</f>
        <v>184489006.65865982</v>
      </c>
      <c r="M3">
        <f>SUMPRODUCT(Basophilic!$B3:$F3, Basophilic!$B$78:$F$78)</f>
        <v>1859107593.6747034</v>
      </c>
      <c r="N3">
        <f>SUMPRODUCT(Basophilic!$B3:$F3, Basophilic!$B$79:$F$79)</f>
        <v>4782996701.1109352</v>
      </c>
      <c r="O3">
        <f>SUMPRODUCT(Basophilic!$B3:$F3, Basophilic!$B$80:$F$80)</f>
        <v>5231237.6183055919</v>
      </c>
      <c r="P3">
        <f>SUMPRODUCT(Basophilic!$B3:$F3, Basophilic!$B$81:$F$81)</f>
        <v>1381040504.9902756</v>
      </c>
    </row>
    <row r="4" spans="1:18" x14ac:dyDescent="0.25">
      <c r="A4" t="s">
        <v>9</v>
      </c>
      <c r="B4">
        <f>SUMPRODUCT(Basophilic!$B4:$F4, Basophilic!$B$67:$F$67)</f>
        <v>222410329224.61798</v>
      </c>
      <c r="C4">
        <f>SUMPRODUCT(Basophilic!$B4:$F4, Basophilic!$B$68:$F$68)</f>
        <v>5109.4753310950409</v>
      </c>
      <c r="D4">
        <f>SUMPRODUCT(Basophilic!$B4:$F4, Basophilic!$B$69:$F$69)</f>
        <v>929833568.57226944</v>
      </c>
      <c r="E4">
        <f>SUMPRODUCT(Basophilic!$B4:$F4, Basophilic!$B$70:$F$70)</f>
        <v>58199683.793845043</v>
      </c>
      <c r="F4">
        <f>SUMPRODUCT(Basophilic!$B4:$F4, Basophilic!$B$71:$F$71)</f>
        <v>113289060190.47821</v>
      </c>
      <c r="G4">
        <f>SUMPRODUCT(Basophilic!$B4:$F4, Basophilic!$B$72:$F$72)</f>
        <v>18451691948.818344</v>
      </c>
      <c r="H4">
        <f>SUMPRODUCT(Basophilic!$B4:$F4, Basophilic!$B$73:$F$73)</f>
        <v>618682828070.09338</v>
      </c>
      <c r="I4">
        <f>SUMPRODUCT(Basophilic!$B4:$F4, Basophilic!$B$74:$F$74)</f>
        <v>479631164031.22986</v>
      </c>
      <c r="J4">
        <f>SUMPRODUCT(Basophilic!$B4:$F4, Basophilic!$B$75:$F$75)</f>
        <v>140549563.52656293</v>
      </c>
      <c r="K4">
        <f>SUMPRODUCT(Basophilic!$B4:$F4, Basophilic!$B$76:$F$76)</f>
        <v>14932273587.855843</v>
      </c>
      <c r="L4">
        <f>SUMPRODUCT(Basophilic!$B4:$F4, Basophilic!$B$77:$F$77)</f>
        <v>3532492297.2758398</v>
      </c>
      <c r="M4">
        <f>SUMPRODUCT(Basophilic!$B4:$F4, Basophilic!$B$78:$F$78)</f>
        <v>247874475873.98907</v>
      </c>
      <c r="N4">
        <f>SUMPRODUCT(Basophilic!$B4:$F4, Basophilic!$B$79:$F$79)</f>
        <v>95946151602.838638</v>
      </c>
      <c r="O4">
        <f>SUMPRODUCT(Basophilic!$B4:$F4, Basophilic!$B$80:$F$80)</f>
        <v>58564941.381947003</v>
      </c>
      <c r="P4">
        <f>SUMPRODUCT(Basophilic!$B4:$F4, Basophilic!$B$81:$F$81)</f>
        <v>23073783649.856586</v>
      </c>
    </row>
    <row r="5" spans="1:18" x14ac:dyDescent="0.25">
      <c r="A5" t="s">
        <v>10</v>
      </c>
      <c r="B5">
        <f>SUMPRODUCT(Basophilic!$B5:$F5, Basophilic!$B$67:$F$67)</f>
        <v>25637981653.884109</v>
      </c>
      <c r="C5">
        <f>SUMPRODUCT(Basophilic!$B5:$F5, Basophilic!$B$68:$F$68)</f>
        <v>62850562.066089571</v>
      </c>
      <c r="D5">
        <f>SUMPRODUCT(Basophilic!$B5:$F5, Basophilic!$B$69:$F$69)</f>
        <v>139250617.84576675</v>
      </c>
      <c r="E5">
        <f>SUMPRODUCT(Basophilic!$B5:$F5, Basophilic!$B$70:$F$70)</f>
        <v>682770313.57205153</v>
      </c>
      <c r="F5">
        <f>SUMPRODUCT(Basophilic!$B5:$F5, Basophilic!$B$71:$F$71)</f>
        <v>11667947255.975502</v>
      </c>
      <c r="G5">
        <f>SUMPRODUCT(Basophilic!$B5:$F5, Basophilic!$B$72:$F$72)</f>
        <v>9654399383.5149269</v>
      </c>
      <c r="H5">
        <f>SUMPRODUCT(Basophilic!$B5:$F5, Basophilic!$B$73:$F$73)</f>
        <v>38545133709.97258</v>
      </c>
      <c r="I5">
        <f>SUMPRODUCT(Basophilic!$B5:$F5, Basophilic!$B$74:$F$74)</f>
        <v>31214142072.408974</v>
      </c>
      <c r="J5">
        <f>SUMPRODUCT(Basophilic!$B5:$F5, Basophilic!$B$75:$F$75)</f>
        <v>16853854.752996951</v>
      </c>
      <c r="K5">
        <f>SUMPRODUCT(Basophilic!$B5:$F5, Basophilic!$B$76:$F$76)</f>
        <v>3131341550.8648376</v>
      </c>
      <c r="L5">
        <f>SUMPRODUCT(Basophilic!$B5:$F5, Basophilic!$B$77:$F$77)</f>
        <v>9825220476.4671993</v>
      </c>
      <c r="M5">
        <f>SUMPRODUCT(Basophilic!$B5:$F5, Basophilic!$B$78:$F$78)</f>
        <v>12717610702.7306</v>
      </c>
      <c r="N5">
        <f>SUMPRODUCT(Basophilic!$B5:$F5, Basophilic!$B$79:$F$79)</f>
        <v>7413354640.4975901</v>
      </c>
      <c r="O5">
        <f>SUMPRODUCT(Basophilic!$B5:$F5, Basophilic!$B$80:$F$80)</f>
        <v>8757514.9209053628</v>
      </c>
      <c r="P5">
        <f>SUMPRODUCT(Basophilic!$B5:$F5, Basophilic!$B$81:$F$81)</f>
        <v>21247087317.008694</v>
      </c>
    </row>
    <row r="6" spans="1:18" x14ac:dyDescent="0.25">
      <c r="A6" t="s">
        <v>11</v>
      </c>
      <c r="B6">
        <f>SUMPRODUCT(Basophilic!$B6:$F6, Basophilic!$B$67:$F$67)</f>
        <v>65538930113.389313</v>
      </c>
      <c r="C6">
        <f>SUMPRODUCT(Basophilic!$B6:$F6, Basophilic!$B$68:$F$68)</f>
        <v>266623204.38359237</v>
      </c>
      <c r="D6">
        <f>SUMPRODUCT(Basophilic!$B6:$F6, Basophilic!$B$69:$F$69)</f>
        <v>258344294.50207305</v>
      </c>
      <c r="E6">
        <f>SUMPRODUCT(Basophilic!$B6:$F6, Basophilic!$B$70:$F$70)</f>
        <v>2890719453.6705227</v>
      </c>
      <c r="F6">
        <f>SUMPRODUCT(Basophilic!$B6:$F6, Basophilic!$B$71:$F$71)</f>
        <v>34821315265.04702</v>
      </c>
      <c r="G6">
        <f>SUMPRODUCT(Basophilic!$B6:$F6, Basophilic!$B$72:$F$72)</f>
        <v>40098603789.276588</v>
      </c>
      <c r="H6">
        <f>SUMPRODUCT(Basophilic!$B6:$F6, Basophilic!$B$73:$F$73)</f>
        <v>116823160035.18666</v>
      </c>
      <c r="I6">
        <f>SUMPRODUCT(Basophilic!$B6:$F6, Basophilic!$B$74:$F$74)</f>
        <v>98986842804.6931</v>
      </c>
      <c r="J6">
        <f>SUMPRODUCT(Basophilic!$B6:$F6, Basophilic!$B$75:$F$75)</f>
        <v>41606646.247961394</v>
      </c>
      <c r="K6">
        <f>SUMPRODUCT(Basophilic!$B6:$F6, Basophilic!$B$76:$F$76)</f>
        <v>12794978355.924963</v>
      </c>
      <c r="L6">
        <f>SUMPRODUCT(Basophilic!$B6:$F6, Basophilic!$B$77:$F$77)</f>
        <v>41411723097.130447</v>
      </c>
      <c r="M6">
        <f>SUMPRODUCT(Basophilic!$B6:$F6, Basophilic!$B$78:$F$78)</f>
        <v>50543683231.935799</v>
      </c>
      <c r="N6">
        <f>SUMPRODUCT(Basophilic!$B6:$F6, Basophilic!$B$79:$F$79)</f>
        <v>20407356242.698505</v>
      </c>
      <c r="O6">
        <f>SUMPRODUCT(Basophilic!$B6:$F6, Basophilic!$B$80:$F$80)</f>
        <v>16279655.742218751</v>
      </c>
      <c r="P6">
        <f>SUMPRODUCT(Basophilic!$B6:$F6, Basophilic!$B$81:$F$81)</f>
        <v>87657378553.212936</v>
      </c>
    </row>
    <row r="7" spans="1:18" x14ac:dyDescent="0.25">
      <c r="A7" t="s">
        <v>12</v>
      </c>
      <c r="B7">
        <f>SUMPRODUCT(Basophilic!$B7:$F7, Basophilic!$B$67:$F$67)</f>
        <v>342575762796.60004</v>
      </c>
      <c r="C7">
        <f>SUMPRODUCT(Basophilic!$B7:$F7, Basophilic!$B$68:$F$68)</f>
        <v>9570.402875982043</v>
      </c>
      <c r="D7">
        <f>SUMPRODUCT(Basophilic!$B7:$F7, Basophilic!$B$69:$F$69)</f>
        <v>1268506071.6760881</v>
      </c>
      <c r="E7">
        <f>SUMPRODUCT(Basophilic!$B7:$F7, Basophilic!$B$70:$F$70)</f>
        <v>94830177.564857483</v>
      </c>
      <c r="F7">
        <f>SUMPRODUCT(Basophilic!$B7:$F7, Basophilic!$B$71:$F$71)</f>
        <v>184228715909.44876</v>
      </c>
      <c r="G7">
        <f>SUMPRODUCT(Basophilic!$B7:$F7, Basophilic!$B$72:$F$72)</f>
        <v>42538051809.624794</v>
      </c>
      <c r="H7">
        <f>SUMPRODUCT(Basophilic!$B7:$F7, Basophilic!$B$73:$F$73)</f>
        <v>1249642945948.8252</v>
      </c>
      <c r="I7">
        <f>SUMPRODUCT(Basophilic!$B7:$F7, Basophilic!$B$74:$F$74)</f>
        <v>947511515089.56689</v>
      </c>
      <c r="J7">
        <f>SUMPRODUCT(Basophilic!$B7:$F7, Basophilic!$B$75:$F$75)</f>
        <v>212355317.70192841</v>
      </c>
      <c r="K7">
        <f>SUMPRODUCT(Basophilic!$B7:$F7, Basophilic!$B$76:$F$76)</f>
        <v>36062003677.598724</v>
      </c>
      <c r="L7">
        <f>SUMPRODUCT(Basophilic!$B7:$F7, Basophilic!$B$77:$F$77)</f>
        <v>6511517441.5712261</v>
      </c>
      <c r="M7">
        <f>SUMPRODUCT(Basophilic!$B7:$F7, Basophilic!$B$78:$F$78)</f>
        <v>635347475855.33948</v>
      </c>
      <c r="N7">
        <f>SUMPRODUCT(Basophilic!$B7:$F7, Basophilic!$B$79:$F$79)</f>
        <v>182636050273.41324</v>
      </c>
      <c r="O7">
        <f>SUMPRODUCT(Basophilic!$B7:$F7, Basophilic!$B$80:$F$80)</f>
        <v>79960526.423339024</v>
      </c>
      <c r="P7">
        <f>SUMPRODUCT(Basophilic!$B7:$F7, Basophilic!$B$81:$F$81)</f>
        <v>39946086166.833649</v>
      </c>
    </row>
    <row r="8" spans="1:18" x14ac:dyDescent="0.25">
      <c r="A8" t="s">
        <v>13</v>
      </c>
      <c r="B8">
        <f>SUMPRODUCT(Basophilic!$B8:$F8, Basophilic!$B$67:$F$67)</f>
        <v>355325532125.58783</v>
      </c>
      <c r="C8">
        <f>SUMPRODUCT(Basophilic!$B8:$F8, Basophilic!$B$68:$F$68)</f>
        <v>29394060.181435034</v>
      </c>
      <c r="D8">
        <f>SUMPRODUCT(Basophilic!$B8:$F8, Basophilic!$B$69:$F$69)</f>
        <v>1606147047.0178871</v>
      </c>
      <c r="E8">
        <f>SUMPRODUCT(Basophilic!$B8:$F8, Basophilic!$B$70:$F$70)</f>
        <v>32934446130.910915</v>
      </c>
      <c r="F8">
        <f>SUMPRODUCT(Basophilic!$B8:$F8, Basophilic!$B$71:$F$71)</f>
        <v>208032529126.21512</v>
      </c>
      <c r="G8">
        <f>SUMPRODUCT(Basophilic!$B8:$F8, Basophilic!$B$72:$F$72)</f>
        <v>43492251897.18856</v>
      </c>
      <c r="H8">
        <f>SUMPRODUCT(Basophilic!$B8:$F8, Basophilic!$B$73:$F$73)</f>
        <v>4011154489278.959</v>
      </c>
      <c r="I8">
        <f>SUMPRODUCT(Basophilic!$B8:$F8, Basophilic!$B$74:$F$74)</f>
        <v>2697119931357.1479</v>
      </c>
      <c r="J8">
        <f>SUMPRODUCT(Basophilic!$B8:$F8, Basophilic!$B$75:$F$75)</f>
        <v>261196763.19217139</v>
      </c>
      <c r="K8">
        <f>SUMPRODUCT(Basophilic!$B8:$F8, Basophilic!$B$76:$F$76)</f>
        <v>33258046465.825745</v>
      </c>
      <c r="L8">
        <f>SUMPRODUCT(Basophilic!$B8:$F8, Basophilic!$B$77:$F$77)</f>
        <v>10209662028.026352</v>
      </c>
      <c r="M8">
        <f>SUMPRODUCT(Basophilic!$B8:$F8, Basophilic!$B$78:$F$78)</f>
        <v>603322831839.13171</v>
      </c>
      <c r="N8">
        <f>SUMPRODUCT(Basophilic!$B8:$F8, Basophilic!$B$79:$F$79)</f>
        <v>220412453804.88235</v>
      </c>
      <c r="O8">
        <f>SUMPRODUCT(Basophilic!$B8:$F8, Basophilic!$B$80:$F$80)</f>
        <v>101093776.98914531</v>
      </c>
      <c r="P8">
        <f>SUMPRODUCT(Basophilic!$B8:$F8, Basophilic!$B$81:$F$81)</f>
        <v>47801487030.415878</v>
      </c>
    </row>
    <row r="9" spans="1:18" x14ac:dyDescent="0.25">
      <c r="A9" t="s">
        <v>14</v>
      </c>
      <c r="B9">
        <f>SUMPRODUCT(Basophilic!$B9:$F9, Basophilic!$B$67:$F$67)</f>
        <v>99687714441.194107</v>
      </c>
      <c r="C9">
        <f>SUMPRODUCT(Basophilic!$B9:$F9, Basophilic!$B$68:$F$68)</f>
        <v>2858.1731916757944</v>
      </c>
      <c r="D9">
        <f>SUMPRODUCT(Basophilic!$B9:$F9, Basophilic!$B$69:$F$69)</f>
        <v>447197394.3337279</v>
      </c>
      <c r="E9">
        <f>SUMPRODUCT(Basophilic!$B9:$F9, Basophilic!$B$70:$F$70)</f>
        <v>24570360.736360893</v>
      </c>
      <c r="F9">
        <f>SUMPRODUCT(Basophilic!$B9:$F9, Basophilic!$B$71:$F$71)</f>
        <v>49983382144.124352</v>
      </c>
      <c r="G9">
        <f>SUMPRODUCT(Basophilic!$B9:$F9, Basophilic!$B$72:$F$72)</f>
        <v>11909580477.423681</v>
      </c>
      <c r="H9">
        <f>SUMPRODUCT(Basophilic!$B9:$F9, Basophilic!$B$73:$F$73)</f>
        <v>343982760618.81873</v>
      </c>
      <c r="I9">
        <f>SUMPRODUCT(Basophilic!$B9:$F9, Basophilic!$B$74:$F$74)</f>
        <v>257026561746.02725</v>
      </c>
      <c r="J9">
        <f>SUMPRODUCT(Basophilic!$B9:$F9, Basophilic!$B$75:$F$75)</f>
        <v>63007336.046757333</v>
      </c>
      <c r="K9">
        <f>SUMPRODUCT(Basophilic!$B9:$F9, Basophilic!$B$76:$F$76)</f>
        <v>10127635237.268991</v>
      </c>
      <c r="L9">
        <f>SUMPRODUCT(Basophilic!$B9:$F9, Basophilic!$B$77:$F$77)</f>
        <v>1731695830.64521</v>
      </c>
      <c r="M9">
        <f>SUMPRODUCT(Basophilic!$B9:$F9, Basophilic!$B$78:$F$78)</f>
        <v>179030821217.14828</v>
      </c>
      <c r="N9">
        <f>SUMPRODUCT(Basophilic!$B9:$F9, Basophilic!$B$79:$F$79)</f>
        <v>51463540092.17263</v>
      </c>
      <c r="O9">
        <f>SUMPRODUCT(Basophilic!$B9:$F9, Basophilic!$B$80:$F$80)</f>
        <v>28152154.677694898</v>
      </c>
      <c r="P9">
        <f>SUMPRODUCT(Basophilic!$B9:$F9, Basophilic!$B$81:$F$81)</f>
        <v>10778548702.259359</v>
      </c>
    </row>
    <row r="10" spans="1:18" x14ac:dyDescent="0.25">
      <c r="A10" t="s">
        <v>15</v>
      </c>
      <c r="B10">
        <f>SUMPRODUCT(Basophilic!$B10:$F10, Basophilic!$B$67:$F$67)</f>
        <v>921639729440.5813</v>
      </c>
      <c r="C10">
        <f>SUMPRODUCT(Basophilic!$B10:$F10, Basophilic!$B$68:$F$68)</f>
        <v>95800938.546153665</v>
      </c>
      <c r="D10">
        <f>SUMPRODUCT(Basophilic!$B10:$F10, Basophilic!$B$69:$F$69)</f>
        <v>3721696492.4743953</v>
      </c>
      <c r="E10">
        <f>SUMPRODUCT(Basophilic!$B10:$F10, Basophilic!$B$70:$F$70)</f>
        <v>84767417264.813522</v>
      </c>
      <c r="F10">
        <f>SUMPRODUCT(Basophilic!$B10:$F10, Basophilic!$B$71:$F$71)</f>
        <v>565303372512.36646</v>
      </c>
      <c r="G10">
        <f>SUMPRODUCT(Basophilic!$B10:$F10, Basophilic!$B$72:$F$72)</f>
        <v>154171920871.39493</v>
      </c>
      <c r="H10">
        <f>SUMPRODUCT(Basophilic!$B10:$F10, Basophilic!$B$73:$F$73)</f>
        <v>11136953918040.098</v>
      </c>
      <c r="I10">
        <f>SUMPRODUCT(Basophilic!$B10:$F10, Basophilic!$B$74:$F$74)</f>
        <v>7516064629658.4375</v>
      </c>
      <c r="J10">
        <f>SUMPRODUCT(Basophilic!$B10:$F10, Basophilic!$B$75:$F$75)</f>
        <v>665268630.15573847</v>
      </c>
      <c r="K10">
        <f>SUMPRODUCT(Basophilic!$B10:$F10, Basophilic!$B$76:$F$76)</f>
        <v>122837145414.00212</v>
      </c>
      <c r="L10">
        <f>SUMPRODUCT(Basophilic!$B10:$F10, Basophilic!$B$77:$F$77)</f>
        <v>32380200821.754944</v>
      </c>
      <c r="M10">
        <f>SUMPRODUCT(Basophilic!$B10:$F10, Basophilic!$B$78:$F$78)</f>
        <v>2260219991256.0308</v>
      </c>
      <c r="N10">
        <f>SUMPRODUCT(Basophilic!$B10:$F10, Basophilic!$B$79:$F$79)</f>
        <v>665703468055.29895</v>
      </c>
      <c r="O10">
        <f>SUMPRODUCT(Basophilic!$B10:$F10, Basophilic!$B$80:$F$80)</f>
        <v>234406765.82887119</v>
      </c>
      <c r="P10">
        <f>SUMPRODUCT(Basophilic!$B10:$F10, Basophilic!$B$81:$F$81)</f>
        <v>141933690394.34625</v>
      </c>
    </row>
    <row r="11" spans="1:18" x14ac:dyDescent="0.25">
      <c r="A11" t="s">
        <v>16</v>
      </c>
      <c r="B11">
        <f>SUMPRODUCT(Basophilic!$B11:$F11, Basophilic!$B$67:$F$67)</f>
        <v>214089034633.11609</v>
      </c>
      <c r="C11">
        <f>SUMPRODUCT(Basophilic!$B11:$F11, Basophilic!$B$68:$F$68)</f>
        <v>117942177.4283244</v>
      </c>
      <c r="D11">
        <f>SUMPRODUCT(Basophilic!$B11:$F11, Basophilic!$B$69:$F$69)</f>
        <v>974104916.23225188</v>
      </c>
      <c r="E11">
        <f>SUMPRODUCT(Basophilic!$B11:$F11, Basophilic!$B$70:$F$70)</f>
        <v>1321590958.2311473</v>
      </c>
      <c r="F11">
        <f>SUMPRODUCT(Basophilic!$B11:$F11, Basophilic!$B$71:$F$71)</f>
        <v>109512163886.02292</v>
      </c>
      <c r="G11">
        <f>SUMPRODUCT(Basophilic!$B11:$F11, Basophilic!$B$72:$F$72)</f>
        <v>56161108252.348152</v>
      </c>
      <c r="H11">
        <f>SUMPRODUCT(Basophilic!$B11:$F11, Basophilic!$B$73:$F$73)</f>
        <v>1003656643480.7709</v>
      </c>
      <c r="I11">
        <f>SUMPRODUCT(Basophilic!$B11:$F11, Basophilic!$B$74:$F$74)</f>
        <v>726797605439.32959</v>
      </c>
      <c r="J11">
        <f>SUMPRODUCT(Basophilic!$B11:$F11, Basophilic!$B$75:$F$75)</f>
        <v>133860249.78237686</v>
      </c>
      <c r="K11">
        <f>SUMPRODUCT(Basophilic!$B11:$F11, Basophilic!$B$76:$F$76)</f>
        <v>39759414087.449249</v>
      </c>
      <c r="L11">
        <f>SUMPRODUCT(Basophilic!$B11:$F11, Basophilic!$B$77:$F$77)</f>
        <v>22385711819.624512</v>
      </c>
      <c r="M11">
        <f>SUMPRODUCT(Basophilic!$B11:$F11, Basophilic!$B$78:$F$78)</f>
        <v>655456027836.53333</v>
      </c>
      <c r="N11">
        <f>SUMPRODUCT(Basophilic!$B11:$F11, Basophilic!$B$79:$F$79)</f>
        <v>143269535761.29678</v>
      </c>
      <c r="O11">
        <f>SUMPRODUCT(Basophilic!$B11:$F11, Basophilic!$B$80:$F$80)</f>
        <v>61311912.907984719</v>
      </c>
      <c r="P11">
        <f>SUMPRODUCT(Basophilic!$B11:$F11, Basophilic!$B$81:$F$81)</f>
        <v>61772454272.995995</v>
      </c>
    </row>
    <row r="12" spans="1:18" x14ac:dyDescent="0.25">
      <c r="A12" t="s">
        <v>17</v>
      </c>
      <c r="B12">
        <f>SUMPRODUCT(Basophilic!$B12:$F12, Basophilic!$B$67:$F$67)</f>
        <v>887019038733.95276</v>
      </c>
      <c r="C12">
        <f>SUMPRODUCT(Basophilic!$B12:$F12, Basophilic!$B$68:$F$68)</f>
        <v>3860527268.5594482</v>
      </c>
      <c r="D12">
        <f>SUMPRODUCT(Basophilic!$B12:$F12, Basophilic!$B$69:$F$69)</f>
        <v>4683316349.2438936</v>
      </c>
      <c r="E12">
        <f>SUMPRODUCT(Basophilic!$B12:$F12, Basophilic!$B$70:$F$70)</f>
        <v>81605110598.445099</v>
      </c>
      <c r="F12">
        <f>SUMPRODUCT(Basophilic!$B12:$F12, Basophilic!$B$71:$F$71)</f>
        <v>468820627428.00287</v>
      </c>
      <c r="G12">
        <f>SUMPRODUCT(Basophilic!$B12:$F12, Basophilic!$B$72:$F$72)</f>
        <v>656535541272.93066</v>
      </c>
      <c r="H12">
        <f>SUMPRODUCT(Basophilic!$B12:$F12, Basophilic!$B$73:$F$73)</f>
        <v>6420447596801.7441</v>
      </c>
      <c r="I12">
        <f>SUMPRODUCT(Basophilic!$B12:$F12, Basophilic!$B$74:$F$74)</f>
        <v>4384065106646.7432</v>
      </c>
      <c r="J12">
        <f>SUMPRODUCT(Basophilic!$B12:$F12, Basophilic!$B$75:$F$75)</f>
        <v>615423155.5436542</v>
      </c>
      <c r="K12">
        <f>SUMPRODUCT(Basophilic!$B12:$F12, Basophilic!$B$76:$F$76)</f>
        <v>256667182262.72168</v>
      </c>
      <c r="L12">
        <f>SUMPRODUCT(Basophilic!$B12:$F12, Basophilic!$B$77:$F$77)</f>
        <v>600728549079.85876</v>
      </c>
      <c r="M12">
        <f>SUMPRODUCT(Basophilic!$B12:$F12, Basophilic!$B$78:$F$78)</f>
        <v>2216936945972.4521</v>
      </c>
      <c r="N12">
        <f>SUMPRODUCT(Basophilic!$B12:$F12, Basophilic!$B$79:$F$79)</f>
        <v>507982073746.54083</v>
      </c>
      <c r="O12">
        <f>SUMPRODUCT(Basophilic!$B12:$F12, Basophilic!$B$80:$F$80)</f>
        <v>294534355.55651188</v>
      </c>
      <c r="P12">
        <f>SUMPRODUCT(Basophilic!$B12:$F12, Basophilic!$B$81:$F$81)</f>
        <v>1268896618240.6255</v>
      </c>
    </row>
    <row r="13" spans="1:18" x14ac:dyDescent="0.25">
      <c r="A13" t="s">
        <v>18</v>
      </c>
      <c r="B13">
        <f>SUMPRODUCT(Basophilic!$B13:$F13, Basophilic!$B$67:$F$67)</f>
        <v>21568603440.244915</v>
      </c>
      <c r="C13">
        <f>SUMPRODUCT(Basophilic!$B13:$F13, Basophilic!$B$68:$F$68)</f>
        <v>505044325.30060685</v>
      </c>
      <c r="D13">
        <f>SUMPRODUCT(Basophilic!$B13:$F13, Basophilic!$B$69:$F$69)</f>
        <v>130029040.6028723</v>
      </c>
      <c r="E13">
        <f>SUMPRODUCT(Basophilic!$B13:$F13, Basophilic!$B$70:$F$70)</f>
        <v>5445635023.7314501</v>
      </c>
      <c r="F13">
        <f>SUMPRODUCT(Basophilic!$B13:$F13, Basophilic!$B$71:$F$71)</f>
        <v>11414365578.014706</v>
      </c>
      <c r="G13">
        <f>SUMPRODUCT(Basophilic!$B13:$F13, Basophilic!$B$72:$F$72)</f>
        <v>72790558801.784332</v>
      </c>
      <c r="H13">
        <f>SUMPRODUCT(Basophilic!$B13:$F13, Basophilic!$B$73:$F$73)</f>
        <v>30523626515.688362</v>
      </c>
      <c r="I13">
        <f>SUMPRODUCT(Basophilic!$B13:$F13, Basophilic!$B$74:$F$74)</f>
        <v>24027101015.859966</v>
      </c>
      <c r="J13">
        <f>SUMPRODUCT(Basophilic!$B13:$F13, Basophilic!$B$75:$F$75)</f>
        <v>14373702.423733724</v>
      </c>
      <c r="K13">
        <f>SUMPRODUCT(Basophilic!$B13:$F13, Basophilic!$B$76:$F$76)</f>
        <v>22417138503.09869</v>
      </c>
      <c r="L13">
        <f>SUMPRODUCT(Basophilic!$B13:$F13, Basophilic!$B$77:$F$77)</f>
        <v>76988453963.334137</v>
      </c>
      <c r="M13">
        <f>SUMPRODUCT(Basophilic!$B13:$F13, Basophilic!$B$78:$F$78)</f>
        <v>82058909164.886627</v>
      </c>
      <c r="N13">
        <f>SUMPRODUCT(Basophilic!$B13:$F13, Basophilic!$B$79:$F$79)</f>
        <v>6648586850.349185</v>
      </c>
      <c r="O13">
        <f>SUMPRODUCT(Basophilic!$B13:$F13, Basophilic!$B$80:$F$80)</f>
        <v>8173451.506601613</v>
      </c>
      <c r="P13">
        <f>SUMPRODUCT(Basophilic!$B13:$F13, Basophilic!$B$81:$F$81)</f>
        <v>155803629219.74582</v>
      </c>
    </row>
    <row r="14" spans="1:18" x14ac:dyDescent="0.25">
      <c r="A14" t="s">
        <v>19</v>
      </c>
      <c r="B14">
        <f>SUMPRODUCT(Basophilic!$B14:$F14, Basophilic!$B$67:$F$67)</f>
        <v>1693453964255.6833</v>
      </c>
      <c r="C14">
        <f>SUMPRODUCT(Basophilic!$B14:$F14, Basophilic!$B$68:$F$68)</f>
        <v>5985814158.2042513</v>
      </c>
      <c r="D14">
        <f>SUMPRODUCT(Basophilic!$B14:$F14, Basophilic!$B$69:$F$69)</f>
        <v>8535775798.9613199</v>
      </c>
      <c r="E14">
        <f>SUMPRODUCT(Basophilic!$B14:$F14, Basophilic!$B$70:$F$70)</f>
        <v>547244892420.2085</v>
      </c>
      <c r="F14">
        <f>SUMPRODUCT(Basophilic!$B14:$F14, Basophilic!$B$71:$F$71)</f>
        <v>1366938843849.4617</v>
      </c>
      <c r="G14">
        <f>SUMPRODUCT(Basophilic!$B14:$F14, Basophilic!$B$72:$F$72)</f>
        <v>1521111540410.0569</v>
      </c>
      <c r="H14">
        <f>SUMPRODUCT(Basophilic!$B14:$F14, Basophilic!$B$73:$F$73)</f>
        <v>56952832831692.75</v>
      </c>
      <c r="I14">
        <f>SUMPRODUCT(Basophilic!$B14:$F14, Basophilic!$B$74:$F$74)</f>
        <v>37230973639910.141</v>
      </c>
      <c r="J14">
        <f>SUMPRODUCT(Basophilic!$B14:$F14, Basophilic!$B$75:$F$75)</f>
        <v>1563006431.0712621</v>
      </c>
      <c r="K14">
        <f>SUMPRODUCT(Basophilic!$B14:$F14, Basophilic!$B$76:$F$76)</f>
        <v>850296495279.35669</v>
      </c>
      <c r="L14">
        <f>SUMPRODUCT(Basophilic!$B14:$F14, Basophilic!$B$77:$F$77)</f>
        <v>959999778512.10352</v>
      </c>
      <c r="M14">
        <f>SUMPRODUCT(Basophilic!$B14:$F14, Basophilic!$B$78:$F$78)</f>
        <v>12783683682290.391</v>
      </c>
      <c r="N14">
        <f>SUMPRODUCT(Basophilic!$B14:$F14, Basophilic!$B$79:$F$79)</f>
        <v>2638631743556.7734</v>
      </c>
      <c r="O14">
        <f>SUMPRODUCT(Basophilic!$B14:$F14, Basophilic!$B$80:$F$80)</f>
        <v>536612809.44507873</v>
      </c>
      <c r="P14">
        <f>SUMPRODUCT(Basophilic!$B14:$F14, Basophilic!$B$81:$F$81)</f>
        <v>2111554954788.4375</v>
      </c>
    </row>
    <row r="15" spans="1:18" x14ac:dyDescent="0.25">
      <c r="A15" t="s">
        <v>20</v>
      </c>
      <c r="B15">
        <f>SUMPRODUCT(Basophilic!$B15:$F15, Basophilic!$B$67:$F$67)</f>
        <v>789571187932.66919</v>
      </c>
      <c r="C15">
        <f>SUMPRODUCT(Basophilic!$B15:$F15, Basophilic!$B$68:$F$68)</f>
        <v>3550082817.426302</v>
      </c>
      <c r="D15">
        <f>SUMPRODUCT(Basophilic!$B15:$F15, Basophilic!$B$69:$F$69)</f>
        <v>4237303780.5599375</v>
      </c>
      <c r="E15">
        <f>SUMPRODUCT(Basophilic!$B15:$F15, Basophilic!$B$70:$F$70)</f>
        <v>214583308367.28149</v>
      </c>
      <c r="F15">
        <f>SUMPRODUCT(Basophilic!$B15:$F15, Basophilic!$B$71:$F$71)</f>
        <v>585786056933.46875</v>
      </c>
      <c r="G15">
        <f>SUMPRODUCT(Basophilic!$B15:$F15, Basophilic!$B$72:$F$72)</f>
        <v>834055080094.57446</v>
      </c>
      <c r="H15">
        <f>SUMPRODUCT(Basophilic!$B15:$F15, Basophilic!$B$73:$F$73)</f>
        <v>22568238836910.582</v>
      </c>
      <c r="I15">
        <f>SUMPRODUCT(Basophilic!$B15:$F15, Basophilic!$B$74:$F$74)</f>
        <v>14794474125864.57</v>
      </c>
      <c r="J15">
        <f>SUMPRODUCT(Basophilic!$B15:$F15, Basophilic!$B$75:$F$75)</f>
        <v>676593287.5630343</v>
      </c>
      <c r="K15">
        <f>SUMPRODUCT(Basophilic!$B15:$F15, Basophilic!$B$76:$F$76)</f>
        <v>446869220649.88306</v>
      </c>
      <c r="L15">
        <f>SUMPRODUCT(Basophilic!$B15:$F15, Basophilic!$B$77:$F$77)</f>
        <v>563822822445.46582</v>
      </c>
      <c r="M15">
        <f>SUMPRODUCT(Basophilic!$B15:$F15, Basophilic!$B$78:$F$78)</f>
        <v>6359926574817.0322</v>
      </c>
      <c r="N15">
        <f>SUMPRODUCT(Basophilic!$B15:$F15, Basophilic!$B$79:$F$79)</f>
        <v>1201246246601.2754</v>
      </c>
      <c r="O15">
        <f>SUMPRODUCT(Basophilic!$B15:$F15, Basophilic!$B$80:$F$80)</f>
        <v>266318972.11229205</v>
      </c>
      <c r="P15">
        <f>SUMPRODUCT(Basophilic!$B15:$F15, Basophilic!$B$81:$F$81)</f>
        <v>1215342981283.3557</v>
      </c>
    </row>
    <row r="16" spans="1:18" x14ac:dyDescent="0.25">
      <c r="A16" t="s">
        <v>21</v>
      </c>
      <c r="B16">
        <f>SUMPRODUCT(Basophilic!$B16:$F16, Basophilic!$B$67:$F$67)</f>
        <v>840139945973.66553</v>
      </c>
      <c r="C16">
        <f>SUMPRODUCT(Basophilic!$B16:$F16, Basophilic!$B$68:$F$68)</f>
        <v>3878793850.4903164</v>
      </c>
      <c r="D16">
        <f>SUMPRODUCT(Basophilic!$B16:$F16, Basophilic!$B$69:$F$69)</f>
        <v>4507151445.855835</v>
      </c>
      <c r="E16">
        <f>SUMPRODUCT(Basophilic!$B16:$F16, Basophilic!$B$70:$F$70)</f>
        <v>234447239237.26663</v>
      </c>
      <c r="F16">
        <f>SUMPRODUCT(Basophilic!$B16:$F16, Basophilic!$B$71:$F$71)</f>
        <v>630038563035.91431</v>
      </c>
      <c r="G16">
        <f>SUMPRODUCT(Basophilic!$B16:$F16, Basophilic!$B$72:$F$72)</f>
        <v>910701519750.65076</v>
      </c>
      <c r="H16">
        <f>SUMPRODUCT(Basophilic!$B16:$F16, Basophilic!$B$73:$F$73)</f>
        <v>24624081126689.84</v>
      </c>
      <c r="I16">
        <f>SUMPRODUCT(Basophilic!$B16:$F16, Basophilic!$B$74:$F$74)</f>
        <v>16136942982845.637</v>
      </c>
      <c r="J16">
        <f>SUMPRODUCT(Basophilic!$B16:$F16, Basophilic!$B$75:$F$75)</f>
        <v>724422660.72335076</v>
      </c>
      <c r="K16">
        <f>SUMPRODUCT(Basophilic!$B16:$F16, Basophilic!$B$76:$F$76)</f>
        <v>487913057969.28088</v>
      </c>
      <c r="L16">
        <f>SUMPRODUCT(Basophilic!$B16:$F16, Basophilic!$B$77:$F$77)</f>
        <v>615791786970.3479</v>
      </c>
      <c r="M16">
        <f>SUMPRODUCT(Basophilic!$B16:$F16, Basophilic!$B$78:$F$78)</f>
        <v>6946369711481.5156</v>
      </c>
      <c r="N16">
        <f>SUMPRODUCT(Basophilic!$B16:$F16, Basophilic!$B$79:$F$79)</f>
        <v>1306027945090.4692</v>
      </c>
      <c r="O16">
        <f>SUMPRODUCT(Basophilic!$B16:$F16, Basophilic!$B$80:$F$80)</f>
        <v>283274411.29380494</v>
      </c>
      <c r="P16">
        <f>SUMPRODUCT(Basophilic!$B16:$F16, Basophilic!$B$81:$F$81)</f>
        <v>1326066882947.5403</v>
      </c>
    </row>
    <row r="17" spans="1:16" x14ac:dyDescent="0.25">
      <c r="A17" t="s">
        <v>22</v>
      </c>
      <c r="B17">
        <f>SUMPRODUCT(Basophilic!$B17:$F17, Basophilic!$B$67:$F$67)</f>
        <v>807068953130.70947</v>
      </c>
      <c r="C17">
        <f>SUMPRODUCT(Basophilic!$B17:$F17, Basophilic!$B$68:$F$68)</f>
        <v>3740267138.8930616</v>
      </c>
      <c r="D17">
        <f>SUMPRODUCT(Basophilic!$B17:$F17, Basophilic!$B$69:$F$69)</f>
        <v>4407558859.9684706</v>
      </c>
      <c r="E17">
        <f>SUMPRODUCT(Basophilic!$B17:$F17, Basophilic!$B$70:$F$70)</f>
        <v>226069171683.56543</v>
      </c>
      <c r="F17">
        <f>SUMPRODUCT(Basophilic!$B17:$F17, Basophilic!$B$71:$F$71)</f>
        <v>604778764952.02942</v>
      </c>
      <c r="G17">
        <f>SUMPRODUCT(Basophilic!$B17:$F17, Basophilic!$B$72:$F$72)</f>
        <v>891366574090.16919</v>
      </c>
      <c r="H17">
        <f>SUMPRODUCT(Basophilic!$B17:$F17, Basophilic!$B$73:$F$73)</f>
        <v>23987612587335.703</v>
      </c>
      <c r="I17">
        <f>SUMPRODUCT(Basophilic!$B17:$F17, Basophilic!$B$74:$F$74)</f>
        <v>15715540522255.387</v>
      </c>
      <c r="J17">
        <f>SUMPRODUCT(Basophilic!$B17:$F17, Basophilic!$B$75:$F$75)</f>
        <v>696086730.25866187</v>
      </c>
      <c r="K17">
        <f>SUMPRODUCT(Basophilic!$B17:$F17, Basophilic!$B$76:$F$76)</f>
        <v>482935272831.43188</v>
      </c>
      <c r="L17">
        <f>SUMPRODUCT(Basophilic!$B17:$F17, Basophilic!$B$77:$F$77)</f>
        <v>594365782700.71899</v>
      </c>
      <c r="M17">
        <f>SUMPRODUCT(Basophilic!$B17:$F17, Basophilic!$B$78:$F$78)</f>
        <v>6944470036638.3154</v>
      </c>
      <c r="N17">
        <f>SUMPRODUCT(Basophilic!$B17:$F17, Basophilic!$B$79:$F$79)</f>
        <v>1289588060242.2727</v>
      </c>
      <c r="O17">
        <f>SUMPRODUCT(Basophilic!$B17:$F17, Basophilic!$B$80:$F$80)</f>
        <v>276986805.03978401</v>
      </c>
      <c r="P17">
        <f>SUMPRODUCT(Basophilic!$B17:$F17, Basophilic!$B$81:$F$81)</f>
        <v>1280369873168.9556</v>
      </c>
    </row>
    <row r="18" spans="1:16" x14ac:dyDescent="0.25">
      <c r="A18" t="s">
        <v>23</v>
      </c>
      <c r="B18">
        <f>SUMPRODUCT(Basophilic!$B18:$F18, Basophilic!$B$67:$F$67)</f>
        <v>94134505314.159103</v>
      </c>
      <c r="C18">
        <f>SUMPRODUCT(Basophilic!$B18:$F18, Basophilic!$B$68:$F$68)</f>
        <v>3636323507.4048743</v>
      </c>
      <c r="D18">
        <f>SUMPRODUCT(Basophilic!$B18:$F18, Basophilic!$B$69:$F$69)</f>
        <v>807206031.47195768</v>
      </c>
      <c r="E18">
        <f>SUMPRODUCT(Basophilic!$B18:$F18, Basophilic!$B$70:$F$70)</f>
        <v>39182534590.949883</v>
      </c>
      <c r="F18">
        <f>SUMPRODUCT(Basophilic!$B18:$F18, Basophilic!$B$71:$F$71)</f>
        <v>53965738223.880692</v>
      </c>
      <c r="G18">
        <f>SUMPRODUCT(Basophilic!$B18:$F18, Basophilic!$B$72:$F$72)</f>
        <v>572714177626.7395</v>
      </c>
      <c r="H18">
        <f>SUMPRODUCT(Basophilic!$B18:$F18, Basophilic!$B$73:$F$73)</f>
        <v>1076970664249.4751</v>
      </c>
      <c r="I18">
        <f>SUMPRODUCT(Basophilic!$B18:$F18, Basophilic!$B$74:$F$74)</f>
        <v>713704749963.12219</v>
      </c>
      <c r="J18">
        <f>SUMPRODUCT(Basophilic!$B18:$F18, Basophilic!$B$75:$F$75)</f>
        <v>60227184.302661054</v>
      </c>
      <c r="K18">
        <f>SUMPRODUCT(Basophilic!$B18:$F18, Basophilic!$B$76:$F$76)</f>
        <v>207676761470.15155</v>
      </c>
      <c r="L18">
        <f>SUMPRODUCT(Basophilic!$B18:$F18, Basophilic!$B$77:$F$77)</f>
        <v>556100626358.33142</v>
      </c>
      <c r="M18">
        <f>SUMPRODUCT(Basophilic!$B18:$F18, Basophilic!$B$78:$F$78)</f>
        <v>1513557392823.9233</v>
      </c>
      <c r="N18">
        <f>SUMPRODUCT(Basophilic!$B18:$F18, Basophilic!$B$79:$F$79)</f>
        <v>148627803254.05679</v>
      </c>
      <c r="O18">
        <f>SUMPRODUCT(Basophilic!$B18:$F18, Basophilic!$B$80:$F$80)</f>
        <v>50650250.841376707</v>
      </c>
      <c r="P18">
        <f>SUMPRODUCT(Basophilic!$B18:$F18, Basophilic!$B$81:$F$81)</f>
        <v>1124984508897.5166</v>
      </c>
    </row>
    <row r="19" spans="1:16" x14ac:dyDescent="0.25">
      <c r="A19" t="s">
        <v>24</v>
      </c>
      <c r="B19">
        <f>SUMPRODUCT(Basophilic!$B19:$F19, Basophilic!$B$67:$F$67)</f>
        <v>8737248457.6005287</v>
      </c>
      <c r="C19">
        <f>SUMPRODUCT(Basophilic!$B19:$F19, Basophilic!$B$68:$F$68)</f>
        <v>724378492.76640141</v>
      </c>
      <c r="D19">
        <f>SUMPRODUCT(Basophilic!$B19:$F19, Basophilic!$B$69:$F$69)</f>
        <v>78107809.655191496</v>
      </c>
      <c r="E19">
        <f>SUMPRODUCT(Basophilic!$B19:$F19, Basophilic!$B$70:$F$70)</f>
        <v>7804602817.6997795</v>
      </c>
      <c r="F19">
        <f>SUMPRODUCT(Basophilic!$B19:$F19, Basophilic!$B$71:$F$71)</f>
        <v>7213474312.4162779</v>
      </c>
      <c r="G19">
        <f>SUMPRODUCT(Basophilic!$B19:$F19, Basophilic!$B$72:$F$72)</f>
        <v>111454177533.12099</v>
      </c>
      <c r="H19">
        <f>SUMPRODUCT(Basophilic!$B19:$F19, Basophilic!$B$73:$F$73)</f>
        <v>157119254512.52158</v>
      </c>
      <c r="I19">
        <f>SUMPRODUCT(Basophilic!$B19:$F19, Basophilic!$B$74:$F$74)</f>
        <v>103913334322.70264</v>
      </c>
      <c r="J19">
        <f>SUMPRODUCT(Basophilic!$B19:$F19, Basophilic!$B$75:$F$75)</f>
        <v>5282146.4656807603</v>
      </c>
      <c r="K19">
        <f>SUMPRODUCT(Basophilic!$B19:$F19, Basophilic!$B$76:$F$76)</f>
        <v>38972246992.698303</v>
      </c>
      <c r="L19">
        <f>SUMPRODUCT(Basophilic!$B19:$F19, Basophilic!$B$77:$F$77)</f>
        <v>110591452251.69099</v>
      </c>
      <c r="M19">
        <f>SUMPRODUCT(Basophilic!$B19:$F19, Basophilic!$B$78:$F$78)</f>
        <v>255778579741.35516</v>
      </c>
      <c r="N19">
        <f>SUMPRODUCT(Basophilic!$B19:$F19, Basophilic!$B$79:$F$79)</f>
        <v>21281919482.479435</v>
      </c>
      <c r="O19">
        <f>SUMPRODUCT(Basophilic!$B19:$F19, Basophilic!$B$80:$F$80)</f>
        <v>4899530.2277528597</v>
      </c>
      <c r="P19">
        <f>SUMPRODUCT(Basophilic!$B19:$F19, Basophilic!$B$81:$F$81)</f>
        <v>223096698470.35718</v>
      </c>
    </row>
    <row r="20" spans="1:16" x14ac:dyDescent="0.25">
      <c r="A20" t="s">
        <v>25</v>
      </c>
      <c r="B20">
        <f>SUMPRODUCT(Basophilic!$B20:$F20, Basophilic!$B$67:$F$67)</f>
        <v>8823066023.7429485</v>
      </c>
      <c r="C20">
        <f>SUMPRODUCT(Basophilic!$B20:$F20, Basophilic!$B$68:$F$68)</f>
        <v>860018885.01915884</v>
      </c>
      <c r="D20">
        <f>SUMPRODUCT(Basophilic!$B20:$F20, Basophilic!$B$69:$F$69)</f>
        <v>78108251.294315711</v>
      </c>
      <c r="E20">
        <f>SUMPRODUCT(Basophilic!$B20:$F20, Basophilic!$B$70:$F$70)</f>
        <v>9266014143.9317532</v>
      </c>
      <c r="F20">
        <f>SUMPRODUCT(Basophilic!$B20:$F20, Basophilic!$B$71:$F$71)</f>
        <v>7995872510.291687</v>
      </c>
      <c r="G20">
        <f>SUMPRODUCT(Basophilic!$B20:$F20, Basophilic!$B$72:$F$72)</f>
        <v>131275171283.80305</v>
      </c>
      <c r="H20">
        <f>SUMPRODUCT(Basophilic!$B20:$F20, Basophilic!$B$73:$F$73)</f>
        <v>165425907911.39035</v>
      </c>
      <c r="I20">
        <f>SUMPRODUCT(Basophilic!$B20:$F20, Basophilic!$B$74:$F$74)</f>
        <v>109467281044.30292</v>
      </c>
      <c r="J20">
        <f>SUMPRODUCT(Basophilic!$B20:$F20, Basophilic!$B$75:$F$75)</f>
        <v>5282179.8791671321</v>
      </c>
      <c r="K20">
        <f>SUMPRODUCT(Basophilic!$B20:$F20, Basophilic!$B$76:$F$76)</f>
        <v>45296754514.187897</v>
      </c>
      <c r="L20">
        <f>SUMPRODUCT(Basophilic!$B20:$F20, Basophilic!$B$77:$F$77)</f>
        <v>131238452182.46046</v>
      </c>
      <c r="M20">
        <f>SUMPRODUCT(Basophilic!$B20:$F20, Basophilic!$B$78:$F$78)</f>
        <v>284751652689.53339</v>
      </c>
      <c r="N20">
        <f>SUMPRODUCT(Basophilic!$B20:$F20, Basophilic!$B$79:$F$79)</f>
        <v>22462335596.616989</v>
      </c>
      <c r="O20">
        <f>SUMPRODUCT(Basophilic!$B20:$F20, Basophilic!$B$80:$F$80)</f>
        <v>4899606.031483137</v>
      </c>
      <c r="P20">
        <f>SUMPRODUCT(Basophilic!$B20:$F20, Basophilic!$B$81:$F$81)</f>
        <v>264604871828.22192</v>
      </c>
    </row>
    <row r="21" spans="1:16" x14ac:dyDescent="0.25">
      <c r="A21" t="s">
        <v>26</v>
      </c>
      <c r="B21">
        <f>SUMPRODUCT(Basophilic!$B21:$F21, Basophilic!$B$67:$F$67)</f>
        <v>542894469863.27032</v>
      </c>
      <c r="C21">
        <f>SUMPRODUCT(Basophilic!$B21:$F21, Basophilic!$B$68:$F$68)</f>
        <v>347059076.19962525</v>
      </c>
      <c r="D21">
        <f>SUMPRODUCT(Basophilic!$B21:$F21, Basophilic!$B$69:$F$69)</f>
        <v>2021315403.5017302</v>
      </c>
      <c r="E21">
        <f>SUMPRODUCT(Basophilic!$B21:$F21, Basophilic!$B$70:$F$70)</f>
        <v>95944192523.693237</v>
      </c>
      <c r="F21">
        <f>SUMPRODUCT(Basophilic!$B21:$F21, Basophilic!$B$71:$F$71)</f>
        <v>441871399514.30695</v>
      </c>
      <c r="G21">
        <f>SUMPRODUCT(Basophilic!$B21:$F21, Basophilic!$B$72:$F$72)</f>
        <v>497167462329.78113</v>
      </c>
      <c r="H21">
        <f>SUMPRODUCT(Basophilic!$B21:$F21, Basophilic!$B$73:$F$73)</f>
        <v>17435562199909.852</v>
      </c>
      <c r="I21">
        <f>SUMPRODUCT(Basophilic!$B21:$F21, Basophilic!$B$74:$F$74)</f>
        <v>11569328545211.609</v>
      </c>
      <c r="J21">
        <f>SUMPRODUCT(Basophilic!$B21:$F21, Basophilic!$B$75:$F$75)</f>
        <v>392803812.77634531</v>
      </c>
      <c r="K21">
        <f>SUMPRODUCT(Basophilic!$B21:$F21, Basophilic!$B$76:$F$76)</f>
        <v>424810835333.82715</v>
      </c>
      <c r="L21">
        <f>SUMPRODUCT(Basophilic!$B21:$F21, Basophilic!$B$77:$F$77)</f>
        <v>83474706780.282043</v>
      </c>
      <c r="M21">
        <f>SUMPRODUCT(Basophilic!$B21:$F21, Basophilic!$B$78:$F$78)</f>
        <v>8096305356813.6572</v>
      </c>
      <c r="N21">
        <f>SUMPRODUCT(Basophilic!$B21:$F21, Basophilic!$B$79:$F$79)</f>
        <v>1322464350128.887</v>
      </c>
      <c r="O21">
        <f>SUMPRODUCT(Basophilic!$B21:$F21, Basophilic!$B$80:$F$80)</f>
        <v>127232647.28983703</v>
      </c>
      <c r="P21">
        <f>SUMPRODUCT(Basophilic!$B21:$F21, Basophilic!$B$81:$F$81)</f>
        <v>248625204952.32104</v>
      </c>
    </row>
    <row r="22" spans="1:16" x14ac:dyDescent="0.25">
      <c r="A22" t="s">
        <v>27</v>
      </c>
      <c r="B22">
        <f>SUMPRODUCT(Basophilic!$B22:$F22, Basophilic!$B$67:$F$67)</f>
        <v>315589729578.78973</v>
      </c>
      <c r="C22">
        <f>SUMPRODUCT(Basophilic!$B22:$F22, Basophilic!$B$68:$F$68)</f>
        <v>5113.8368217468806</v>
      </c>
      <c r="D22">
        <f>SUMPRODUCT(Basophilic!$B22:$F22, Basophilic!$B$69:$F$69)</f>
        <v>896267624.5787003</v>
      </c>
      <c r="E22">
        <f>SUMPRODUCT(Basophilic!$B22:$F22, Basophilic!$B$70:$F$70)</f>
        <v>100738989.9494434</v>
      </c>
      <c r="F22">
        <f>SUMPRODUCT(Basophilic!$B22:$F22, Basophilic!$B$71:$F$71)</f>
        <v>177420014261.35431</v>
      </c>
      <c r="G22">
        <f>SUMPRODUCT(Basophilic!$B22:$F22, Basophilic!$B$72:$F$72)</f>
        <v>10290080117.027803</v>
      </c>
      <c r="H22">
        <f>SUMPRODUCT(Basophilic!$B22:$F22, Basophilic!$B$73:$F$73)</f>
        <v>625890512753.05627</v>
      </c>
      <c r="I22">
        <f>SUMPRODUCT(Basophilic!$B22:$F22, Basophilic!$B$74:$F$74)</f>
        <v>543963543285.66748</v>
      </c>
      <c r="J22">
        <f>SUMPRODUCT(Basophilic!$B22:$F22, Basophilic!$B$75:$F$75)</f>
        <v>195086754.62904283</v>
      </c>
      <c r="K22">
        <f>SUMPRODUCT(Basophilic!$B22:$F22, Basophilic!$B$76:$F$76)</f>
        <v>5919297919.3571701</v>
      </c>
      <c r="L22">
        <f>SUMPRODUCT(Basophilic!$B22:$F22, Basophilic!$B$77:$F$77)</f>
        <v>4874392943.3297682</v>
      </c>
      <c r="M22">
        <f>SUMPRODUCT(Basophilic!$B22:$F22, Basophilic!$B$78:$F$78)</f>
        <v>44823831246.688736</v>
      </c>
      <c r="N22">
        <f>SUMPRODUCT(Basophilic!$B22:$F22, Basophilic!$B$79:$F$79)</f>
        <v>101302965924.45619</v>
      </c>
      <c r="O22">
        <f>SUMPRODUCT(Basophilic!$B22:$F22, Basophilic!$B$80:$F$80)</f>
        <v>56636633.847947836</v>
      </c>
      <c r="P22">
        <f>SUMPRODUCT(Basophilic!$B22:$F22, Basophilic!$B$81:$F$81)</f>
        <v>33628728919.688766</v>
      </c>
    </row>
    <row r="23" spans="1:16" x14ac:dyDescent="0.25">
      <c r="A23" t="s">
        <v>28</v>
      </c>
      <c r="B23">
        <f>SUMPRODUCT(Basophilic!$B23:$F23, Basophilic!$B$67:$F$67)</f>
        <v>17152415574.516573</v>
      </c>
      <c r="C23">
        <f>SUMPRODUCT(Basophilic!$B23:$F23, Basophilic!$B$68:$F$68)</f>
        <v>245531872.91812956</v>
      </c>
      <c r="D23">
        <f>SUMPRODUCT(Basophilic!$B23:$F23, Basophilic!$B$69:$F$69)</f>
        <v>26852408.216413379</v>
      </c>
      <c r="E23">
        <f>SUMPRODUCT(Basophilic!$B23:$F23, Basophilic!$B$70:$F$70)</f>
        <v>2649972385.9051285</v>
      </c>
      <c r="F23">
        <f>SUMPRODUCT(Basophilic!$B23:$F23, Basophilic!$B$71:$F$71)</f>
        <v>14977790660.414867</v>
      </c>
      <c r="G23">
        <f>SUMPRODUCT(Basophilic!$B23:$F23, Basophilic!$B$72:$F$72)</f>
        <v>55153660156.248886</v>
      </c>
      <c r="H23">
        <f>SUMPRODUCT(Basophilic!$B23:$F23, Basophilic!$B$73:$F$73)</f>
        <v>415772394878.59778</v>
      </c>
      <c r="I23">
        <f>SUMPRODUCT(Basophilic!$B23:$F23, Basophilic!$B$74:$F$74)</f>
        <v>284470993700.29175</v>
      </c>
      <c r="J23">
        <f>SUMPRODUCT(Basophilic!$B23:$F23, Basophilic!$B$75:$F$75)</f>
        <v>7926860.7147091534</v>
      </c>
      <c r="K23">
        <f>SUMPRODUCT(Basophilic!$B23:$F23, Basophilic!$B$76:$F$76)</f>
        <v>29270319028.362915</v>
      </c>
      <c r="L23">
        <f>SUMPRODUCT(Basophilic!$B23:$F23, Basophilic!$B$77:$F$77)</f>
        <v>38712473811.182274</v>
      </c>
      <c r="M23">
        <f>SUMPRODUCT(Basophilic!$B23:$F23, Basophilic!$B$78:$F$78)</f>
        <v>398004293949.00793</v>
      </c>
      <c r="N23">
        <f>SUMPRODUCT(Basophilic!$B23:$F23, Basophilic!$B$79:$F$79)</f>
        <v>52393523023.674629</v>
      </c>
      <c r="O23">
        <f>SUMPRODUCT(Basophilic!$B23:$F23, Basophilic!$B$80:$F$80)</f>
        <v>1703683.7086153561</v>
      </c>
      <c r="P23">
        <f>SUMPRODUCT(Basophilic!$B23:$F23, Basophilic!$B$81:$F$81)</f>
        <v>80905855573.874298</v>
      </c>
    </row>
    <row r="24" spans="1:16" x14ac:dyDescent="0.25">
      <c r="A24" t="s">
        <v>29</v>
      </c>
      <c r="B24">
        <f>SUMPRODUCT(Basophilic!$B24:$F24, Basophilic!$B$67:$F$67)</f>
        <v>978184161.47655785</v>
      </c>
      <c r="C24">
        <f>SUMPRODUCT(Basophilic!$B24:$F24, Basophilic!$B$68:$F$68)</f>
        <v>799.28095862470866</v>
      </c>
      <c r="D24">
        <f>SUMPRODUCT(Basophilic!$B24:$F24, Basophilic!$B$69:$F$69)</f>
        <v>1125.7748667781495</v>
      </c>
      <c r="E24">
        <f>SUMPRODUCT(Basophilic!$B24:$F24, Basophilic!$B$70:$F$70)</f>
        <v>31943.637967365965</v>
      </c>
      <c r="F24">
        <f>SUMPRODUCT(Basophilic!$B24:$F24, Basophilic!$B$71:$F$71)</f>
        <v>1431139455.9545982</v>
      </c>
      <c r="G24">
        <f>SUMPRODUCT(Basophilic!$B24:$F24, Basophilic!$B$72:$F$72)</f>
        <v>4693083495.7670393</v>
      </c>
      <c r="H24">
        <f>SUMPRODUCT(Basophilic!$B24:$F24, Basophilic!$B$73:$F$73)</f>
        <v>92981777440.208878</v>
      </c>
      <c r="I24">
        <f>SUMPRODUCT(Basophilic!$B24:$F24, Basophilic!$B$74:$F$74)</f>
        <v>62305166054.388329</v>
      </c>
      <c r="J24">
        <f>SUMPRODUCT(Basophilic!$B24:$F24, Basophilic!$B$75:$F$75)</f>
        <v>134.15005710188933</v>
      </c>
      <c r="K24">
        <f>SUMPRODUCT(Basophilic!$B24:$F24, Basophilic!$B$76:$F$76)</f>
        <v>4378801696.3377981</v>
      </c>
      <c r="L24">
        <f>SUMPRODUCT(Basophilic!$B24:$F24, Basophilic!$B$77:$F$77)</f>
        <v>278510881.25812662</v>
      </c>
      <c r="M24">
        <f>SUMPRODUCT(Basophilic!$B24:$F24, Basophilic!$B$78:$F$78)</f>
        <v>85667815331.59552</v>
      </c>
      <c r="N24">
        <f>SUMPRODUCT(Basophilic!$B24:$F24, Basophilic!$B$79:$F$79)</f>
        <v>11450346563.980415</v>
      </c>
      <c r="O24">
        <f>SUMPRODUCT(Basophilic!$B24:$F24, Basophilic!$B$80:$F$80)</f>
        <v>133.7807551664753</v>
      </c>
      <c r="P24">
        <f>SUMPRODUCT(Basophilic!$B24:$F24, Basophilic!$B$81:$F$81)</f>
        <v>1065352305.7163473</v>
      </c>
    </row>
    <row r="25" spans="1:16" x14ac:dyDescent="0.25">
      <c r="A25" t="s">
        <v>30</v>
      </c>
      <c r="B25">
        <f>SUMPRODUCT(Basophilic!$B25:$F25, Basophilic!$B$67:$F$67)</f>
        <v>1220937457.6427002</v>
      </c>
      <c r="C25">
        <f>SUMPRODUCT(Basophilic!$B25:$F25, Basophilic!$B$68:$F$68)</f>
        <v>387.53820842572065</v>
      </c>
      <c r="D25">
        <f>SUMPRODUCT(Basophilic!$B25:$F25, Basophilic!$B$69:$F$69)</f>
        <v>2507952.0888436902</v>
      </c>
      <c r="E25">
        <f>SUMPRODUCT(Basophilic!$B25:$F25, Basophilic!$B$70:$F$70)</f>
        <v>486949.28173281596</v>
      </c>
      <c r="F25">
        <f>SUMPRODUCT(Basophilic!$B25:$F25, Basophilic!$B$71:$F$71)</f>
        <v>730492600.89110494</v>
      </c>
      <c r="G25">
        <f>SUMPRODUCT(Basophilic!$B25:$F25, Basophilic!$B$72:$F$72)</f>
        <v>42400255.278117284</v>
      </c>
      <c r="H25">
        <f>SUMPRODUCT(Basophilic!$B25:$F25, Basophilic!$B$73:$F$73)</f>
        <v>2605180563.2048521</v>
      </c>
      <c r="I25">
        <f>SUMPRODUCT(Basophilic!$B25:$F25, Basophilic!$B$74:$F$74)</f>
        <v>2295731099.8420463</v>
      </c>
      <c r="J25">
        <f>SUMPRODUCT(Basophilic!$B25:$F25, Basophilic!$B$75:$F$75)</f>
        <v>740284.23613544623</v>
      </c>
      <c r="K25">
        <f>SUMPRODUCT(Basophilic!$B25:$F25, Basophilic!$B$76:$F$76)</f>
        <v>24397945.459727213</v>
      </c>
      <c r="L25">
        <f>SUMPRODUCT(Basophilic!$B25:$F25, Basophilic!$B$77:$F$77)</f>
        <v>20739535.709929526</v>
      </c>
      <c r="M25">
        <f>SUMPRODUCT(Basophilic!$B25:$F25, Basophilic!$B$78:$F$78)</f>
        <v>186205860.39400139</v>
      </c>
      <c r="N25">
        <f>SUMPRODUCT(Basophilic!$B25:$F25, Basophilic!$B$79:$F$79)</f>
        <v>404984180.89974713</v>
      </c>
      <c r="O25">
        <f>SUMPRODUCT(Basophilic!$B25:$F25, Basophilic!$B$80:$F$80)</f>
        <v>159087.89263400077</v>
      </c>
      <c r="P25">
        <f>SUMPRODUCT(Basophilic!$B25:$F25, Basophilic!$B$81:$F$81)</f>
        <v>139961602.00776672</v>
      </c>
    </row>
    <row r="26" spans="1:16" x14ac:dyDescent="0.25">
      <c r="A26" t="s">
        <v>31</v>
      </c>
      <c r="B26">
        <f>SUMPRODUCT(Basophilic!$B26:$F26, Basophilic!$B$67:$F$67)</f>
        <v>25779677516.089169</v>
      </c>
      <c r="C26">
        <f>SUMPRODUCT(Basophilic!$B26:$F26, Basophilic!$B$68:$F$68)</f>
        <v>592.9259496166485</v>
      </c>
      <c r="D26">
        <f>SUMPRODUCT(Basophilic!$B26:$F26, Basophilic!$B$69:$F$69)</f>
        <v>52940168.398302995</v>
      </c>
      <c r="E26">
        <f>SUMPRODUCT(Basophilic!$B26:$F26, Basophilic!$B$70:$F$70)</f>
        <v>9053598.9182798471</v>
      </c>
      <c r="F26">
        <f>SUMPRODUCT(Basophilic!$B26:$F26, Basophilic!$B$71:$F$71)</f>
        <v>15423603735.194035</v>
      </c>
      <c r="G26">
        <f>SUMPRODUCT(Basophilic!$B26:$F26, Basophilic!$B$72:$F$72)</f>
        <v>893997801.20893109</v>
      </c>
      <c r="H26">
        <f>SUMPRODUCT(Basophilic!$B26:$F26, Basophilic!$B$73:$F$73)</f>
        <v>54905447280.482376</v>
      </c>
      <c r="I26">
        <f>SUMPRODUCT(Basophilic!$B26:$F26, Basophilic!$B$74:$F$74)</f>
        <v>48409236758.343651</v>
      </c>
      <c r="J26">
        <f>SUMPRODUCT(Basophilic!$B26:$F26, Basophilic!$B$75:$F$75)</f>
        <v>15629386.802867539</v>
      </c>
      <c r="K26">
        <f>SUMPRODUCT(Basophilic!$B26:$F26, Basophilic!$B$76:$F$76)</f>
        <v>514678719.75041217</v>
      </c>
      <c r="L26">
        <f>SUMPRODUCT(Basophilic!$B26:$F26, Basophilic!$B$77:$F$77)</f>
        <v>436777624.16102725</v>
      </c>
      <c r="M26">
        <f>SUMPRODUCT(Basophilic!$B26:$F26, Basophilic!$B$78:$F$78)</f>
        <v>3925959060.7392364</v>
      </c>
      <c r="N26">
        <f>SUMPRODUCT(Basophilic!$B26:$F26, Basophilic!$B$79:$F$79)</f>
        <v>8549188853.1538906</v>
      </c>
      <c r="O26">
        <f>SUMPRODUCT(Basophilic!$B26:$F26, Basophilic!$B$80:$F$80)</f>
        <v>3358187.247852257</v>
      </c>
      <c r="P26">
        <f>SUMPRODUCT(Basophilic!$B26:$F26, Basophilic!$B$81:$F$81)</f>
        <v>2952984886.4433002</v>
      </c>
    </row>
    <row r="27" spans="1:16" x14ac:dyDescent="0.25">
      <c r="A27" t="s">
        <v>32</v>
      </c>
      <c r="B27">
        <f>SUMPRODUCT(Basophilic!$B27:$F27, Basophilic!$B$67:$F$67)</f>
        <v>46243485453.324631</v>
      </c>
      <c r="C27">
        <f>SUMPRODUCT(Basophilic!$B27:$F27, Basophilic!$B$68:$F$68)</f>
        <v>1065.506743083004</v>
      </c>
      <c r="D27">
        <f>SUMPRODUCT(Basophilic!$B27:$F27, Basophilic!$B$69:$F$69)</f>
        <v>94963872.198315695</v>
      </c>
      <c r="E27">
        <f>SUMPRODUCT(Basophilic!$B27:$F27, Basophilic!$B$70:$F$70)</f>
        <v>16240621.038350791</v>
      </c>
      <c r="F27">
        <f>SUMPRODUCT(Basophilic!$B27:$F27, Basophilic!$B$71:$F$71)</f>
        <v>27666800632.665966</v>
      </c>
      <c r="G27">
        <f>SUMPRODUCT(Basophilic!$B27:$F27, Basophilic!$B$72:$F$72)</f>
        <v>1603650106.1602519</v>
      </c>
      <c r="H27">
        <f>SUMPRODUCT(Basophilic!$B27:$F27, Basophilic!$B$73:$F$73)</f>
        <v>98489203987.708618</v>
      </c>
      <c r="I27">
        <f>SUMPRODUCT(Basophilic!$B27:$F27, Basophilic!$B$74:$F$74)</f>
        <v>86836317239.202316</v>
      </c>
      <c r="J27">
        <f>SUMPRODUCT(Basophilic!$B27:$F27, Basophilic!$B$75:$F$75)</f>
        <v>28035933.744284112</v>
      </c>
      <c r="K27">
        <f>SUMPRODUCT(Basophilic!$B27:$F27, Basophilic!$B$76:$F$76)</f>
        <v>923228809.7481159</v>
      </c>
      <c r="L27">
        <f>SUMPRODUCT(Basophilic!$B27:$F27, Basophilic!$B$77:$F$77)</f>
        <v>783490292.45700848</v>
      </c>
      <c r="M27">
        <f>SUMPRODUCT(Basophilic!$B27:$F27, Basophilic!$B$78:$F$78)</f>
        <v>7042371567.1884079</v>
      </c>
      <c r="N27">
        <f>SUMPRODUCT(Basophilic!$B27:$F27, Basophilic!$B$79:$F$79)</f>
        <v>15335502261.152199</v>
      </c>
      <c r="O27">
        <f>SUMPRODUCT(Basophilic!$B27:$F27, Basophilic!$B$80:$F$80)</f>
        <v>6023903.4762439989</v>
      </c>
      <c r="P27">
        <f>SUMPRODUCT(Basophilic!$B27:$F27, Basophilic!$B$81:$F$81)</f>
        <v>5297053396.3939209</v>
      </c>
    </row>
    <row r="28" spans="1:16" x14ac:dyDescent="0.25">
      <c r="A28" t="s">
        <v>33</v>
      </c>
      <c r="B28">
        <f>SUMPRODUCT(Basophilic!$B28:$F28, Basophilic!$B$67:$F$67)</f>
        <v>10748350303.317879</v>
      </c>
      <c r="C28">
        <f>SUMPRODUCT(Basophilic!$B28:$F28, Basophilic!$B$68:$F$68)</f>
        <v>364.87584149184141</v>
      </c>
      <c r="D28">
        <f>SUMPRODUCT(Basophilic!$B28:$F28, Basophilic!$B$69:$F$69)</f>
        <v>22072627.687820956</v>
      </c>
      <c r="E28">
        <f>SUMPRODUCT(Basophilic!$B28:$F28, Basophilic!$B$70:$F$70)</f>
        <v>3793767.8858432393</v>
      </c>
      <c r="F28">
        <f>SUMPRODUCT(Basophilic!$B28:$F28, Basophilic!$B$71:$F$71)</f>
        <v>6430588391.0278864</v>
      </c>
      <c r="G28">
        <f>SUMPRODUCT(Basophilic!$B28:$F28, Basophilic!$B$72:$F$72)</f>
        <v>372755196.60888928</v>
      </c>
      <c r="H28">
        <f>SUMPRODUCT(Basophilic!$B28:$F28, Basophilic!$B$73:$F$73)</f>
        <v>22893372773.771519</v>
      </c>
      <c r="I28">
        <f>SUMPRODUCT(Basophilic!$B28:$F28, Basophilic!$B$74:$F$74)</f>
        <v>20184315708.514156</v>
      </c>
      <c r="J28">
        <f>SUMPRODUCT(Basophilic!$B28:$F28, Basophilic!$B$75:$F$75)</f>
        <v>6516400.7043663366</v>
      </c>
      <c r="K28">
        <f>SUMPRODUCT(Basophilic!$B28:$F28, Basophilic!$B$76:$F$76)</f>
        <v>214592957.54761106</v>
      </c>
      <c r="L28">
        <f>SUMPRODUCT(Basophilic!$B28:$F28, Basophilic!$B$77:$F$77)</f>
        <v>182123720.02189082</v>
      </c>
      <c r="M28">
        <f>SUMPRODUCT(Basophilic!$B28:$F28, Basophilic!$B$78:$F$78)</f>
        <v>1636943168.8412006</v>
      </c>
      <c r="N28">
        <f>SUMPRODUCT(Basophilic!$B28:$F28, Basophilic!$B$79:$F$79)</f>
        <v>3564452714.6091056</v>
      </c>
      <c r="O28">
        <f>SUMPRODUCT(Basophilic!$B28:$F28, Basophilic!$B$80:$F$80)</f>
        <v>1400146.7751582088</v>
      </c>
      <c r="P28">
        <f>SUMPRODUCT(Basophilic!$B28:$F28, Basophilic!$B$81:$F$81)</f>
        <v>1231226335.1890934</v>
      </c>
    </row>
    <row r="29" spans="1:16" x14ac:dyDescent="0.25">
      <c r="A29" t="s">
        <v>34</v>
      </c>
      <c r="B29">
        <f>SUMPRODUCT(Basophilic!$B29:$F29, Basophilic!$B$67:$F$67)</f>
        <v>78577805457.168518</v>
      </c>
      <c r="C29">
        <f>SUMPRODUCT(Basophilic!$B29:$F29, Basophilic!$B$68:$F$68)</f>
        <v>8242.3136354166672</v>
      </c>
      <c r="D29">
        <f>SUMPRODUCT(Basophilic!$B29:$F29, Basophilic!$B$69:$F$69)</f>
        <v>8177.463942028985</v>
      </c>
      <c r="E29">
        <f>SUMPRODUCT(Basophilic!$B29:$F29, Basophilic!$B$70:$F$70)</f>
        <v>316616960061.07611</v>
      </c>
      <c r="F29">
        <f>SUMPRODUCT(Basophilic!$B29:$F29, Basophilic!$B$71:$F$71)</f>
        <v>358354142214.06329</v>
      </c>
      <c r="G29">
        <f>SUMPRODUCT(Basophilic!$B29:$F29, Basophilic!$B$72:$F$72)</f>
        <v>29298232662.228397</v>
      </c>
      <c r="H29">
        <f>SUMPRODUCT(Basophilic!$B29:$F29, Basophilic!$B$73:$F$73)</f>
        <v>28424549492832.922</v>
      </c>
      <c r="I29">
        <f>SUMPRODUCT(Basophilic!$B29:$F29, Basophilic!$B$74:$F$74)</f>
        <v>18265415534781.848</v>
      </c>
      <c r="J29">
        <f>SUMPRODUCT(Basophilic!$B29:$F29, Basophilic!$B$75:$F$75)</f>
        <v>392891629.43027014</v>
      </c>
      <c r="K29">
        <f>SUMPRODUCT(Basophilic!$B29:$F29, Basophilic!$B$76:$F$76)</f>
        <v>14823516472.216955</v>
      </c>
      <c r="L29">
        <f>SUMPRODUCT(Basophilic!$B29:$F29, Basophilic!$B$77:$F$77)</f>
        <v>816009262.21668172</v>
      </c>
      <c r="M29">
        <f>SUMPRODUCT(Basophilic!$B29:$F29, Basophilic!$B$78:$F$78)</f>
        <v>671643555669.44507</v>
      </c>
      <c r="N29">
        <f>SUMPRODUCT(Basophilic!$B29:$F29, Basophilic!$B$79:$F$79)</f>
        <v>524343858668.61969</v>
      </c>
      <c r="O29">
        <f>SUMPRODUCT(Basophilic!$B29:$F29, Basophilic!$B$80:$F$80)</f>
        <v>1355.2920340485075</v>
      </c>
      <c r="P29">
        <f>SUMPRODUCT(Basophilic!$B29:$F29, Basophilic!$B$81:$F$81)</f>
        <v>27188626765.820709</v>
      </c>
    </row>
    <row r="30" spans="1:16" x14ac:dyDescent="0.25">
      <c r="A30" t="s">
        <v>35</v>
      </c>
      <c r="B30">
        <f>SUMPRODUCT(Basophilic!$B30:$F30, Basophilic!$B$67:$F$67)</f>
        <v>12257607246.432123</v>
      </c>
      <c r="C30">
        <f>SUMPRODUCT(Basophilic!$B30:$F30, Basophilic!$B$68:$F$68)</f>
        <v>349.46001113172542</v>
      </c>
      <c r="D30">
        <f>SUMPRODUCT(Basophilic!$B30:$F30, Basophilic!$B$69:$F$69)</f>
        <v>25171885.528695825</v>
      </c>
      <c r="E30">
        <f>SUMPRODUCT(Basophilic!$B30:$F30, Basophilic!$B$70:$F$70)</f>
        <v>4315694.145259276</v>
      </c>
      <c r="F30">
        <f>SUMPRODUCT(Basophilic!$B30:$F30, Basophilic!$B$71:$F$71)</f>
        <v>7333551440.1614189</v>
      </c>
      <c r="G30">
        <f>SUMPRODUCT(Basophilic!$B30:$F30, Basophilic!$B$72:$F$72)</f>
        <v>425085420.68994308</v>
      </c>
      <c r="H30">
        <f>SUMPRODUCT(Basophilic!$B30:$F30, Basophilic!$B$73:$F$73)</f>
        <v>26107107763.999653</v>
      </c>
      <c r="I30">
        <f>SUMPRODUCT(Basophilic!$B30:$F30, Basophilic!$B$74:$F$74)</f>
        <v>23017982709.197506</v>
      </c>
      <c r="J30">
        <f>SUMPRODUCT(Basophilic!$B30:$F30, Basophilic!$B$75:$F$75)</f>
        <v>7431404.8425279856</v>
      </c>
      <c r="K30">
        <f>SUMPRODUCT(Basophilic!$B30:$F30, Basophilic!$B$76:$F$76)</f>
        <v>244721397.1833562</v>
      </c>
      <c r="L30">
        <f>SUMPRODUCT(Basophilic!$B30:$F30, Basophilic!$B$77:$F$77)</f>
        <v>207687156.93520939</v>
      </c>
      <c r="M30">
        <f>SUMPRODUCT(Basophilic!$B30:$F30, Basophilic!$B$78:$F$78)</f>
        <v>1866748527.9552948</v>
      </c>
      <c r="N30">
        <f>SUMPRODUCT(Basophilic!$B30:$F30, Basophilic!$B$79:$F$79)</f>
        <v>4064947601.0601139</v>
      </c>
      <c r="O30">
        <f>SUMPRODUCT(Basophilic!$B30:$F30, Basophilic!$B$80:$F$80)</f>
        <v>1596744.0482982639</v>
      </c>
      <c r="P30">
        <f>SUMPRODUCT(Basophilic!$B30:$F30, Basophilic!$B$81:$F$81)</f>
        <v>1404092296.1661322</v>
      </c>
    </row>
    <row r="31" spans="1:16" x14ac:dyDescent="0.25">
      <c r="A31" t="s">
        <v>36</v>
      </c>
      <c r="B31">
        <f>SUMPRODUCT(Basophilic!$B31:$F31, Basophilic!$B$67:$F$67)</f>
        <v>10350263255.046844</v>
      </c>
      <c r="C31">
        <f>SUMPRODUCT(Basophilic!$B31:$F31, Basophilic!$B$68:$F$68)</f>
        <v>351.36192143658809</v>
      </c>
      <c r="D31">
        <f>SUMPRODUCT(Basophilic!$B31:$F31, Basophilic!$B$69:$F$69)</f>
        <v>21255122.958642401</v>
      </c>
      <c r="E31">
        <f>SUMPRODUCT(Basophilic!$B31:$F31, Basophilic!$B$70:$F$70)</f>
        <v>3653257.964145341</v>
      </c>
      <c r="F31">
        <f>SUMPRODUCT(Basophilic!$B31:$F31, Basophilic!$B$71:$F$71)</f>
        <v>6192418450.6194477</v>
      </c>
      <c r="G31">
        <f>SUMPRODUCT(Basophilic!$B31:$F31, Basophilic!$B$72:$F$72)</f>
        <v>358949448.58633786</v>
      </c>
      <c r="H31">
        <f>SUMPRODUCT(Basophilic!$B31:$F31, Basophilic!$B$73:$F$73)</f>
        <v>22045470078.446648</v>
      </c>
      <c r="I31">
        <f>SUMPRODUCT(Basophilic!$B31:$F31, Basophilic!$B$74:$F$74)</f>
        <v>19436748460.050663</v>
      </c>
      <c r="J31">
        <f>SUMPRODUCT(Basophilic!$B31:$F31, Basophilic!$B$75:$F$75)</f>
        <v>6275052.5301305447</v>
      </c>
      <c r="K31">
        <f>SUMPRODUCT(Basophilic!$B31:$F31, Basophilic!$B$76:$F$76)</f>
        <v>206645070.23103282</v>
      </c>
      <c r="L31">
        <f>SUMPRODUCT(Basophilic!$B31:$F31, Basophilic!$B$77:$F$77)</f>
        <v>175378397.05811712</v>
      </c>
      <c r="M31">
        <f>SUMPRODUCT(Basophilic!$B31:$F31, Basophilic!$B$78:$F$78)</f>
        <v>1576315644.0693047</v>
      </c>
      <c r="N31">
        <f>SUMPRODUCT(Basophilic!$B31:$F31, Basophilic!$B$79:$F$79)</f>
        <v>3432435947.4013615</v>
      </c>
      <c r="O31">
        <f>SUMPRODUCT(Basophilic!$B31:$F31, Basophilic!$B$80:$F$80)</f>
        <v>1348289.4871893865</v>
      </c>
      <c r="P31">
        <f>SUMPRODUCT(Basophilic!$B31:$F31, Basophilic!$B$81:$F$81)</f>
        <v>1185625359.8117197</v>
      </c>
    </row>
    <row r="32" spans="1:16" x14ac:dyDescent="0.25">
      <c r="A32" t="s">
        <v>37</v>
      </c>
      <c r="B32">
        <f>SUMPRODUCT(Basophilic!$B32:$F32, Basophilic!$B$67:$F$67)</f>
        <v>7845601951.2898283</v>
      </c>
      <c r="C32">
        <f>SUMPRODUCT(Basophilic!$B32:$F32, Basophilic!$B$68:$F$68)</f>
        <v>861.68749554367196</v>
      </c>
      <c r="D32">
        <f>SUMPRODUCT(Basophilic!$B32:$F32, Basophilic!$B$69:$F$69)</f>
        <v>14612637.244881157</v>
      </c>
      <c r="E32">
        <f>SUMPRODUCT(Basophilic!$B32:$F32, Basophilic!$B$70:$F$70)</f>
        <v>2539050.0055516926</v>
      </c>
      <c r="F32">
        <f>SUMPRODUCT(Basophilic!$B32:$F32, Basophilic!$B$71:$F$71)</f>
        <v>5325504519.7306881</v>
      </c>
      <c r="G32">
        <f>SUMPRODUCT(Basophilic!$B32:$F32, Basophilic!$B$72:$F$72)</f>
        <v>3750815401.224771</v>
      </c>
      <c r="H32">
        <f>SUMPRODUCT(Basophilic!$B32:$F32, Basophilic!$B$73:$F$73)</f>
        <v>84579484609.50058</v>
      </c>
      <c r="I32">
        <f>SUMPRODUCT(Basophilic!$B32:$F32, Basophilic!$B$74:$F$74)</f>
        <v>59881567507.493568</v>
      </c>
      <c r="J32">
        <f>SUMPRODUCT(Basophilic!$B32:$F32, Basophilic!$B$75:$F$75)</f>
        <v>4313865.35547073</v>
      </c>
      <c r="K32">
        <f>SUMPRODUCT(Basophilic!$B32:$F32, Basophilic!$B$76:$F$76)</f>
        <v>3411455919.776247</v>
      </c>
      <c r="L32">
        <f>SUMPRODUCT(Basophilic!$B32:$F32, Basophilic!$B$77:$F$77)</f>
        <v>328514595.87785745</v>
      </c>
      <c r="M32">
        <f>SUMPRODUCT(Basophilic!$B32:$F32, Basophilic!$B$78:$F$78)</f>
        <v>65046835590.976875</v>
      </c>
      <c r="N32">
        <f>SUMPRODUCT(Basophilic!$B32:$F32, Basophilic!$B$79:$F$79)</f>
        <v>10908930009.217667</v>
      </c>
      <c r="O32">
        <f>SUMPRODUCT(Basophilic!$B32:$F32, Basophilic!$B$80:$F$80)</f>
        <v>926979.06982107123</v>
      </c>
      <c r="P32">
        <f>SUMPRODUCT(Basophilic!$B32:$F32, Basophilic!$B$81:$F$81)</f>
        <v>1610497272.336014</v>
      </c>
    </row>
    <row r="33" spans="1:16" x14ac:dyDescent="0.25">
      <c r="A33" t="s">
        <v>38</v>
      </c>
      <c r="B33">
        <f>SUMPRODUCT(Basophilic!$B33:$F33, Basophilic!$B$67:$F$67)</f>
        <v>9062559259.6742191</v>
      </c>
      <c r="C33">
        <f>SUMPRODUCT(Basophilic!$B33:$F33, Basophilic!$B$68:$F$68)</f>
        <v>1071.4801304347825</v>
      </c>
      <c r="D33">
        <f>SUMPRODUCT(Basophilic!$B33:$F33, Basophilic!$B$69:$F$69)</f>
        <v>16573479.404999245</v>
      </c>
      <c r="E33">
        <f>SUMPRODUCT(Basophilic!$B33:$F33, Basophilic!$B$70:$F$70)</f>
        <v>2878627.2662282605</v>
      </c>
      <c r="F33">
        <f>SUMPRODUCT(Basophilic!$B33:$F33, Basophilic!$B$71:$F$71)</f>
        <v>6280360234.4775953</v>
      </c>
      <c r="G33">
        <f>SUMPRODUCT(Basophilic!$B33:$F33, Basophilic!$B$72:$F$72)</f>
        <v>5042036601.5122471</v>
      </c>
      <c r="H33">
        <f>SUMPRODUCT(Basophilic!$B33:$F33, Basophilic!$B$73:$F$73)</f>
        <v>111538965882.01913</v>
      </c>
      <c r="I33">
        <f>SUMPRODUCT(Basophilic!$B33:$F33, Basophilic!$B$74:$F$74)</f>
        <v>78376842960.67012</v>
      </c>
      <c r="J33">
        <f>SUMPRODUCT(Basophilic!$B33:$F33, Basophilic!$B$75:$F$75)</f>
        <v>4892716.1962974397</v>
      </c>
      <c r="K33">
        <f>SUMPRODUCT(Basophilic!$B33:$F33, Basophilic!$B$76:$F$76)</f>
        <v>4604379793.1895895</v>
      </c>
      <c r="L33">
        <f>SUMPRODUCT(Basophilic!$B33:$F33, Basophilic!$B$77:$F$77)</f>
        <v>419349240.31156343</v>
      </c>
      <c r="M33">
        <f>SUMPRODUCT(Basophilic!$B33:$F33, Basophilic!$B$78:$F$78)</f>
        <v>88157954131.129257</v>
      </c>
      <c r="N33">
        <f>SUMPRODUCT(Basophilic!$B33:$F33, Basophilic!$B$79:$F$79)</f>
        <v>14295132401.590818</v>
      </c>
      <c r="O33">
        <f>SUMPRODUCT(Basophilic!$B33:$F33, Basophilic!$B$80:$F$80)</f>
        <v>1051379.1785208308</v>
      </c>
      <c r="P33">
        <f>SUMPRODUCT(Basophilic!$B33:$F33, Basophilic!$B$81:$F$81)</f>
        <v>2005449097.0783231</v>
      </c>
    </row>
    <row r="34" spans="1:16" x14ac:dyDescent="0.25">
      <c r="A34" t="s">
        <v>39</v>
      </c>
      <c r="B34">
        <f>SUMPRODUCT(Basophilic!$B34:$F34, Basophilic!$B$67:$F$67)</f>
        <v>65517515420.204506</v>
      </c>
      <c r="C34">
        <f>SUMPRODUCT(Basophilic!$B34:$F34, Basophilic!$B$68:$F$68)</f>
        <v>338266838.24640393</v>
      </c>
      <c r="D34">
        <f>SUMPRODUCT(Basophilic!$B34:$F34, Basophilic!$B$69:$F$69)</f>
        <v>121911037.09536511</v>
      </c>
      <c r="E34">
        <f>SUMPRODUCT(Basophilic!$B34:$F34, Basophilic!$B$70:$F$70)</f>
        <v>3665301715.771142</v>
      </c>
      <c r="F34">
        <f>SUMPRODUCT(Basophilic!$B34:$F34, Basophilic!$B$71:$F$71)</f>
        <v>46158296476.340019</v>
      </c>
      <c r="G34">
        <f>SUMPRODUCT(Basophilic!$B34:$F34, Basophilic!$B$72:$F$72)</f>
        <v>79988896108.344238</v>
      </c>
      <c r="H34">
        <f>SUMPRODUCT(Basophilic!$B34:$F34, Basophilic!$B$73:$F$73)</f>
        <v>711796467277.8241</v>
      </c>
      <c r="I34">
        <f>SUMPRODUCT(Basophilic!$B34:$F34, Basophilic!$B$74:$F$74)</f>
        <v>503683901182.88702</v>
      </c>
      <c r="J34">
        <f>SUMPRODUCT(Basophilic!$B34:$F34, Basophilic!$B$75:$F$75)</f>
        <v>35990549.846403539</v>
      </c>
      <c r="K34">
        <f>SUMPRODUCT(Basophilic!$B34:$F34, Basophilic!$B$76:$F$76)</f>
        <v>43549242081.23407</v>
      </c>
      <c r="L34">
        <f>SUMPRODUCT(Basophilic!$B34:$F34, Basophilic!$B$77:$F$77)</f>
        <v>54186726051.584053</v>
      </c>
      <c r="M34">
        <f>SUMPRODUCT(Basophilic!$B34:$F34, Basophilic!$B$78:$F$78)</f>
        <v>601544822321.12488</v>
      </c>
      <c r="N34">
        <f>SUMPRODUCT(Basophilic!$B34:$F34, Basophilic!$B$79:$F$79)</f>
        <v>92166481894.367203</v>
      </c>
      <c r="O34">
        <f>SUMPRODUCT(Basophilic!$B34:$F34, Basophilic!$B$80:$F$80)</f>
        <v>7733760.4533107784</v>
      </c>
      <c r="P34">
        <f>SUMPRODUCT(Basophilic!$B34:$F34, Basophilic!$B$81:$F$81)</f>
        <v>116782923268.01169</v>
      </c>
    </row>
    <row r="35" spans="1:16" x14ac:dyDescent="0.25">
      <c r="A35" t="s">
        <v>40</v>
      </c>
      <c r="B35">
        <f>SUMPRODUCT(Basophilic!$B35:$F35, Basophilic!$B$67:$F$67)</f>
        <v>109086973395.04527</v>
      </c>
      <c r="C35">
        <f>SUMPRODUCT(Basophilic!$B35:$F35, Basophilic!$B$68:$F$68)</f>
        <v>3599826804.9860964</v>
      </c>
      <c r="D35">
        <f>SUMPRODUCT(Basophilic!$B35:$F35, Basophilic!$B$69:$F$69)</f>
        <v>231455840.45034912</v>
      </c>
      <c r="E35">
        <f>SUMPRODUCT(Basophilic!$B35:$F35, Basophilic!$B$70:$F$70)</f>
        <v>38820980553.52076</v>
      </c>
      <c r="F35">
        <f>SUMPRODUCT(Basophilic!$B35:$F35, Basophilic!$B$71:$F$71)</f>
        <v>85984825343.556427</v>
      </c>
      <c r="G35">
        <f>SUMPRODUCT(Basophilic!$B35:$F35, Basophilic!$B$72:$F$72)</f>
        <v>541278991999.73132</v>
      </c>
      <c r="H35">
        <f>SUMPRODUCT(Basophilic!$B35:$F35, Basophilic!$B$73:$F$73)</f>
        <v>670692573289.73389</v>
      </c>
      <c r="I35">
        <f>SUMPRODUCT(Basophilic!$B35:$F35, Basophilic!$B$74:$F$74)</f>
        <v>494918494489.48877</v>
      </c>
      <c r="J35">
        <f>SUMPRODUCT(Basophilic!$B35:$F35, Basophilic!$B$75:$F$75)</f>
        <v>63540655.6999446</v>
      </c>
      <c r="K35">
        <f>SUMPRODUCT(Basophilic!$B35:$F35, Basophilic!$B$76:$F$76)</f>
        <v>180791310995.89603</v>
      </c>
      <c r="L35">
        <f>SUMPRODUCT(Basophilic!$B35:$F35, Basophilic!$B$77:$F$77)</f>
        <v>550388409371.53381</v>
      </c>
      <c r="M35">
        <f>SUMPRODUCT(Basophilic!$B35:$F35, Basophilic!$B$78:$F$78)</f>
        <v>997553057916.56689</v>
      </c>
      <c r="N35">
        <f>SUMPRODUCT(Basophilic!$B35:$F35, Basophilic!$B$79:$F$79)</f>
        <v>94173675113.082397</v>
      </c>
      <c r="O35">
        <f>SUMPRODUCT(Basophilic!$B35:$F35, Basophilic!$B$80:$F$80)</f>
        <v>14668569.861711839</v>
      </c>
      <c r="P35">
        <f>SUMPRODUCT(Basophilic!$B35:$F35, Basophilic!$B$81:$F$81)</f>
        <v>1116035184809.3345</v>
      </c>
    </row>
    <row r="36" spans="1:16" x14ac:dyDescent="0.25">
      <c r="A36" t="s">
        <v>41</v>
      </c>
      <c r="B36">
        <f>SUMPRODUCT(Basophilic!$B36:$F36, Basophilic!$B$67:$F$67)</f>
        <v>38465721380.225044</v>
      </c>
      <c r="C36">
        <f>SUMPRODUCT(Basophilic!$B36:$F36, Basophilic!$B$68:$F$68)</f>
        <v>1909440623.115556</v>
      </c>
      <c r="D36">
        <f>SUMPRODUCT(Basophilic!$B36:$F36, Basophilic!$B$69:$F$69)</f>
        <v>78997254.994525313</v>
      </c>
      <c r="E36">
        <f>SUMPRODUCT(Basophilic!$B36:$F36, Basophilic!$B$70:$F$70)</f>
        <v>20586127155.425159</v>
      </c>
      <c r="F36">
        <f>SUMPRODUCT(Basophilic!$B36:$F36, Basophilic!$B$71:$F$71)</f>
        <v>32259920615.636276</v>
      </c>
      <c r="G36">
        <f>SUMPRODUCT(Basophilic!$B36:$F36, Basophilic!$B$72:$F$72)</f>
        <v>274562054494.41443</v>
      </c>
      <c r="H36">
        <f>SUMPRODUCT(Basophilic!$B36:$F36, Basophilic!$B$73:$F$73)</f>
        <v>84018453664.65744</v>
      </c>
      <c r="I36">
        <f>SUMPRODUCT(Basophilic!$B36:$F36, Basophilic!$B$74:$F$74)</f>
        <v>73463127552.94725</v>
      </c>
      <c r="J36">
        <f>SUMPRODUCT(Basophilic!$B36:$F36, Basophilic!$B$75:$F$75)</f>
        <v>23320941.083338317</v>
      </c>
      <c r="K36">
        <f>SUMPRODUCT(Basophilic!$B36:$F36, Basophilic!$B$76:$F$76)</f>
        <v>84391134505.700607</v>
      </c>
      <c r="L36">
        <f>SUMPRODUCT(Basophilic!$B36:$F36, Basophilic!$B$77:$F$77)</f>
        <v>290960244793.40186</v>
      </c>
      <c r="M36">
        <f>SUMPRODUCT(Basophilic!$B36:$F36, Basophilic!$B$78:$F$78)</f>
        <v>307908384235.15216</v>
      </c>
      <c r="N36">
        <f>SUMPRODUCT(Basophilic!$B36:$F36, Basophilic!$B$79:$F$79)</f>
        <v>15230703778.091068</v>
      </c>
      <c r="O36">
        <f>SUMPRODUCT(Basophilic!$B36:$F36, Basophilic!$B$80:$F$80)</f>
        <v>5011678.2088088458</v>
      </c>
      <c r="P36">
        <f>SUMPRODUCT(Basophilic!$B36:$F36, Basophilic!$B$81:$F$81)</f>
        <v>587410322242.13062</v>
      </c>
    </row>
    <row r="37" spans="1:16" x14ac:dyDescent="0.25">
      <c r="A37" t="s">
        <v>42</v>
      </c>
      <c r="B37">
        <f>SUMPRODUCT(Basophilic!$B37:$F37, Basophilic!$B$67:$F$67)</f>
        <v>1327024633101.0859</v>
      </c>
      <c r="C37">
        <f>SUMPRODUCT(Basophilic!$B37:$F37, Basophilic!$B$68:$F$68)</f>
        <v>3823289500.9075851</v>
      </c>
      <c r="D37">
        <f>SUMPRODUCT(Basophilic!$B37:$F37, Basophilic!$B$69:$F$69)</f>
        <v>2146463832.8514802</v>
      </c>
      <c r="E37">
        <f>SUMPRODUCT(Basophilic!$B37:$F37, Basophilic!$B$70:$F$70)</f>
        <v>2820459198395.4492</v>
      </c>
      <c r="F37">
        <f>SUMPRODUCT(Basophilic!$B37:$F37, Basophilic!$B$71:$F$71)</f>
        <v>3540896616830.4067</v>
      </c>
      <c r="G37">
        <f>SUMPRODUCT(Basophilic!$B37:$F37, Basophilic!$B$72:$F$72)</f>
        <v>1034656568437.6096</v>
      </c>
      <c r="H37">
        <f>SUMPRODUCT(Basophilic!$B37:$F37, Basophilic!$B$73:$F$73)</f>
        <v>254796114066655.47</v>
      </c>
      <c r="I37">
        <f>SUMPRODUCT(Basophilic!$B37:$F37, Basophilic!$B$74:$F$74)</f>
        <v>164076747083583.78</v>
      </c>
      <c r="J37">
        <f>SUMPRODUCT(Basophilic!$B37:$F37, Basophilic!$B$75:$F$75)</f>
        <v>3822201198.4850287</v>
      </c>
      <c r="K37">
        <f>SUMPRODUCT(Basophilic!$B37:$F37, Basophilic!$B$76:$F$76)</f>
        <v>506045710810.78503</v>
      </c>
      <c r="L37">
        <f>SUMPRODUCT(Basophilic!$B37:$F37, Basophilic!$B$77:$F$77)</f>
        <v>609311992142.87268</v>
      </c>
      <c r="M37">
        <f>SUMPRODUCT(Basophilic!$B37:$F37, Basophilic!$B$78:$F$78)</f>
        <v>10453686001139.199</v>
      </c>
      <c r="N37">
        <f>SUMPRODUCT(Basophilic!$B37:$F37, Basophilic!$B$79:$F$79)</f>
        <v>5309472376888.6133</v>
      </c>
      <c r="O37">
        <f>SUMPRODUCT(Basophilic!$B37:$F37, Basophilic!$B$80:$F$80)</f>
        <v>135358027.02460551</v>
      </c>
      <c r="P37">
        <f>SUMPRODUCT(Basophilic!$B37:$F37, Basophilic!$B$81:$F$81)</f>
        <v>1512662727170.0403</v>
      </c>
    </row>
    <row r="38" spans="1:16" x14ac:dyDescent="0.25">
      <c r="A38" t="s">
        <v>43</v>
      </c>
      <c r="B38">
        <f>SUMPRODUCT(Basophilic!$B38:$F38, Basophilic!$B$67:$F$67)</f>
        <v>2445649568.3592958</v>
      </c>
      <c r="C38">
        <f>SUMPRODUCT(Basophilic!$B38:$F38, Basophilic!$B$68:$F$68)</f>
        <v>225.39250424709252</v>
      </c>
      <c r="D38">
        <f>SUMPRODUCT(Basophilic!$B38:$F38, Basophilic!$B$69:$F$69)</f>
        <v>1764327.9559359185</v>
      </c>
      <c r="E38">
        <f>SUMPRODUCT(Basophilic!$B38:$F38, Basophilic!$B$70:$F$70)</f>
        <v>6054715192.1760359</v>
      </c>
      <c r="F38">
        <f>SUMPRODUCT(Basophilic!$B38:$F38, Basophilic!$B$71:$F$71)</f>
        <v>7489400308.9897413</v>
      </c>
      <c r="G38">
        <f>SUMPRODUCT(Basophilic!$B38:$F38, Basophilic!$B$72:$F$72)</f>
        <v>993131359.03927135</v>
      </c>
      <c r="H38">
        <f>SUMPRODUCT(Basophilic!$B38:$F38, Basophilic!$B$73:$F$73)</f>
        <v>553355733760.41724</v>
      </c>
      <c r="I38">
        <f>SUMPRODUCT(Basophilic!$B38:$F38, Basophilic!$B$74:$F$74)</f>
        <v>356239462271.85107</v>
      </c>
      <c r="J38">
        <f>SUMPRODUCT(Basophilic!$B38:$F38, Basophilic!$B$75:$F$75)</f>
        <v>8033776.1661567139</v>
      </c>
      <c r="K38">
        <f>SUMPRODUCT(Basophilic!$B38:$F38, Basophilic!$B$76:$F$76)</f>
        <v>676710832.26304889</v>
      </c>
      <c r="L38">
        <f>SUMPRODUCT(Basophilic!$B38:$F38, Basophilic!$B$77:$F$77)</f>
        <v>54077279.87156608</v>
      </c>
      <c r="M38">
        <f>SUMPRODUCT(Basophilic!$B38:$F38, Basophilic!$B$78:$F$78)</f>
        <v>20332278848.003212</v>
      </c>
      <c r="N38">
        <f>SUMPRODUCT(Basophilic!$B38:$F38, Basophilic!$B$79:$F$79)</f>
        <v>11294979042.390322</v>
      </c>
      <c r="O38">
        <f>SUMPRODUCT(Basophilic!$B38:$F38, Basophilic!$B$80:$F$80)</f>
        <v>111939.12281467995</v>
      </c>
      <c r="P38">
        <f>SUMPRODUCT(Basophilic!$B38:$F38, Basophilic!$B$81:$F$81)</f>
        <v>709807080.72270215</v>
      </c>
    </row>
    <row r="39" spans="1:16" x14ac:dyDescent="0.25">
      <c r="A39" t="s">
        <v>44</v>
      </c>
      <c r="B39">
        <f>SUMPRODUCT(Basophilic!$B39:$F39, Basophilic!$B$67:$F$67)</f>
        <v>9964106596.6717052</v>
      </c>
      <c r="C39">
        <f>SUMPRODUCT(Basophilic!$B39:$F39, Basophilic!$B$68:$F$68)</f>
        <v>843984770.53305042</v>
      </c>
      <c r="D39">
        <f>SUMPRODUCT(Basophilic!$B39:$F39, Basophilic!$B$69:$F$69)</f>
        <v>20464735.648197427</v>
      </c>
      <c r="E39">
        <f>SUMPRODUCT(Basophilic!$B39:$F39, Basophilic!$B$70:$F$70)</f>
        <v>9096758856.1250839</v>
      </c>
      <c r="F39">
        <f>SUMPRODUCT(Basophilic!$B39:$F39, Basophilic!$B$71:$F$71)</f>
        <v>10048378192.020575</v>
      </c>
      <c r="G39">
        <f>SUMPRODUCT(Basophilic!$B39:$F39, Basophilic!$B$72:$F$72)</f>
        <v>121114117894.71667</v>
      </c>
      <c r="H39">
        <f>SUMPRODUCT(Basophilic!$B39:$F39, Basophilic!$B$73:$F$73)</f>
        <v>22149980286.749054</v>
      </c>
      <c r="I39">
        <f>SUMPRODUCT(Basophilic!$B39:$F39, Basophilic!$B$74:$F$74)</f>
        <v>19256937195.460724</v>
      </c>
      <c r="J39">
        <f>SUMPRODUCT(Basophilic!$B39:$F39, Basophilic!$B$75:$F$75)</f>
        <v>6041139.4776332481</v>
      </c>
      <c r="K39">
        <f>SUMPRODUCT(Basophilic!$B39:$F39, Basophilic!$B$76:$F$76)</f>
        <v>37160913515.547516</v>
      </c>
      <c r="L39">
        <f>SUMPRODUCT(Basophilic!$B39:$F39, Basophilic!$B$77:$F$77)</f>
        <v>128487040504.75182</v>
      </c>
      <c r="M39">
        <f>SUMPRODUCT(Basophilic!$B39:$F39, Basophilic!$B$78:$F$78)</f>
        <v>135025784217.95419</v>
      </c>
      <c r="N39">
        <f>SUMPRODUCT(Basophilic!$B39:$F39, Basophilic!$B$79:$F$79)</f>
        <v>4398146246.4046612</v>
      </c>
      <c r="O39">
        <f>SUMPRODUCT(Basophilic!$B39:$F39, Basophilic!$B$80:$F$80)</f>
        <v>1298415.3041744612</v>
      </c>
      <c r="P39">
        <f>SUMPRODUCT(Basophilic!$B39:$F39, Basophilic!$B$81:$F$81)</f>
        <v>258832926442.04639</v>
      </c>
    </row>
    <row r="40" spans="1:16" x14ac:dyDescent="0.25">
      <c r="A40" t="s">
        <v>45</v>
      </c>
      <c r="B40">
        <f>SUMPRODUCT(Basophilic!$B40:$F40, Basophilic!$B$67:$F$67)</f>
        <v>283143239927.23358</v>
      </c>
      <c r="C40">
        <f>SUMPRODUCT(Basophilic!$B40:$F40, Basophilic!$B$68:$F$68)</f>
        <v>12158391221.815197</v>
      </c>
      <c r="D40">
        <f>SUMPRODUCT(Basophilic!$B40:$F40, Basophilic!$B$69:$F$69)</f>
        <v>396192806.50606108</v>
      </c>
      <c r="E40">
        <f>SUMPRODUCT(Basophilic!$B40:$F40, Basophilic!$B$70:$F$70)</f>
        <v>283079581739.01349</v>
      </c>
      <c r="F40">
        <f>SUMPRODUCT(Basophilic!$B40:$F40, Basophilic!$B$71:$F$71)</f>
        <v>428584727703.42554</v>
      </c>
      <c r="G40">
        <f>SUMPRODUCT(Basophilic!$B40:$F40, Basophilic!$B$72:$F$72)</f>
        <v>2045876881234.373</v>
      </c>
      <c r="H40">
        <f>SUMPRODUCT(Basophilic!$B40:$F40, Basophilic!$B$73:$F$73)</f>
        <v>19712953679836.008</v>
      </c>
      <c r="I40">
        <f>SUMPRODUCT(Basophilic!$B40:$F40, Basophilic!$B$74:$F$74)</f>
        <v>12915782728305.332</v>
      </c>
      <c r="J40">
        <f>SUMPRODUCT(Basophilic!$B40:$F40, Basophilic!$B$75:$F$75)</f>
        <v>301561516.2695803</v>
      </c>
      <c r="K40">
        <f>SUMPRODUCT(Basophilic!$B40:$F40, Basophilic!$B$76:$F$76)</f>
        <v>809773266598.77832</v>
      </c>
      <c r="L40">
        <f>SUMPRODUCT(Basophilic!$B40:$F40, Basophilic!$B$77:$F$77)</f>
        <v>1869000262437.5154</v>
      </c>
      <c r="M40">
        <f>SUMPRODUCT(Basophilic!$B40:$F40, Basophilic!$B$78:$F$78)</f>
        <v>7487712319407.6865</v>
      </c>
      <c r="N40">
        <f>SUMPRODUCT(Basophilic!$B40:$F40, Basophilic!$B$79:$F$79)</f>
        <v>1025835838881.7699</v>
      </c>
      <c r="O40">
        <f>SUMPRODUCT(Basophilic!$B40:$F40, Basophilic!$B$80:$F$80)</f>
        <v>25127385.359472618</v>
      </c>
      <c r="P40">
        <f>SUMPRODUCT(Basophilic!$B40:$F40, Basophilic!$B$81:$F$81)</f>
        <v>3811310787694.6504</v>
      </c>
    </row>
    <row r="41" spans="1:16" x14ac:dyDescent="0.25">
      <c r="A41" t="s">
        <v>46</v>
      </c>
      <c r="B41">
        <f>SUMPRODUCT(Basophilic!$B41:$F41, Basophilic!$B$67:$F$67)</f>
        <v>261259282899.07217</v>
      </c>
      <c r="C41">
        <f>SUMPRODUCT(Basophilic!$B41:$F41, Basophilic!$B$68:$F$68)</f>
        <v>9772760986.2843208</v>
      </c>
      <c r="D41">
        <f>SUMPRODUCT(Basophilic!$B41:$F41, Basophilic!$B$69:$F$69)</f>
        <v>1393018311.7793117</v>
      </c>
      <c r="E41">
        <f>SUMPRODUCT(Basophilic!$B41:$F41, Basophilic!$B$70:$F$70)</f>
        <v>105346801305.86482</v>
      </c>
      <c r="F41">
        <f>SUMPRODUCT(Basophilic!$B41:$F41, Basophilic!$B$71:$F$71)</f>
        <v>171913015455.27118</v>
      </c>
      <c r="G41">
        <f>SUMPRODUCT(Basophilic!$B41:$F41, Basophilic!$B$72:$F$72)</f>
        <v>1452121019279.8765</v>
      </c>
      <c r="H41">
        <f>SUMPRODUCT(Basophilic!$B41:$F41, Basophilic!$B$73:$F$73)</f>
        <v>1319895126577.0042</v>
      </c>
      <c r="I41">
        <f>SUMPRODUCT(Basophilic!$B41:$F41, Basophilic!$B$74:$F$74)</f>
        <v>934468717176.53784</v>
      </c>
      <c r="J41">
        <f>SUMPRODUCT(Basophilic!$B41:$F41, Basophilic!$B$75:$F$75)</f>
        <v>165684599.12479833</v>
      </c>
      <c r="K41">
        <f>SUMPRODUCT(Basophilic!$B41:$F41, Basophilic!$B$76:$F$76)</f>
        <v>475795987718.73083</v>
      </c>
      <c r="L41">
        <f>SUMPRODUCT(Basophilic!$B41:$F41, Basophilic!$B$77:$F$77)</f>
        <v>1491232845276.2712</v>
      </c>
      <c r="M41">
        <f>SUMPRODUCT(Basophilic!$B41:$F41, Basophilic!$B$78:$F$78)</f>
        <v>2436148314374.8442</v>
      </c>
      <c r="N41">
        <f>SUMPRODUCT(Basophilic!$B41:$F41, Basophilic!$B$79:$F$79)</f>
        <v>199583851443.70319</v>
      </c>
      <c r="O41">
        <f>SUMPRODUCT(Basophilic!$B41:$F41, Basophilic!$B$80:$F$80)</f>
        <v>87601766.360394448</v>
      </c>
      <c r="P41">
        <f>SUMPRODUCT(Basophilic!$B41:$F41, Basophilic!$B$81:$F$81)</f>
        <v>3014517424609.0708</v>
      </c>
    </row>
    <row r="42" spans="1:16" x14ac:dyDescent="0.25">
      <c r="A42" t="s">
        <v>47</v>
      </c>
      <c r="B42">
        <f>SUMPRODUCT(Basophilic!$B42:$F42, Basophilic!$B$67:$F$67)</f>
        <v>200501310131.84607</v>
      </c>
      <c r="C42">
        <f>SUMPRODUCT(Basophilic!$B42:$F42, Basophilic!$B$68:$F$68)</f>
        <v>7500025873.1949444</v>
      </c>
      <c r="D42">
        <f>SUMPRODUCT(Basophilic!$B42:$F42, Basophilic!$B$69:$F$69)</f>
        <v>1069060564.8538905</v>
      </c>
      <c r="E42">
        <f>SUMPRODUCT(Basophilic!$B42:$F42, Basophilic!$B$70:$F$70)</f>
        <v>80847545188.221848</v>
      </c>
      <c r="F42">
        <f>SUMPRODUCT(Basophilic!$B42:$F42, Basophilic!$B$71:$F$71)</f>
        <v>131933244419.16162</v>
      </c>
      <c r="G42">
        <f>SUMPRODUCT(Basophilic!$B42:$F42, Basophilic!$B$72:$F$72)</f>
        <v>1114418456656.6494</v>
      </c>
      <c r="H42">
        <f>SUMPRODUCT(Basophilic!$B42:$F42, Basophilic!$B$73:$F$73)</f>
        <v>1012942771559.0962</v>
      </c>
      <c r="I42">
        <f>SUMPRODUCT(Basophilic!$B42:$F42, Basophilic!$B$74:$F$74)</f>
        <v>717150410856.41272</v>
      </c>
      <c r="J42">
        <f>SUMPRODUCT(Basophilic!$B42:$F42, Basophilic!$B$75:$F$75)</f>
        <v>127153297.0027522</v>
      </c>
      <c r="K42">
        <f>SUMPRODUCT(Basophilic!$B42:$F42, Basophilic!$B$76:$F$76)</f>
        <v>365145758016.70044</v>
      </c>
      <c r="L42">
        <f>SUMPRODUCT(Basophilic!$B42:$F42, Basophilic!$B$77:$F$77)</f>
        <v>1144434509165.5105</v>
      </c>
      <c r="M42">
        <f>SUMPRODUCT(Basophilic!$B42:$F42, Basophilic!$B$78:$F$78)</f>
        <v>1869602194752.7876</v>
      </c>
      <c r="N42">
        <f>SUMPRODUCT(Basophilic!$B42:$F42, Basophilic!$B$79:$F$79)</f>
        <v>153169002270.74896</v>
      </c>
      <c r="O42">
        <f>SUMPRODUCT(Basophilic!$B42:$F42, Basophilic!$B$80:$F$80)</f>
        <v>67229262.555651546</v>
      </c>
      <c r="P42">
        <f>SUMPRODUCT(Basophilic!$B42:$F42, Basophilic!$B$81:$F$81)</f>
        <v>2313466860746.4966</v>
      </c>
    </row>
    <row r="43" spans="1:16" x14ac:dyDescent="0.25">
      <c r="A43" t="s">
        <v>48</v>
      </c>
      <c r="B43">
        <f>SUMPRODUCT(Basophilic!$B43:$F43, Basophilic!$B$67:$F$67)</f>
        <v>391888924348.60822</v>
      </c>
      <c r="C43">
        <f>SUMPRODUCT(Basophilic!$B43:$F43, Basophilic!$B$68:$F$68)</f>
        <v>14659141479.426483</v>
      </c>
      <c r="D43">
        <f>SUMPRODUCT(Basophilic!$B43:$F43, Basophilic!$B$69:$F$69)</f>
        <v>2089527467.6689682</v>
      </c>
      <c r="E43">
        <f>SUMPRODUCT(Basophilic!$B43:$F43, Basophilic!$B$70:$F$70)</f>
        <v>158020201958.79724</v>
      </c>
      <c r="F43">
        <f>SUMPRODUCT(Basophilic!$B43:$F43, Basophilic!$B$71:$F$71)</f>
        <v>257869523182.90683</v>
      </c>
      <c r="G43">
        <f>SUMPRODUCT(Basophilic!$B43:$F43, Basophilic!$B$72:$F$72)</f>
        <v>2178181528919.8149</v>
      </c>
      <c r="H43">
        <f>SUMPRODUCT(Basophilic!$B43:$F43, Basophilic!$B$73:$F$73)</f>
        <v>1979842689865.5063</v>
      </c>
      <c r="I43">
        <f>SUMPRODUCT(Basophilic!$B43:$F43, Basophilic!$B$74:$F$74)</f>
        <v>1401703075764.8069</v>
      </c>
      <c r="J43">
        <f>SUMPRODUCT(Basophilic!$B43:$F43, Basophilic!$B$75:$F$75)</f>
        <v>248526898.68719751</v>
      </c>
      <c r="K43">
        <f>SUMPRODUCT(Basophilic!$B43:$F43, Basophilic!$B$76:$F$76)</f>
        <v>713693981578.09631</v>
      </c>
      <c r="L43">
        <f>SUMPRODUCT(Basophilic!$B43:$F43, Basophilic!$B$77:$F$77)</f>
        <v>2236849267914.4072</v>
      </c>
      <c r="M43">
        <f>SUMPRODUCT(Basophilic!$B43:$F43, Basophilic!$B$78:$F$78)</f>
        <v>3654222471562.2671</v>
      </c>
      <c r="N43">
        <f>SUMPRODUCT(Basophilic!$B43:$F43, Basophilic!$B$79:$F$79)</f>
        <v>299375777165.55481</v>
      </c>
      <c r="O43">
        <f>SUMPRODUCT(Basophilic!$B43:$F43, Basophilic!$B$80:$F$80)</f>
        <v>131402649.54059169</v>
      </c>
      <c r="P43">
        <f>SUMPRODUCT(Basophilic!$B43:$F43, Basophilic!$B$81:$F$81)</f>
        <v>4521776136913.6074</v>
      </c>
    </row>
    <row r="44" spans="1:16" x14ac:dyDescent="0.25">
      <c r="A44" t="s">
        <v>49</v>
      </c>
      <c r="B44">
        <f>SUMPRODUCT(Basophilic!$B44:$F44, Basophilic!$B$67:$F$67)</f>
        <v>28898127548.220119</v>
      </c>
      <c r="C44">
        <f>SUMPRODUCT(Basophilic!$B44:$F44, Basophilic!$B$68:$F$68)</f>
        <v>1122881761.6239772</v>
      </c>
      <c r="D44">
        <f>SUMPRODUCT(Basophilic!$B44:$F44, Basophilic!$B$69:$F$69)</f>
        <v>210504279.25878191</v>
      </c>
      <c r="E44">
        <f>SUMPRODUCT(Basophilic!$B44:$F44, Basophilic!$B$70:$F$70)</f>
        <v>12101990661.00832</v>
      </c>
      <c r="F44">
        <f>SUMPRODUCT(Basophilic!$B44:$F44, Basophilic!$B$71:$F$71)</f>
        <v>16342852547.856724</v>
      </c>
      <c r="G44">
        <f>SUMPRODUCT(Basophilic!$B44:$F44, Basophilic!$B$72:$F$72)</f>
        <v>164704721012.41013</v>
      </c>
      <c r="H44">
        <f>SUMPRODUCT(Basophilic!$B44:$F44, Basophilic!$B$73:$F$73)</f>
        <v>101225750242.31717</v>
      </c>
      <c r="I44">
        <f>SUMPRODUCT(Basophilic!$B44:$F44, Basophilic!$B$74:$F$74)</f>
        <v>69565886570.697601</v>
      </c>
      <c r="J44">
        <f>SUMPRODUCT(Basophilic!$B44:$F44, Basophilic!$B$75:$F$75)</f>
        <v>19393467.448611435</v>
      </c>
      <c r="K44">
        <f>SUMPRODUCT(Basophilic!$B44:$F44, Basophilic!$B$76:$F$76)</f>
        <v>52725884618.992844</v>
      </c>
      <c r="L44">
        <f>SUMPRODUCT(Basophilic!$B44:$F44, Basophilic!$B$77:$F$77)</f>
        <v>171113083076.42911</v>
      </c>
      <c r="M44">
        <f>SUMPRODUCT(Basophilic!$B44:$F44, Basophilic!$B$78:$F$78)</f>
        <v>242955876778.14557</v>
      </c>
      <c r="N44">
        <f>SUMPRODUCT(Basophilic!$B44:$F44, Basophilic!$B$79:$F$79)</f>
        <v>17161470026.893133</v>
      </c>
      <c r="O44">
        <f>SUMPRODUCT(Basophilic!$B44:$F44, Basophilic!$B$80:$F$80)</f>
        <v>13220066.576383572</v>
      </c>
      <c r="P44">
        <f>SUMPRODUCT(Basophilic!$B44:$F44, Basophilic!$B$81:$F$81)</f>
        <v>345307624851.83057</v>
      </c>
    </row>
    <row r="45" spans="1:16" x14ac:dyDescent="0.25">
      <c r="A45" t="s">
        <v>50</v>
      </c>
      <c r="B45">
        <f>SUMPRODUCT(Basophilic!$B45:$F45, Basophilic!$B$67:$F$67)</f>
        <v>60874428832.906822</v>
      </c>
      <c r="C45">
        <f>SUMPRODUCT(Basophilic!$B45:$F45, Basophilic!$B$68:$F$68)</f>
        <v>3051197090.7148805</v>
      </c>
      <c r="D45">
        <f>SUMPRODUCT(Basophilic!$B45:$F45, Basophilic!$B$69:$F$69)</f>
        <v>405710333.45062894</v>
      </c>
      <c r="E45">
        <f>SUMPRODUCT(Basophilic!$B45:$F45, Basophilic!$B$70:$F$70)</f>
        <v>32883533674.75708</v>
      </c>
      <c r="F45">
        <f>SUMPRODUCT(Basophilic!$B45:$F45, Basophilic!$B$71:$F$71)</f>
        <v>39822490193.813248</v>
      </c>
      <c r="G45">
        <f>SUMPRODUCT(Basophilic!$B45:$F45, Basophilic!$B$72:$F$72)</f>
        <v>447309744834.54022</v>
      </c>
      <c r="H45">
        <f>SUMPRODUCT(Basophilic!$B45:$F45, Basophilic!$B$73:$F$73)</f>
        <v>262241199824.84256</v>
      </c>
      <c r="I45">
        <f>SUMPRODUCT(Basophilic!$B45:$F45, Basophilic!$B$74:$F$74)</f>
        <v>181737730773.37656</v>
      </c>
      <c r="J45">
        <f>SUMPRODUCT(Basophilic!$B45:$F45, Basophilic!$B$75:$F$75)</f>
        <v>40025801.086901888</v>
      </c>
      <c r="K45">
        <f>SUMPRODUCT(Basophilic!$B45:$F45, Basophilic!$B$76:$F$76)</f>
        <v>143145636333.67273</v>
      </c>
      <c r="L45">
        <f>SUMPRODUCT(Basophilic!$B45:$F45, Basophilic!$B$77:$F$77)</f>
        <v>464914169019.18579</v>
      </c>
      <c r="M45">
        <f>SUMPRODUCT(Basophilic!$B45:$F45, Basophilic!$B$78:$F$78)</f>
        <v>659712859399.01978</v>
      </c>
      <c r="N45">
        <f>SUMPRODUCT(Basophilic!$B45:$F45, Basophilic!$B$79:$F$79)</f>
        <v>42604822846.783844</v>
      </c>
      <c r="O45">
        <f>SUMPRODUCT(Basophilic!$B45:$F45, Basophilic!$B$80:$F$80)</f>
        <v>25487953.360801175</v>
      </c>
      <c r="P45">
        <f>SUMPRODUCT(Basophilic!$B45:$F45, Basophilic!$B$81:$F$81)</f>
        <v>937606220262.11365</v>
      </c>
    </row>
    <row r="46" spans="1:16" x14ac:dyDescent="0.25">
      <c r="A46" t="s">
        <v>51</v>
      </c>
      <c r="B46">
        <f>SUMPRODUCT(Basophilic!$B46:$F46, Basophilic!$B$67:$F$67)</f>
        <v>103457122163.15164</v>
      </c>
      <c r="C46">
        <f>SUMPRODUCT(Basophilic!$B46:$F46, Basophilic!$B$68:$F$68)</f>
        <v>4118242700.5830197</v>
      </c>
      <c r="D46">
        <f>SUMPRODUCT(Basophilic!$B46:$F46, Basophilic!$B$69:$F$69)</f>
        <v>841849934.21689546</v>
      </c>
      <c r="E46">
        <f>SUMPRODUCT(Basophilic!$B46:$F46, Basophilic!$B$70:$F$70)</f>
        <v>44379037565.07679</v>
      </c>
      <c r="F46">
        <f>SUMPRODUCT(Basophilic!$B46:$F46, Basophilic!$B$71:$F$71)</f>
        <v>58364402081.11702</v>
      </c>
      <c r="G46">
        <f>SUMPRODUCT(Basophilic!$B46:$F46, Basophilic!$B$72:$F$72)</f>
        <v>624660413901.66492</v>
      </c>
      <c r="H46">
        <f>SUMPRODUCT(Basophilic!$B46:$F46, Basophilic!$B$73:$F$73)</f>
        <v>758042208029.56592</v>
      </c>
      <c r="I46">
        <f>SUMPRODUCT(Basophilic!$B46:$F46, Basophilic!$B$74:$F$74)</f>
        <v>505221848272.24445</v>
      </c>
      <c r="J46">
        <f>SUMPRODUCT(Basophilic!$B46:$F46, Basophilic!$B$75:$F$75)</f>
        <v>68204511.900125161</v>
      </c>
      <c r="K46">
        <f>SUMPRODUCT(Basophilic!$B46:$F46, Basophilic!$B$76:$F$76)</f>
        <v>212754951752.98218</v>
      </c>
      <c r="L46">
        <f>SUMPRODUCT(Basophilic!$B46:$F46, Basophilic!$B$77:$F$77)</f>
        <v>628540519408.08313</v>
      </c>
      <c r="M46">
        <f>SUMPRODUCT(Basophilic!$B46:$F46, Basophilic!$B$78:$F$78)</f>
        <v>1273277179575.3022</v>
      </c>
      <c r="N46">
        <f>SUMPRODUCT(Basophilic!$B46:$F46, Basophilic!$B$79:$F$79)</f>
        <v>110886015932.81726</v>
      </c>
      <c r="O46">
        <f>SUMPRODUCT(Basophilic!$B46:$F46, Basophilic!$B$80:$F$80)</f>
        <v>52840735.038060673</v>
      </c>
      <c r="P46">
        <f>SUMPRODUCT(Basophilic!$B46:$F46, Basophilic!$B$81:$F$81)</f>
        <v>1269571762655.6008</v>
      </c>
    </row>
    <row r="47" spans="1:16" x14ac:dyDescent="0.25">
      <c r="A47" t="s">
        <v>52</v>
      </c>
      <c r="B47">
        <f>SUMPRODUCT(Basophilic!$B47:$F47, Basophilic!$B$67:$F$67)</f>
        <v>28997141055.571445</v>
      </c>
      <c r="C47">
        <f>SUMPRODUCT(Basophilic!$B47:$F47, Basophilic!$B$68:$F$68)</f>
        <v>1473920535.1911991</v>
      </c>
      <c r="D47">
        <f>SUMPRODUCT(Basophilic!$B47:$F47, Basophilic!$B$69:$F$69)</f>
        <v>150920168.53054008</v>
      </c>
      <c r="E47">
        <f>SUMPRODUCT(Basophilic!$B47:$F47, Basophilic!$B$70:$F$70)</f>
        <v>15886828350.745256</v>
      </c>
      <c r="F47">
        <f>SUMPRODUCT(Basophilic!$B47:$F47, Basophilic!$B$71:$F$71)</f>
        <v>20322789785.780285</v>
      </c>
      <c r="G47">
        <f>SUMPRODUCT(Basophilic!$B47:$F47, Basophilic!$B$72:$F$72)</f>
        <v>211863593253.47861</v>
      </c>
      <c r="H47">
        <f>SUMPRODUCT(Basophilic!$B47:$F47, Basophilic!$B$73:$F$73)</f>
        <v>50064215508.977386</v>
      </c>
      <c r="I47">
        <f>SUMPRODUCT(Basophilic!$B47:$F47, Basophilic!$B$74:$F$74)</f>
        <v>39956952432.594688</v>
      </c>
      <c r="J47">
        <f>SUMPRODUCT(Basophilic!$B47:$F47, Basophilic!$B$75:$F$75)</f>
        <v>18939791.822966944</v>
      </c>
      <c r="K47">
        <f>SUMPRODUCT(Basophilic!$B47:$F47, Basophilic!$B$76:$F$76)</f>
        <v>65166711741.108688</v>
      </c>
      <c r="L47">
        <f>SUMPRODUCT(Basophilic!$B47:$F47, Basophilic!$B$77:$F$77)</f>
        <v>224420708288.79428</v>
      </c>
      <c r="M47">
        <f>SUMPRODUCT(Basophilic!$B47:$F47, Basophilic!$B$78:$F$78)</f>
        <v>239881783525.94748</v>
      </c>
      <c r="N47">
        <f>SUMPRODUCT(Basophilic!$B47:$F47, Basophilic!$B$79:$F$79)</f>
        <v>10745970990.360046</v>
      </c>
      <c r="O47">
        <f>SUMPRODUCT(Basophilic!$B47:$F47, Basophilic!$B$80:$F$80)</f>
        <v>9493961.662214078</v>
      </c>
      <c r="P47">
        <f>SUMPRODUCT(Basophilic!$B47:$F47, Basophilic!$B$81:$F$81)</f>
        <v>452459884216.74469</v>
      </c>
    </row>
    <row r="48" spans="1:16" x14ac:dyDescent="0.25">
      <c r="A48" t="s">
        <v>53</v>
      </c>
      <c r="B48">
        <f>SUMPRODUCT(Basophilic!$B48:$F48, Basophilic!$B$67:$F$67)</f>
        <v>141657451821.28241</v>
      </c>
      <c r="C48">
        <f>SUMPRODUCT(Basophilic!$B48:$F48, Basophilic!$B$68:$F$68)</f>
        <v>7266863378.191061</v>
      </c>
      <c r="D48">
        <f>SUMPRODUCT(Basophilic!$B48:$F48, Basophilic!$B$69:$F$69)</f>
        <v>664833302.33748865</v>
      </c>
      <c r="E48">
        <f>SUMPRODUCT(Basophilic!$B48:$F48, Basophilic!$B$70:$F$70)</f>
        <v>78327805405.081512</v>
      </c>
      <c r="F48">
        <f>SUMPRODUCT(Basophilic!$B48:$F48, Basophilic!$B$71:$F$71)</f>
        <v>105362207884.16168</v>
      </c>
      <c r="G48">
        <f>SUMPRODUCT(Basophilic!$B48:$F48, Basophilic!$B$72:$F$72)</f>
        <v>1059725280892.9818</v>
      </c>
      <c r="H48">
        <f>SUMPRODUCT(Basophilic!$B48:$F48, Basophilic!$B$73:$F$73)</f>
        <v>550434231329.77832</v>
      </c>
      <c r="I48">
        <f>SUMPRODUCT(Basophilic!$B48:$F48, Basophilic!$B$74:$F$74)</f>
        <v>403413838545.21014</v>
      </c>
      <c r="J48">
        <f>SUMPRODUCT(Basophilic!$B48:$F48, Basophilic!$B$75:$F$75)</f>
        <v>89612233.66230838</v>
      </c>
      <c r="K48">
        <f>SUMPRODUCT(Basophilic!$B48:$F48, Basophilic!$B$76:$F$76)</f>
        <v>335441051347.47192</v>
      </c>
      <c r="L48">
        <f>SUMPRODUCT(Basophilic!$B48:$F48, Basophilic!$B$77:$F$77)</f>
        <v>1107416518366.7917</v>
      </c>
      <c r="M48">
        <f>SUMPRODUCT(Basophilic!$B48:$F48, Basophilic!$B$78:$F$78)</f>
        <v>1459393194001.6309</v>
      </c>
      <c r="N48">
        <f>SUMPRODUCT(Basophilic!$B48:$F48, Basophilic!$B$79:$F$79)</f>
        <v>89400485829.244614</v>
      </c>
      <c r="O48">
        <f>SUMPRODUCT(Basophilic!$B48:$F48, Basophilic!$B$80:$F$80)</f>
        <v>41842510.684734233</v>
      </c>
      <c r="P48">
        <f>SUMPRODUCT(Basophilic!$B48:$F48, Basophilic!$B$81:$F$81)</f>
        <v>2234398631315.8994</v>
      </c>
    </row>
    <row r="49" spans="1:16" x14ac:dyDescent="0.25">
      <c r="A49" t="s">
        <v>54</v>
      </c>
      <c r="B49">
        <f>SUMPRODUCT(Basophilic!$B49:$F49, Basophilic!$B$67:$F$67)</f>
        <v>172091488204.31769</v>
      </c>
      <c r="C49">
        <f>SUMPRODUCT(Basophilic!$B49:$F49, Basophilic!$B$68:$F$68)</f>
        <v>9251461850.2966652</v>
      </c>
      <c r="D49">
        <f>SUMPRODUCT(Basophilic!$B49:$F49, Basophilic!$B$69:$F$69)</f>
        <v>660355028.07852173</v>
      </c>
      <c r="E49">
        <f>SUMPRODUCT(Basophilic!$B49:$F49, Basophilic!$B$70:$F$70)</f>
        <v>287488775211.36548</v>
      </c>
      <c r="F49">
        <f>SUMPRODUCT(Basophilic!$B49:$F49, Basophilic!$B$71:$F$71)</f>
        <v>314988822869.3324</v>
      </c>
      <c r="G49">
        <f>SUMPRODUCT(Basophilic!$B49:$F49, Basophilic!$B$72:$F$72)</f>
        <v>1351001606003.6255</v>
      </c>
      <c r="H49">
        <f>SUMPRODUCT(Basophilic!$B49:$F49, Basophilic!$B$73:$F$73)</f>
        <v>17187597352265.98</v>
      </c>
      <c r="I49">
        <f>SUMPRODUCT(Basophilic!$B49:$F49, Basophilic!$B$74:$F$74)</f>
        <v>11079929023172.828</v>
      </c>
      <c r="J49">
        <f>SUMPRODUCT(Basophilic!$B49:$F49, Basophilic!$B$75:$F$75)</f>
        <v>314408429.16175103</v>
      </c>
      <c r="K49">
        <f>SUMPRODUCT(Basophilic!$B49:$F49, Basophilic!$B$76:$F$76)</f>
        <v>421938348206.63641</v>
      </c>
      <c r="L49">
        <f>SUMPRODUCT(Basophilic!$B49:$F49, Basophilic!$B$77:$F$77)</f>
        <v>1408783068560.9622</v>
      </c>
      <c r="M49">
        <f>SUMPRODUCT(Basophilic!$B49:$F49, Basophilic!$B$78:$F$78)</f>
        <v>1995313058390.4829</v>
      </c>
      <c r="N49">
        <f>SUMPRODUCT(Basophilic!$B49:$F49, Basophilic!$B$79:$F$79)</f>
        <v>374680398140.19318</v>
      </c>
      <c r="O49">
        <f>SUMPRODUCT(Basophilic!$B49:$F49, Basophilic!$B$80:$F$80)</f>
        <v>41537891.526398465</v>
      </c>
      <c r="P49">
        <f>SUMPRODUCT(Basophilic!$B49:$F49, Basophilic!$B$81:$F$81)</f>
        <v>2852437916549.3452</v>
      </c>
    </row>
    <row r="50" spans="1:16" x14ac:dyDescent="0.25">
      <c r="A50" t="s">
        <v>55</v>
      </c>
      <c r="B50">
        <f>SUMPRODUCT(Basophilic!$B50:$F50, Basophilic!$B$67:$F$67)</f>
        <v>614768952172.47742</v>
      </c>
      <c r="C50">
        <f>SUMPRODUCT(Basophilic!$B50:$F50, Basophilic!$B$68:$F$68)</f>
        <v>20727089095.117527</v>
      </c>
      <c r="D50">
        <f>SUMPRODUCT(Basophilic!$B50:$F50, Basophilic!$B$69:$F$69)</f>
        <v>1134625359.3671377</v>
      </c>
      <c r="E50">
        <f>SUMPRODUCT(Basophilic!$B50:$F50, Basophilic!$B$70:$F$70)</f>
        <v>1179504770152.3484</v>
      </c>
      <c r="F50">
        <f>SUMPRODUCT(Basophilic!$B50:$F50, Basophilic!$B$71:$F$71)</f>
        <v>1468788262951.1519</v>
      </c>
      <c r="G50">
        <f>SUMPRODUCT(Basophilic!$B50:$F50, Basophilic!$B$72:$F$72)</f>
        <v>3541465749869.3159</v>
      </c>
      <c r="H50">
        <f>SUMPRODUCT(Basophilic!$B50:$F50, Basophilic!$B$73:$F$73)</f>
        <v>95833928027084.672</v>
      </c>
      <c r="I50">
        <f>SUMPRODUCT(Basophilic!$B50:$F50, Basophilic!$B$74:$F$74)</f>
        <v>61940141937443.836</v>
      </c>
      <c r="J50">
        <f>SUMPRODUCT(Basophilic!$B50:$F50, Basophilic!$B$75:$F$75)</f>
        <v>1363329783.1405547</v>
      </c>
      <c r="K50">
        <f>SUMPRODUCT(Basophilic!$B50:$F50, Basophilic!$B$76:$F$76)</f>
        <v>1404052981130.0586</v>
      </c>
      <c r="L50">
        <f>SUMPRODUCT(Basophilic!$B50:$F50, Basophilic!$B$77:$F$77)</f>
        <v>3185818734539.7627</v>
      </c>
      <c r="M50">
        <f>SUMPRODUCT(Basophilic!$B50:$F50, Basophilic!$B$78:$F$78)</f>
        <v>14084805327627.447</v>
      </c>
      <c r="N50">
        <f>SUMPRODUCT(Basophilic!$B50:$F50, Basophilic!$B$79:$F$79)</f>
        <v>2863285724217.6016</v>
      </c>
      <c r="O50">
        <f>SUMPRODUCT(Basophilic!$B50:$F50, Basophilic!$B$80:$F$80)</f>
        <v>71495687.787354097</v>
      </c>
      <c r="P50">
        <f>SUMPRODUCT(Basophilic!$B50:$F50, Basophilic!$B$81:$F$81)</f>
        <v>6545415810090.8779</v>
      </c>
    </row>
    <row r="51" spans="1:16" x14ac:dyDescent="0.25">
      <c r="A51" t="s">
        <v>56</v>
      </c>
      <c r="B51">
        <f>SUMPRODUCT(Basophilic!$B51:$F51, Basophilic!$B$67:$F$67)</f>
        <v>29218985040.230476</v>
      </c>
      <c r="C51">
        <f>SUMPRODUCT(Basophilic!$B51:$F51, Basophilic!$B$68:$F$68)</f>
        <v>2345451749.0689187</v>
      </c>
      <c r="D51">
        <f>SUMPRODUCT(Basophilic!$B51:$F51, Basophilic!$B$69:$F$69)</f>
        <v>55505171.923180372</v>
      </c>
      <c r="E51">
        <f>SUMPRODUCT(Basophilic!$B51:$F51, Basophilic!$B$70:$F$70)</f>
        <v>25279151079.270878</v>
      </c>
      <c r="F51">
        <f>SUMPRODUCT(Basophilic!$B51:$F51, Basophilic!$B$71:$F$71)</f>
        <v>31773545520.019073</v>
      </c>
      <c r="G51">
        <f>SUMPRODUCT(Basophilic!$B51:$F51, Basophilic!$B$72:$F$72)</f>
        <v>353485324899.85486</v>
      </c>
      <c r="H51">
        <f>SUMPRODUCT(Basophilic!$B51:$F51, Basophilic!$B$73:$F$73)</f>
        <v>393235436394.87793</v>
      </c>
      <c r="I51">
        <f>SUMPRODUCT(Basophilic!$B51:$F51, Basophilic!$B$74:$F$74)</f>
        <v>274665077096.08624</v>
      </c>
      <c r="J51">
        <f>SUMPRODUCT(Basophilic!$B51:$F51, Basophilic!$B$75:$F$75)</f>
        <v>15610976.398806429</v>
      </c>
      <c r="K51">
        <f>SUMPRODUCT(Basophilic!$B51:$F51, Basophilic!$B$76:$F$76)</f>
        <v>119073119981.06505</v>
      </c>
      <c r="L51">
        <f>SUMPRODUCT(Basophilic!$B51:$F51, Basophilic!$B$77:$F$77)</f>
        <v>358036391023.01953</v>
      </c>
      <c r="M51">
        <f>SUMPRODUCT(Basophilic!$B51:$F51, Basophilic!$B$78:$F$78)</f>
        <v>684924121043.03223</v>
      </c>
      <c r="N51">
        <f>SUMPRODUCT(Basophilic!$B51:$F51, Basophilic!$B$79:$F$79)</f>
        <v>52956121409.220154</v>
      </c>
      <c r="O51">
        <f>SUMPRODUCT(Basophilic!$B51:$F51, Basophilic!$B$80:$F$80)</f>
        <v>3519439.0244566253</v>
      </c>
      <c r="P51">
        <f>SUMPRODUCT(Basophilic!$B51:$F51, Basophilic!$B$81:$F$81)</f>
        <v>722898387159.21545</v>
      </c>
    </row>
    <row r="52" spans="1:16" x14ac:dyDescent="0.25">
      <c r="A52" t="s">
        <v>57</v>
      </c>
      <c r="B52">
        <f>SUMPRODUCT(Basophilic!$B52:$F52, Basophilic!$B$67:$F$67)</f>
        <v>115974191102.53906</v>
      </c>
      <c r="C52">
        <f>SUMPRODUCT(Basophilic!$B52:$F52, Basophilic!$B$68:$F$68)</f>
        <v>9469583068.2812691</v>
      </c>
      <c r="D52">
        <f>SUMPRODUCT(Basophilic!$B52:$F52, Basophilic!$B$69:$F$69)</f>
        <v>224287758.91717649</v>
      </c>
      <c r="E52">
        <f>SUMPRODUCT(Basophilic!$B52:$F52, Basophilic!$B$70:$F$70)</f>
        <v>102061045000.75226</v>
      </c>
      <c r="F52">
        <f>SUMPRODUCT(Basophilic!$B52:$F52, Basophilic!$B$71:$F$71)</f>
        <v>128118216720.11377</v>
      </c>
      <c r="G52">
        <f>SUMPRODUCT(Basophilic!$B52:$F52, Basophilic!$B$72:$F$72)</f>
        <v>1434656358344.9814</v>
      </c>
      <c r="H52">
        <f>SUMPRODUCT(Basophilic!$B52:$F52, Basophilic!$B$73:$F$73)</f>
        <v>1729789650309.6772</v>
      </c>
      <c r="I52">
        <f>SUMPRODUCT(Basophilic!$B52:$F52, Basophilic!$B$74:$F$74)</f>
        <v>1202025582022.3274</v>
      </c>
      <c r="J52">
        <f>SUMPRODUCT(Basophilic!$B52:$F52, Basophilic!$B$75:$F$75)</f>
        <v>60968614.352550894</v>
      </c>
      <c r="K52">
        <f>SUMPRODUCT(Basophilic!$B52:$F52, Basophilic!$B$76:$F$76)</f>
        <v>487785081911.28949</v>
      </c>
      <c r="L52">
        <f>SUMPRODUCT(Basophilic!$B52:$F52, Basophilic!$B$77:$F$77)</f>
        <v>1445922237013.0149</v>
      </c>
      <c r="M52">
        <f>SUMPRODUCT(Basophilic!$B52:$F52, Basophilic!$B$78:$F$78)</f>
        <v>2903974659156.8311</v>
      </c>
      <c r="N52">
        <f>SUMPRODUCT(Basophilic!$B52:$F52, Basophilic!$B$79:$F$79)</f>
        <v>231132558420.77545</v>
      </c>
      <c r="O52">
        <f>SUMPRODUCT(Basophilic!$B52:$F52, Basophilic!$B$80:$F$80)</f>
        <v>14215012.691578399</v>
      </c>
      <c r="P52">
        <f>SUMPRODUCT(Basophilic!$B52:$F52, Basophilic!$B$81:$F$81)</f>
        <v>2919891661106.2075</v>
      </c>
    </row>
    <row r="53" spans="1:16" x14ac:dyDescent="0.25">
      <c r="A53" t="s">
        <v>58</v>
      </c>
      <c r="B53">
        <f>SUMPRODUCT(Basophilic!$B53:$F53, Basophilic!$B$67:$F$67)</f>
        <v>2713592171.5681429</v>
      </c>
      <c r="C53">
        <f>SUMPRODUCT(Basophilic!$B53:$F53, Basophilic!$B$68:$F$68)</f>
        <v>767667066.11590803</v>
      </c>
      <c r="D53">
        <f>SUMPRODUCT(Basophilic!$B53:$F53, Basophilic!$B$69:$F$69)</f>
        <v>4434825.6514120828</v>
      </c>
      <c r="E53">
        <f>SUMPRODUCT(Basophilic!$B53:$F53, Basophilic!$B$70:$F$70)</f>
        <v>8271735973.4670486</v>
      </c>
      <c r="F53">
        <f>SUMPRODUCT(Basophilic!$B53:$F53, Basophilic!$B$71:$F$71)</f>
        <v>5821183444.1548347</v>
      </c>
      <c r="G53">
        <f>SUMPRODUCT(Basophilic!$B53:$F53, Basophilic!$B$72:$F$72)</f>
        <v>112587334417.59938</v>
      </c>
      <c r="H53">
        <f>SUMPRODUCT(Basophilic!$B53:$F53, Basophilic!$B$73:$F$73)</f>
        <v>58228727354.099709</v>
      </c>
      <c r="I53">
        <f>SUMPRODUCT(Basophilic!$B53:$F53, Basophilic!$B$74:$F$74)</f>
        <v>39921632894.238525</v>
      </c>
      <c r="J53">
        <f>SUMPRODUCT(Basophilic!$B53:$F53, Basophilic!$B$75:$F$75)</f>
        <v>1308697.4517197136</v>
      </c>
      <c r="K53">
        <f>SUMPRODUCT(Basophilic!$B53:$F53, Basophilic!$B$76:$F$76)</f>
        <v>36148829969.256126</v>
      </c>
      <c r="L53">
        <f>SUMPRODUCT(Basophilic!$B53:$F53, Basophilic!$B$77:$F$77)</f>
        <v>116909635802.99261</v>
      </c>
      <c r="M53">
        <f>SUMPRODUCT(Basophilic!$B53:$F53, Basophilic!$B$78:$F$78)</f>
        <v>170402471826.75098</v>
      </c>
      <c r="N53">
        <f>SUMPRODUCT(Basophilic!$B53:$F53, Basophilic!$B$79:$F$79)</f>
        <v>8211525534.4129591</v>
      </c>
      <c r="O53">
        <f>SUMPRODUCT(Basophilic!$B53:$F53, Basophilic!$B$80:$F$80)</f>
        <v>281591.90918515273</v>
      </c>
      <c r="P53">
        <f>SUMPRODUCT(Basophilic!$B53:$F53, Basophilic!$B$81:$F$81)</f>
        <v>235241678450.65387</v>
      </c>
    </row>
    <row r="54" spans="1:16" x14ac:dyDescent="0.25">
      <c r="A54" t="s">
        <v>59</v>
      </c>
      <c r="B54">
        <f>SUMPRODUCT(Basophilic!$B54:$F54, Basophilic!$B$67:$F$67)</f>
        <v>9496722748.5108757</v>
      </c>
      <c r="C54">
        <f>SUMPRODUCT(Basophilic!$B54:$F54, Basophilic!$B$68:$F$68)</f>
        <v>2146724791.0321836</v>
      </c>
      <c r="D54">
        <f>SUMPRODUCT(Basophilic!$B54:$F54, Basophilic!$B$69:$F$69)</f>
        <v>11806680.086117638</v>
      </c>
      <c r="E54">
        <f>SUMPRODUCT(Basophilic!$B54:$F54, Basophilic!$B$70:$F$70)</f>
        <v>23131195554.226418</v>
      </c>
      <c r="F54">
        <f>SUMPRODUCT(Basophilic!$B54:$F54, Basophilic!$B$71:$F$71)</f>
        <v>19321827101.282051</v>
      </c>
      <c r="G54">
        <f>SUMPRODUCT(Basophilic!$B54:$F54, Basophilic!$B$72:$F$72)</f>
        <v>325381978320.80774</v>
      </c>
      <c r="H54">
        <f>SUMPRODUCT(Basophilic!$B54:$F54, Basophilic!$B$73:$F$73)</f>
        <v>371231703109.42676</v>
      </c>
      <c r="I54">
        <f>SUMPRODUCT(Basophilic!$B54:$F54, Basophilic!$B$74:$F$74)</f>
        <v>251151247340.61786</v>
      </c>
      <c r="J54">
        <f>SUMPRODUCT(Basophilic!$B54:$F54, Basophilic!$B$75:$F$75)</f>
        <v>3483719.4847951094</v>
      </c>
      <c r="K54">
        <f>SUMPRODUCT(Basophilic!$B54:$F54, Basophilic!$B$76:$F$76)</f>
        <v>110925241070.58896</v>
      </c>
      <c r="L54">
        <f>SUMPRODUCT(Basophilic!$B54:$F54, Basophilic!$B$77:$F$77)</f>
        <v>327550143327.58252</v>
      </c>
      <c r="M54">
        <f>SUMPRODUCT(Basophilic!$B54:$F54, Basophilic!$B$78:$F$78)</f>
        <v>669054990375.58887</v>
      </c>
      <c r="N54">
        <f>SUMPRODUCT(Basophilic!$B54:$F54, Basophilic!$B$79:$F$79)</f>
        <v>48606899875.474609</v>
      </c>
      <c r="O54">
        <f>SUMPRODUCT(Basophilic!$B54:$F54, Basophilic!$B$80:$F$80)</f>
        <v>749849.97224412858</v>
      </c>
      <c r="P54">
        <f>SUMPRODUCT(Basophilic!$B54:$F54, Basophilic!$B$81:$F$81)</f>
        <v>660197231204.8999</v>
      </c>
    </row>
    <row r="55" spans="1:16" x14ac:dyDescent="0.25">
      <c r="A55" t="s">
        <v>60</v>
      </c>
      <c r="B55">
        <f>SUMPRODUCT(Basophilic!$B55:$F55, Basophilic!$B$67:$F$67)</f>
        <v>89097124.579921469</v>
      </c>
      <c r="C55">
        <f>SUMPRODUCT(Basophilic!$B55:$F55, Basophilic!$B$68:$F$68)</f>
        <v>49691715.303432092</v>
      </c>
      <c r="D55">
        <f>SUMPRODUCT(Basophilic!$B55:$F55, Basophilic!$B$69:$F$69)</f>
        <v>172558.90585864571</v>
      </c>
      <c r="E55">
        <f>SUMPRODUCT(Basophilic!$B55:$F55, Basophilic!$B$70:$F$70)</f>
        <v>535422575.25423461</v>
      </c>
      <c r="F55">
        <f>SUMPRODUCT(Basophilic!$B55:$F55, Basophilic!$B$71:$F$71)</f>
        <v>298418358.66598713</v>
      </c>
      <c r="G55">
        <f>SUMPRODUCT(Basophilic!$B55:$F55, Basophilic!$B$72:$F$72)</f>
        <v>7138312160.6903248</v>
      </c>
      <c r="H55">
        <f>SUMPRODUCT(Basophilic!$B55:$F55, Basophilic!$B$73:$F$73)</f>
        <v>726090908.79755449</v>
      </c>
      <c r="I55">
        <f>SUMPRODUCT(Basophilic!$B55:$F55, Basophilic!$B$74:$F$74)</f>
        <v>519875425.59804457</v>
      </c>
      <c r="J55">
        <f>SUMPRODUCT(Basophilic!$B55:$F55, Basophilic!$B$75:$F$75)</f>
        <v>50896.312036838332</v>
      </c>
      <c r="K55">
        <f>SUMPRODUCT(Basophilic!$B55:$F55, Basophilic!$B$76:$F$76)</f>
        <v>2201089605.3332405</v>
      </c>
      <c r="L55">
        <f>SUMPRODUCT(Basophilic!$B55:$F55, Basophilic!$B$77:$F$77)</f>
        <v>7557953814.2977629</v>
      </c>
      <c r="M55">
        <f>SUMPRODUCT(Basophilic!$B55:$F55, Basophilic!$B$78:$F$78)</f>
        <v>8327013841.4089613</v>
      </c>
      <c r="N55">
        <f>SUMPRODUCT(Basophilic!$B55:$F55, Basophilic!$B$79:$F$79)</f>
        <v>152861791.29391807</v>
      </c>
      <c r="O55">
        <f>SUMPRODUCT(Basophilic!$B55:$F55, Basophilic!$B$80:$F$80)</f>
        <v>10961.788414397843</v>
      </c>
      <c r="P55">
        <f>SUMPRODUCT(Basophilic!$B55:$F55, Basophilic!$B$81:$F$81)</f>
        <v>15187491063.066116</v>
      </c>
    </row>
    <row r="56" spans="1:16" x14ac:dyDescent="0.25">
      <c r="A56" t="s">
        <v>61</v>
      </c>
      <c r="B56">
        <f>SUMPRODUCT(Basophilic!$B56:$F56, Basophilic!$B$67:$F$67)</f>
        <v>2286832727.473105</v>
      </c>
      <c r="C56">
        <f>SUMPRODUCT(Basophilic!$B56:$F56, Basophilic!$B$68:$F$68)</f>
        <v>125333661.41173178</v>
      </c>
      <c r="D56">
        <f>SUMPRODUCT(Basophilic!$B56:$F56, Basophilic!$B$69:$F$69)</f>
        <v>25057153.231815509</v>
      </c>
      <c r="E56">
        <f>SUMPRODUCT(Basophilic!$B56:$F56, Basophilic!$B$70:$F$70)</f>
        <v>1350411699.935642</v>
      </c>
      <c r="F56">
        <f>SUMPRODUCT(Basophilic!$B56:$F56, Basophilic!$B$71:$F$71)</f>
        <v>1040536357.6510729</v>
      </c>
      <c r="G56">
        <f>SUMPRODUCT(Basophilic!$B56:$F56, Basophilic!$B$72:$F$72)</f>
        <v>17960089649.027145</v>
      </c>
      <c r="H56">
        <f>SUMPRODUCT(Basophilic!$B56:$F56, Basophilic!$B$73:$F$73)</f>
        <v>1219961319.8846314</v>
      </c>
      <c r="I56">
        <f>SUMPRODUCT(Basophilic!$B56:$F56, Basophilic!$B$74:$F$74)</f>
        <v>387786367.68241787</v>
      </c>
      <c r="J56">
        <f>SUMPRODUCT(Basophilic!$B56:$F56, Basophilic!$B$75:$F$75)</f>
        <v>1694580.1090604349</v>
      </c>
      <c r="K56">
        <f>SUMPRODUCT(Basophilic!$B56:$F56, Basophilic!$B$76:$F$76)</f>
        <v>5503329857.0892515</v>
      </c>
      <c r="L56">
        <f>SUMPRODUCT(Basophilic!$B56:$F56, Basophilic!$B$77:$F$77)</f>
        <v>19055550258.303864</v>
      </c>
      <c r="M56">
        <f>SUMPRODUCT(Basophilic!$B56:$F56, Basophilic!$B$78:$F$78)</f>
        <v>19909291038.187603</v>
      </c>
      <c r="N56">
        <f>SUMPRODUCT(Basophilic!$B56:$F56, Basophilic!$B$79:$F$79)</f>
        <v>645723891.72781694</v>
      </c>
      <c r="O56">
        <f>SUMPRODUCT(Basophilic!$B56:$F56, Basophilic!$B$80:$F$80)</f>
        <v>1571712.988332642</v>
      </c>
      <c r="P56">
        <f>SUMPRODUCT(Basophilic!$B56:$F56, Basophilic!$B$81:$F$81)</f>
        <v>38322959059.619858</v>
      </c>
    </row>
    <row r="57" spans="1:16" x14ac:dyDescent="0.25">
      <c r="A57" t="s">
        <v>62</v>
      </c>
      <c r="B57">
        <f>SUMPRODUCT(Basophilic!$B57:$F57, Basophilic!$B$67:$F$67)</f>
        <v>108365.00062715517</v>
      </c>
      <c r="C57">
        <f>SUMPRODUCT(Basophilic!$B57:$F57, Basophilic!$B$68:$F$68)</f>
        <v>762616397.64857519</v>
      </c>
      <c r="D57">
        <f>SUMPRODUCT(Basophilic!$B57:$F57, Basophilic!$B$69:$F$69)</f>
        <v>2863.0053111413049</v>
      </c>
      <c r="E57">
        <f>SUMPRODUCT(Basophilic!$B57:$F57, Basophilic!$B$70:$F$70)</f>
        <v>8216589871.9402294</v>
      </c>
      <c r="F57">
        <f>SUMPRODUCT(Basophilic!$B57:$F57, Basophilic!$B$71:$F$71)</f>
        <v>3693041117.5177784</v>
      </c>
      <c r="G57">
        <f>SUMPRODUCT(Basophilic!$B57:$F57, Basophilic!$B$72:$F$72)</f>
        <v>109125342984.436</v>
      </c>
      <c r="H57">
        <f>SUMPRODUCT(Basophilic!$B57:$F57, Basophilic!$B$73:$F$73)</f>
        <v>839814999.06996715</v>
      </c>
      <c r="I57">
        <f>SUMPRODUCT(Basophilic!$B57:$F57, Basophilic!$B$74:$F$74)</f>
        <v>494210356.72578186</v>
      </c>
      <c r="J57">
        <f>SUMPRODUCT(Basophilic!$B57:$F57, Basophilic!$B$75:$F$75)</f>
        <v>276.29882098067435</v>
      </c>
      <c r="K57">
        <f>SUMPRODUCT(Basophilic!$B57:$F57, Basophilic!$B$76:$F$76)</f>
        <v>33398500826.301674</v>
      </c>
      <c r="L57">
        <f>SUMPRODUCT(Basophilic!$B57:$F57, Basophilic!$B$77:$F$77)</f>
        <v>115947125196.74611</v>
      </c>
      <c r="M57">
        <f>SUMPRODUCT(Basophilic!$B57:$F57, Basophilic!$B$78:$F$78)</f>
        <v>120636928678.92683</v>
      </c>
      <c r="N57">
        <f>SUMPRODUCT(Basophilic!$B57:$F57, Basophilic!$B$79:$F$79)</f>
        <v>988393241.85954845</v>
      </c>
      <c r="O57">
        <f>SUMPRODUCT(Basophilic!$B57:$F57, Basophilic!$B$80:$F$80)</f>
        <v>418.95757462686572</v>
      </c>
      <c r="P57">
        <f>SUMPRODUCT(Basophilic!$B57:$F57, Basophilic!$B$81:$F$81)</f>
        <v>232847659777.95404</v>
      </c>
    </row>
    <row r="58" spans="1:16" x14ac:dyDescent="0.25">
      <c r="A58" t="s">
        <v>63</v>
      </c>
      <c r="B58">
        <f>SUMPRODUCT(Basophilic!$B58:$F58, Basophilic!$B$67:$F$67)</f>
        <v>160265.62298119121</v>
      </c>
      <c r="C58">
        <f>SUMPRODUCT(Basophilic!$B58:$F58, Basophilic!$B$68:$F$68)</f>
        <v>2266269683.6782026</v>
      </c>
      <c r="D58">
        <f>SUMPRODUCT(Basophilic!$B58:$F58, Basophilic!$B$69:$F$69)</f>
        <v>7497.8632193675894</v>
      </c>
      <c r="E58">
        <f>SUMPRODUCT(Basophilic!$B58:$F58, Basophilic!$B$70:$F$70)</f>
        <v>24417213342.315857</v>
      </c>
      <c r="F58">
        <f>SUMPRODUCT(Basophilic!$B58:$F58, Basophilic!$B$71:$F$71)</f>
        <v>10974504038.629305</v>
      </c>
      <c r="G58">
        <f>SUMPRODUCT(Basophilic!$B58:$F58, Basophilic!$B$72:$F$72)</f>
        <v>324288130220.49017</v>
      </c>
      <c r="H58">
        <f>SUMPRODUCT(Basophilic!$B58:$F58, Basophilic!$B$73:$F$73)</f>
        <v>2490526879.4957695</v>
      </c>
      <c r="I58">
        <f>SUMPRODUCT(Basophilic!$B58:$F58, Basophilic!$B$74:$F$74)</f>
        <v>1465310386.4644234</v>
      </c>
      <c r="J58">
        <f>SUMPRODUCT(Basophilic!$B58:$F58, Basophilic!$B$75:$F$75)</f>
        <v>654.09417023026322</v>
      </c>
      <c r="K58">
        <f>SUMPRODUCT(Basophilic!$B58:$F58, Basophilic!$B$76:$F$76)</f>
        <v>99250425937.830017</v>
      </c>
      <c r="L58">
        <f>SUMPRODUCT(Basophilic!$B58:$F58, Basophilic!$B$77:$F$77)</f>
        <v>344560455693.05902</v>
      </c>
      <c r="M58">
        <f>SUMPRODUCT(Basophilic!$B58:$F58, Basophilic!$B$78:$F$78)</f>
        <v>358496924557.82233</v>
      </c>
      <c r="N58">
        <f>SUMPRODUCT(Basophilic!$B58:$F58, Basophilic!$B$79:$F$79)</f>
        <v>2937068094.8737226</v>
      </c>
      <c r="O58">
        <f>SUMPRODUCT(Basophilic!$B58:$F58, Basophilic!$B$80:$F$80)</f>
        <v>1181.5593487109907</v>
      </c>
      <c r="P58">
        <f>SUMPRODUCT(Basophilic!$B58:$F58, Basophilic!$B$81:$F$81)</f>
        <v>691954148840.3949</v>
      </c>
    </row>
    <row r="59" spans="1:16" x14ac:dyDescent="0.25">
      <c r="A59" t="s">
        <v>64</v>
      </c>
      <c r="B59">
        <f>SUMPRODUCT(Basophilic!$B59:$F59, Basophilic!$B$67:$F$67)</f>
        <v>127981.23492975734</v>
      </c>
      <c r="C59">
        <f>SUMPRODUCT(Basophilic!$B59:$F59, Basophilic!$B$68:$F$68)</f>
        <v>706313408.51624668</v>
      </c>
      <c r="D59">
        <f>SUMPRODUCT(Basophilic!$B59:$F59, Basophilic!$B$69:$F$69)</f>
        <v>2824.0874025764892</v>
      </c>
      <c r="E59">
        <f>SUMPRODUCT(Basophilic!$B59:$F59, Basophilic!$B$70:$F$70)</f>
        <v>7609978829.588788</v>
      </c>
      <c r="F59">
        <f>SUMPRODUCT(Basophilic!$B59:$F59, Basophilic!$B$71:$F$71)</f>
        <v>3420408870.1572018</v>
      </c>
      <c r="G59">
        <f>SUMPRODUCT(Basophilic!$B59:$F59, Basophilic!$B$72:$F$72)</f>
        <v>101068761503.36177</v>
      </c>
      <c r="H59">
        <f>SUMPRODUCT(Basophilic!$B59:$F59, Basophilic!$B$73:$F$73)</f>
        <v>778692467.91689348</v>
      </c>
      <c r="I59">
        <f>SUMPRODUCT(Basophilic!$B59:$F59, Basophilic!$B$74:$F$74)</f>
        <v>458293002.7106865</v>
      </c>
      <c r="J59">
        <f>SUMPRODUCT(Basophilic!$B59:$F59, Basophilic!$B$75:$F$75)</f>
        <v>284.40805293615983</v>
      </c>
      <c r="K59">
        <f>SUMPRODUCT(Basophilic!$B59:$F59, Basophilic!$B$76:$F$76)</f>
        <v>30932734110.82196</v>
      </c>
      <c r="L59">
        <f>SUMPRODUCT(Basophilic!$B59:$F59, Basophilic!$B$77:$F$77)</f>
        <v>107386898146.07956</v>
      </c>
      <c r="M59">
        <f>SUMPRODUCT(Basophilic!$B59:$F59, Basophilic!$B$78:$F$78)</f>
        <v>111730499705.52823</v>
      </c>
      <c r="N59">
        <f>SUMPRODUCT(Basophilic!$B59:$F59, Basophilic!$B$79:$F$79)</f>
        <v>915445917.81245947</v>
      </c>
      <c r="O59">
        <f>SUMPRODUCT(Basophilic!$B59:$F59, Basophilic!$B$80:$F$80)</f>
        <v>398.86026755113323</v>
      </c>
      <c r="P59">
        <f>SUMPRODUCT(Basophilic!$B59:$F59, Basophilic!$B$81:$F$81)</f>
        <v>215656818800.30124</v>
      </c>
    </row>
    <row r="60" spans="1:16" x14ac:dyDescent="0.25">
      <c r="A60" t="s">
        <v>65</v>
      </c>
      <c r="B60">
        <f>SUMPRODUCT(Basophilic!$B60:$F60, Basophilic!$B$67:$F$67)</f>
        <v>116816.14798129749</v>
      </c>
      <c r="C60">
        <f>SUMPRODUCT(Basophilic!$B60:$F60, Basophilic!$B$68:$F$68)</f>
        <v>506756084.50968093</v>
      </c>
      <c r="D60">
        <f>SUMPRODUCT(Basophilic!$B60:$F60, Basophilic!$B$69:$F$69)</f>
        <v>2182.2637067059691</v>
      </c>
      <c r="E60">
        <f>SUMPRODUCT(Basophilic!$B60:$F60, Basophilic!$B$70:$F$70)</f>
        <v>5459911890.942234</v>
      </c>
      <c r="F60">
        <f>SUMPRODUCT(Basophilic!$B60:$F60, Basophilic!$B$71:$F$71)</f>
        <v>2454046490.5175071</v>
      </c>
      <c r="G60">
        <f>SUMPRODUCT(Basophilic!$B60:$F60, Basophilic!$B$72:$F$72)</f>
        <v>72513434945.310883</v>
      </c>
      <c r="H60">
        <f>SUMPRODUCT(Basophilic!$B60:$F60, Basophilic!$B$73:$F$73)</f>
        <v>559481986.47523403</v>
      </c>
      <c r="I60">
        <f>SUMPRODUCT(Basophilic!$B60:$F60, Basophilic!$B$74:$F$74)</f>
        <v>329325266.24888694</v>
      </c>
      <c r="J60">
        <f>SUMPRODUCT(Basophilic!$B60:$F60, Basophilic!$B$75:$F$75)</f>
        <v>229.85380759366637</v>
      </c>
      <c r="K60">
        <f>SUMPRODUCT(Basophilic!$B60:$F60, Basophilic!$B$76:$F$76)</f>
        <v>22193196562.692474</v>
      </c>
      <c r="L60">
        <f>SUMPRODUCT(Basophilic!$B60:$F60, Basophilic!$B$77:$F$77)</f>
        <v>77046483267.784134</v>
      </c>
      <c r="M60">
        <f>SUMPRODUCT(Basophilic!$B60:$F60, Basophilic!$B$78:$F$78)</f>
        <v>80162907532.488525</v>
      </c>
      <c r="N60">
        <f>SUMPRODUCT(Basophilic!$B60:$F60, Basophilic!$B$79:$F$79)</f>
        <v>656823771.77954626</v>
      </c>
      <c r="O60">
        <f>SUMPRODUCT(Basophilic!$B60:$F60, Basophilic!$B$80:$F$80)</f>
        <v>295.97371515304832</v>
      </c>
      <c r="P60">
        <f>SUMPRODUCT(Basophilic!$B60:$F60, Basophilic!$B$81:$F$81)</f>
        <v>154726507361.34085</v>
      </c>
    </row>
    <row r="61" spans="1:16" x14ac:dyDescent="0.25">
      <c r="A61" t="s">
        <v>66</v>
      </c>
      <c r="B61">
        <f>SUMPRODUCT(Basophilic!$B61:$F61, Basophilic!$B$67:$F$67)</f>
        <v>36210.244982126729</v>
      </c>
      <c r="C61">
        <f>SUMPRODUCT(Basophilic!$B61:$F61, Basophilic!$B$68:$F$68)</f>
        <v>211536755.78349549</v>
      </c>
      <c r="D61">
        <f>SUMPRODUCT(Basophilic!$B61:$F61, Basophilic!$B$69:$F$69)</f>
        <v>832.56307989984066</v>
      </c>
      <c r="E61">
        <f>SUMPRODUCT(Basophilic!$B61:$F61, Basophilic!$B$70:$F$70)</f>
        <v>2279143667.994904</v>
      </c>
      <c r="F61">
        <f>SUMPRODUCT(Basophilic!$B61:$F61, Basophilic!$B$71:$F$71)</f>
        <v>1024391000.2139736</v>
      </c>
      <c r="G61">
        <f>SUMPRODUCT(Basophilic!$B61:$F61, Basophilic!$B$72:$F$72)</f>
        <v>30269505760.391438</v>
      </c>
      <c r="H61">
        <f>SUMPRODUCT(Basophilic!$B61:$F61, Basophilic!$B$73:$F$73)</f>
        <v>233146334.21206787</v>
      </c>
      <c r="I61">
        <f>SUMPRODUCT(Basophilic!$B61:$F61, Basophilic!$B$74:$F$74)</f>
        <v>137212377.53751457</v>
      </c>
      <c r="J61">
        <f>SUMPRODUCT(Basophilic!$B61:$F61, Basophilic!$B$75:$F$75)</f>
        <v>82.99076283066961</v>
      </c>
      <c r="K61">
        <f>SUMPRODUCT(Basophilic!$B61:$F61, Basophilic!$B$76:$F$76)</f>
        <v>9264173736.5979977</v>
      </c>
      <c r="L61">
        <f>SUMPRODUCT(Basophilic!$B61:$F61, Basophilic!$B$77:$F$77)</f>
        <v>32161751084.442005</v>
      </c>
      <c r="M61">
        <f>SUMPRODUCT(Basophilic!$B61:$F61, Basophilic!$B$78:$F$78)</f>
        <v>33462631387.39027</v>
      </c>
      <c r="N61">
        <f>SUMPRODUCT(Basophilic!$B61:$F61, Basophilic!$B$79:$F$79)</f>
        <v>274168846.7335825</v>
      </c>
      <c r="O61">
        <f>SUMPRODUCT(Basophilic!$B61:$F61, Basophilic!$B$80:$F$80)</f>
        <v>118.62491021333126</v>
      </c>
      <c r="P61">
        <f>SUMPRODUCT(Basophilic!$B61:$F61, Basophilic!$B$81:$F$81)</f>
        <v>64587962109.494896</v>
      </c>
    </row>
    <row r="62" spans="1:16" x14ac:dyDescent="0.25">
      <c r="A62" t="s">
        <v>67</v>
      </c>
      <c r="B62">
        <f>SUMPRODUCT(Basophilic!$B62:$F62, Basophilic!$B$67:$F$67)</f>
        <v>165349.66844907776</v>
      </c>
      <c r="C62">
        <f>SUMPRODUCT(Basophilic!$B62:$F62, Basophilic!$B$68:$F$68)</f>
        <v>2912811195.5473132</v>
      </c>
      <c r="D62">
        <f>SUMPRODUCT(Basophilic!$B62:$F62, Basophilic!$B$69:$F$69)</f>
        <v>9383.1539029322557</v>
      </c>
      <c r="E62">
        <f>SUMPRODUCT(Basophilic!$B62:$F62, Basophilic!$B$70:$F$70)</f>
        <v>31383158899.610039</v>
      </c>
      <c r="F62">
        <f>SUMPRODUCT(Basophilic!$B62:$F62, Basophilic!$B$71:$F$71)</f>
        <v>14105378093.142365</v>
      </c>
      <c r="G62">
        <f>SUMPRODUCT(Basophilic!$B62:$F62, Basophilic!$B$72:$F$72)</f>
        <v>416803920110.02026</v>
      </c>
      <c r="H62">
        <f>SUMPRODUCT(Basophilic!$B62:$F62, Basophilic!$B$73:$F$73)</f>
        <v>3199751653.4123626</v>
      </c>
      <c r="I62">
        <f>SUMPRODUCT(Basophilic!$B62:$F62, Basophilic!$B$74:$F$74)</f>
        <v>1882509017.0458817</v>
      </c>
      <c r="J62">
        <f>SUMPRODUCT(Basophilic!$B62:$F62, Basophilic!$B$75:$F$75)</f>
        <v>798.75040185128523</v>
      </c>
      <c r="K62">
        <f>SUMPRODUCT(Basophilic!$B62:$F62, Basophilic!$B$76:$F$76)</f>
        <v>127565465061.83505</v>
      </c>
      <c r="L62">
        <f>SUMPRODUCT(Basophilic!$B62:$F62, Basophilic!$B$77:$F$77)</f>
        <v>442859717526.35272</v>
      </c>
      <c r="M62">
        <f>SUMPRODUCT(Basophilic!$B62:$F62, Basophilic!$B$78:$F$78)</f>
        <v>460772046592.54999</v>
      </c>
      <c r="N62">
        <f>SUMPRODUCT(Basophilic!$B62:$F62, Basophilic!$B$79:$F$79)</f>
        <v>3774944904.3062496</v>
      </c>
      <c r="O62">
        <f>SUMPRODUCT(Basophilic!$B62:$F62, Basophilic!$B$80:$F$80)</f>
        <v>1502.7031502950365</v>
      </c>
      <c r="P62">
        <f>SUMPRODUCT(Basophilic!$B62:$F62, Basophilic!$B$81:$F$81)</f>
        <v>889360960501.41199</v>
      </c>
    </row>
    <row r="63" spans="1:16" x14ac:dyDescent="0.25">
      <c r="A63" t="s">
        <v>68</v>
      </c>
      <c r="B63">
        <f>SUMPRODUCT(Basophilic!$B63:$F63, Basophilic!$B$67:$F$67)</f>
        <v>47267.307570678233</v>
      </c>
      <c r="C63">
        <f>SUMPRODUCT(Basophilic!$B63:$F63, Basophilic!$B$68:$F$68)</f>
        <v>908677609.05037189</v>
      </c>
      <c r="D63">
        <f>SUMPRODUCT(Basophilic!$B63:$F63, Basophilic!$B$69:$F$69)</f>
        <v>2900.2137938381802</v>
      </c>
      <c r="E63">
        <f>SUMPRODUCT(Basophilic!$B63:$F63, Basophilic!$B$70:$F$70)</f>
        <v>9790256791.8488274</v>
      </c>
      <c r="F63">
        <f>SUMPRODUCT(Basophilic!$B63:$F63, Basophilic!$B$71:$F$71)</f>
        <v>4400296198.6508179</v>
      </c>
      <c r="G63">
        <f>SUMPRODUCT(Basophilic!$B63:$F63, Basophilic!$B$72:$F$72)</f>
        <v>130025725334.04504</v>
      </c>
      <c r="H63">
        <f>SUMPRODUCT(Basophilic!$B63:$F63, Basophilic!$B$73:$F$73)</f>
        <v>998053775.45492113</v>
      </c>
      <c r="I63">
        <f>SUMPRODUCT(Basophilic!$B63:$F63, Basophilic!$B$74:$F$74)</f>
        <v>587176600.54160273</v>
      </c>
      <c r="J63">
        <f>SUMPRODUCT(Basophilic!$B63:$F63, Basophilic!$B$75:$F$75)</f>
        <v>244.72308620163818</v>
      </c>
      <c r="K63">
        <f>SUMPRODUCT(Basophilic!$B63:$F63, Basophilic!$B$76:$F$76)</f>
        <v>39795192078.266914</v>
      </c>
      <c r="L63">
        <f>SUMPRODUCT(Basophilic!$B63:$F63, Basophilic!$B$77:$F$77)</f>
        <v>138154065651.19852</v>
      </c>
      <c r="M63">
        <f>SUMPRODUCT(Basophilic!$B63:$F63, Basophilic!$B$78:$F$78)</f>
        <v>143741971265.27829</v>
      </c>
      <c r="N63">
        <f>SUMPRODUCT(Basophilic!$B63:$F63, Basophilic!$B$79:$F$79)</f>
        <v>1177624136.4930134</v>
      </c>
      <c r="O63">
        <f>SUMPRODUCT(Basophilic!$B63:$F63, Basophilic!$B$80:$F$80)</f>
        <v>467.08900108727886</v>
      </c>
      <c r="P63">
        <f>SUMPRODUCT(Basophilic!$B63:$F63, Basophilic!$B$81:$F$81)</f>
        <v>277444137536.16235</v>
      </c>
    </row>
    <row r="64" spans="1:16" x14ac:dyDescent="0.25">
      <c r="A64" t="s">
        <v>69</v>
      </c>
      <c r="B64">
        <f>SUMPRODUCT(Basophilic!$B64:$F64, Basophilic!$B$67:$F$67)</f>
        <v>71247.285424813366</v>
      </c>
      <c r="C64">
        <f>SUMPRODUCT(Basophilic!$B64:$F64, Basophilic!$B$68:$F$68)</f>
        <v>393205402.67914766</v>
      </c>
      <c r="D64">
        <f>SUMPRODUCT(Basophilic!$B64:$F64, Basophilic!$B$69:$F$69)</f>
        <v>1572.1723684446436</v>
      </c>
      <c r="E64">
        <f>SUMPRODUCT(Basophilic!$B64:$F64, Basophilic!$B$70:$F$70)</f>
        <v>4236483059.7710781</v>
      </c>
      <c r="F64">
        <f>SUMPRODUCT(Basophilic!$B64:$F64, Basophilic!$B$71:$F$71)</f>
        <v>1904145144.2112257</v>
      </c>
      <c r="G64">
        <f>SUMPRODUCT(Basophilic!$B64:$F64, Basophilic!$B$72:$F$72)</f>
        <v>56265083723.520988</v>
      </c>
      <c r="H64">
        <f>SUMPRODUCT(Basophilic!$B64:$F64, Basophilic!$B$73:$F$73)</f>
        <v>433498899.66507483</v>
      </c>
      <c r="I64">
        <f>SUMPRODUCT(Basophilic!$B64:$F64, Basophilic!$B$74:$F$74)</f>
        <v>255132187.07605234</v>
      </c>
      <c r="J64">
        <f>SUMPRODUCT(Basophilic!$B64:$F64, Basophilic!$B$75:$F$75)</f>
        <v>158.33025627373846</v>
      </c>
      <c r="K64">
        <f>SUMPRODUCT(Basophilic!$B64:$F64, Basophilic!$B$76:$F$76)</f>
        <v>17220284968.911194</v>
      </c>
      <c r="L64">
        <f>SUMPRODUCT(Basophilic!$B64:$F64, Basophilic!$B$77:$F$77)</f>
        <v>59782396906.064911</v>
      </c>
      <c r="M64">
        <f>SUMPRODUCT(Basophilic!$B64:$F64, Basophilic!$B$78:$F$78)</f>
        <v>62200484372.14975</v>
      </c>
      <c r="N64">
        <f>SUMPRODUCT(Basophilic!$B64:$F64, Basophilic!$B$79:$F$79)</f>
        <v>509629686.2048744</v>
      </c>
      <c r="O64">
        <f>SUMPRODUCT(Basophilic!$B64:$F64, Basophilic!$B$80:$F$80)</f>
        <v>222.045922141868</v>
      </c>
      <c r="P64">
        <f>SUMPRODUCT(Basophilic!$B64:$F64, Basophilic!$B$81:$F$81)</f>
        <v>120056373352.74501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17.85546875" customWidth="1"/>
    <col min="2" max="2" width="14.140625" style="2" customWidth="1"/>
    <col min="3" max="7" width="9.28515625" style="2" bestFit="1" customWidth="1"/>
    <col min="8" max="8" width="12.7109375" style="2" customWidth="1"/>
    <col min="9" max="9" width="14.140625" style="2" customWidth="1"/>
    <col min="10" max="16" width="9.28515625" style="2" bestFit="1" customWidth="1"/>
  </cols>
  <sheetData>
    <row r="1" spans="1:16" ht="15.75" x14ac:dyDescent="0.25">
      <c r="A1" s="3" t="s">
        <v>86</v>
      </c>
      <c r="B1" s="4" t="s">
        <v>70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  <c r="P1" s="5" t="s">
        <v>85</v>
      </c>
    </row>
    <row r="2" spans="1:16" x14ac:dyDescent="0.25">
      <c r="A2" t="s">
        <v>19</v>
      </c>
      <c r="B2" s="2">
        <f>'Dot Product'!B14/1000000</f>
        <v>1693453.9642556834</v>
      </c>
      <c r="C2" s="2">
        <f>'Dot Product'!C14/1000000</f>
        <v>5985.8141582042517</v>
      </c>
      <c r="D2" s="2">
        <f>'Dot Product'!D14/1000000</f>
        <v>8535.7757989613201</v>
      </c>
      <c r="E2" s="2">
        <f>'Dot Product'!E14/1000000</f>
        <v>547244.89242020855</v>
      </c>
      <c r="F2" s="2">
        <f>'Dot Product'!F14/1000000</f>
        <v>1366938.8438494618</v>
      </c>
      <c r="G2" s="2">
        <f>'Dot Product'!G14/1000000</f>
        <v>1521111.5404100569</v>
      </c>
      <c r="H2" s="2">
        <f>'Dot Product'!H14/1000000</f>
        <v>56952832.831692748</v>
      </c>
      <c r="I2" s="2">
        <f>'Dot Product'!I14/1000000</f>
        <v>37230973.639910139</v>
      </c>
      <c r="J2" s="2">
        <f>'Dot Product'!J14/1000000</f>
        <v>1563.0064310712621</v>
      </c>
      <c r="K2" s="2">
        <f>'Dot Product'!K14/1000000</f>
        <v>850296.49527935672</v>
      </c>
      <c r="L2" s="2">
        <f>'Dot Product'!L14/1000000</f>
        <v>959999.77851210348</v>
      </c>
      <c r="M2" s="2">
        <f>'Dot Product'!M14/1000000</f>
        <v>12783683.68229039</v>
      </c>
      <c r="N2" s="2">
        <f>'Dot Product'!N14/1000000</f>
        <v>2638631.7435567733</v>
      </c>
      <c r="O2" s="2">
        <f>'Dot Product'!O14/1000000</f>
        <v>536.61280944507871</v>
      </c>
      <c r="P2" s="2">
        <f>'Dot Product'!P14/1000000</f>
        <v>2111554.9547884376</v>
      </c>
    </row>
    <row r="3" spans="1:16" x14ac:dyDescent="0.25">
      <c r="A3" t="s">
        <v>42</v>
      </c>
      <c r="B3" s="2">
        <f>'Dot Product'!B37/1000000</f>
        <v>1327024.6331010859</v>
      </c>
      <c r="C3" s="2">
        <f>'Dot Product'!C37/1000000</f>
        <v>3823.2895009075851</v>
      </c>
      <c r="D3" s="2">
        <f>'Dot Product'!D37/1000000</f>
        <v>2146.4638328514802</v>
      </c>
      <c r="E3" s="2">
        <f>'Dot Product'!E37/1000000</f>
        <v>2820459.1983954492</v>
      </c>
      <c r="F3" s="2">
        <f>'Dot Product'!F37/1000000</f>
        <v>3540896.6168304067</v>
      </c>
      <c r="G3" s="2">
        <f>'Dot Product'!G37/1000000</f>
        <v>1034656.5684376096</v>
      </c>
      <c r="H3" s="2">
        <f>'Dot Product'!H37/1000000</f>
        <v>254796114.06665546</v>
      </c>
      <c r="I3" s="2">
        <f>'Dot Product'!I37/1000000</f>
        <v>164076747.08358377</v>
      </c>
      <c r="J3" s="2">
        <f>'Dot Product'!J37/1000000</f>
        <v>3822.2011984850287</v>
      </c>
      <c r="K3" s="2">
        <f>'Dot Product'!K37/1000000</f>
        <v>506045.71081078501</v>
      </c>
      <c r="L3" s="2">
        <f>'Dot Product'!L37/1000000</f>
        <v>609311.99214287265</v>
      </c>
      <c r="M3" s="2">
        <f>'Dot Product'!M37/1000000</f>
        <v>10453686.001139199</v>
      </c>
      <c r="N3" s="2">
        <f>'Dot Product'!N37/1000000</f>
        <v>5309472.3768886132</v>
      </c>
      <c r="O3" s="2">
        <f>'Dot Product'!O37/1000000</f>
        <v>135.35802702460552</v>
      </c>
      <c r="P3" s="2">
        <f>'Dot Product'!P37/1000000</f>
        <v>1512662.7271700404</v>
      </c>
    </row>
    <row r="4" spans="1:16" x14ac:dyDescent="0.25">
      <c r="A4" t="s">
        <v>15</v>
      </c>
      <c r="B4" s="2">
        <f>'Dot Product'!B10/1000000</f>
        <v>921639.72944058129</v>
      </c>
      <c r="C4" s="2">
        <f>'Dot Product'!C10/1000000</f>
        <v>95.80093854615366</v>
      </c>
      <c r="D4" s="2">
        <f>'Dot Product'!D10/1000000</f>
        <v>3721.6964924743952</v>
      </c>
      <c r="E4" s="2">
        <f>'Dot Product'!E10/1000000</f>
        <v>84767.417264813528</v>
      </c>
      <c r="F4" s="2">
        <f>'Dot Product'!F10/1000000</f>
        <v>565303.37251236651</v>
      </c>
      <c r="G4" s="2">
        <f>'Dot Product'!G10/1000000</f>
        <v>154171.92087139492</v>
      </c>
      <c r="H4" s="2">
        <f>'Dot Product'!H10/1000000</f>
        <v>11136953.918040097</v>
      </c>
      <c r="I4" s="2">
        <f>'Dot Product'!I10/1000000</f>
        <v>7516064.6296584373</v>
      </c>
      <c r="J4" s="2">
        <f>'Dot Product'!J10/1000000</f>
        <v>665.26863015573849</v>
      </c>
      <c r="K4" s="2">
        <f>'Dot Product'!K10/1000000</f>
        <v>122837.14541400212</v>
      </c>
      <c r="L4" s="2">
        <f>'Dot Product'!L10/1000000</f>
        <v>32380.200821754945</v>
      </c>
      <c r="M4" s="2">
        <f>'Dot Product'!M10/1000000</f>
        <v>2260219.9912560307</v>
      </c>
      <c r="N4" s="2">
        <f>'Dot Product'!N10/1000000</f>
        <v>665703.4680552989</v>
      </c>
      <c r="O4" s="2">
        <f>'Dot Product'!O10/1000000</f>
        <v>234.40676582887119</v>
      </c>
      <c r="P4" s="2">
        <f>'Dot Product'!P10/1000000</f>
        <v>141933.69039434625</v>
      </c>
    </row>
    <row r="5" spans="1:16" x14ac:dyDescent="0.25">
      <c r="A5" t="s">
        <v>17</v>
      </c>
      <c r="B5" s="2">
        <f>'Dot Product'!B12/1000000</f>
        <v>887019.0387339528</v>
      </c>
      <c r="C5" s="2">
        <f>'Dot Product'!C12/1000000</f>
        <v>3860.5272685594482</v>
      </c>
      <c r="D5" s="2">
        <f>'Dot Product'!D12/1000000</f>
        <v>4683.3163492438935</v>
      </c>
      <c r="E5" s="2">
        <f>'Dot Product'!E12/1000000</f>
        <v>81605.110598445099</v>
      </c>
      <c r="F5" s="2">
        <f>'Dot Product'!F12/1000000</f>
        <v>468820.62742800289</v>
      </c>
      <c r="G5" s="2">
        <f>'Dot Product'!G12/1000000</f>
        <v>656535.54127293068</v>
      </c>
      <c r="H5" s="2">
        <f>'Dot Product'!H12/1000000</f>
        <v>6420447.5968017438</v>
      </c>
      <c r="I5" s="2">
        <f>'Dot Product'!I12/1000000</f>
        <v>4384065.1066467436</v>
      </c>
      <c r="J5" s="2">
        <f>'Dot Product'!J12/1000000</f>
        <v>615.42315554365416</v>
      </c>
      <c r="K5" s="2">
        <f>'Dot Product'!K12/1000000</f>
        <v>256667.18226272168</v>
      </c>
      <c r="L5" s="2">
        <f>'Dot Product'!L12/1000000</f>
        <v>600728.54907985881</v>
      </c>
      <c r="M5" s="2">
        <f>'Dot Product'!M12/1000000</f>
        <v>2216936.9459724519</v>
      </c>
      <c r="N5" s="2">
        <f>'Dot Product'!N12/1000000</f>
        <v>507982.07374654082</v>
      </c>
      <c r="O5" s="2">
        <f>'Dot Product'!O12/1000000</f>
        <v>294.53435555651185</v>
      </c>
      <c r="P5" s="2">
        <f>'Dot Product'!P12/1000000</f>
        <v>1268896.6182406256</v>
      </c>
    </row>
    <row r="6" spans="1:16" x14ac:dyDescent="0.25">
      <c r="A6" t="s">
        <v>21</v>
      </c>
      <c r="B6" s="2">
        <f>'Dot Product'!B16/1000000</f>
        <v>840139.94597366557</v>
      </c>
      <c r="C6" s="2">
        <f>'Dot Product'!C16/1000000</f>
        <v>3878.7938504903163</v>
      </c>
      <c r="D6" s="2">
        <f>'Dot Product'!D16/1000000</f>
        <v>4507.1514458558349</v>
      </c>
      <c r="E6" s="2">
        <f>'Dot Product'!E16/1000000</f>
        <v>234447.23923726662</v>
      </c>
      <c r="F6" s="2">
        <f>'Dot Product'!F16/1000000</f>
        <v>630038.56303591433</v>
      </c>
      <c r="G6" s="2">
        <f>'Dot Product'!G16/1000000</f>
        <v>910701.51975065074</v>
      </c>
      <c r="H6" s="2">
        <f>'Dot Product'!H16/1000000</f>
        <v>24624081.12668984</v>
      </c>
      <c r="I6" s="2">
        <f>'Dot Product'!I16/1000000</f>
        <v>16136942.982845636</v>
      </c>
      <c r="J6" s="2">
        <f>'Dot Product'!J16/1000000</f>
        <v>724.42266072335076</v>
      </c>
      <c r="K6" s="2">
        <f>'Dot Product'!K16/1000000</f>
        <v>487913.05796928087</v>
      </c>
      <c r="L6" s="2">
        <f>'Dot Product'!L16/1000000</f>
        <v>615791.78697034786</v>
      </c>
      <c r="M6" s="2">
        <f>'Dot Product'!M16/1000000</f>
        <v>6946369.7114815153</v>
      </c>
      <c r="N6" s="2">
        <f>'Dot Product'!N16/1000000</f>
        <v>1306027.9450904692</v>
      </c>
      <c r="O6" s="2">
        <f>'Dot Product'!O16/1000000</f>
        <v>283.27441129380492</v>
      </c>
      <c r="P6" s="2">
        <f>'Dot Product'!P16/1000000</f>
        <v>1326066.8829475404</v>
      </c>
    </row>
    <row r="7" spans="1:16" x14ac:dyDescent="0.25">
      <c r="A7" t="s">
        <v>22</v>
      </c>
      <c r="B7" s="2">
        <f>'Dot Product'!B17/1000000</f>
        <v>807068.95313070947</v>
      </c>
      <c r="C7" s="2">
        <f>'Dot Product'!C17/1000000</f>
        <v>3740.2671388930617</v>
      </c>
      <c r="D7" s="2">
        <f>'Dot Product'!D17/1000000</f>
        <v>4407.5588599684706</v>
      </c>
      <c r="E7" s="2">
        <f>'Dot Product'!E17/1000000</f>
        <v>226069.17168356542</v>
      </c>
      <c r="F7" s="2">
        <f>'Dot Product'!F17/1000000</f>
        <v>604778.76495202945</v>
      </c>
      <c r="G7" s="2">
        <f>'Dot Product'!G17/1000000</f>
        <v>891366.57409016916</v>
      </c>
      <c r="H7" s="2">
        <f>'Dot Product'!H17/1000000</f>
        <v>23987612.587335702</v>
      </c>
      <c r="I7" s="2">
        <f>'Dot Product'!I17/1000000</f>
        <v>15715540.522255387</v>
      </c>
      <c r="J7" s="2">
        <f>'Dot Product'!J17/1000000</f>
        <v>696.08673025866187</v>
      </c>
      <c r="K7" s="2">
        <f>'Dot Product'!K17/1000000</f>
        <v>482935.27283143188</v>
      </c>
      <c r="L7" s="2">
        <f>'Dot Product'!L17/1000000</f>
        <v>594365.78270071896</v>
      </c>
      <c r="M7" s="2">
        <f>'Dot Product'!M17/1000000</f>
        <v>6944470.0366383158</v>
      </c>
      <c r="N7" s="2">
        <f>'Dot Product'!N17/1000000</f>
        <v>1289588.0602422727</v>
      </c>
      <c r="O7" s="2">
        <f>'Dot Product'!O17/1000000</f>
        <v>276.98680503978403</v>
      </c>
      <c r="P7" s="2">
        <f>'Dot Product'!P17/1000000</f>
        <v>1280369.8731689556</v>
      </c>
    </row>
    <row r="8" spans="1:16" x14ac:dyDescent="0.25">
      <c r="A8" t="s">
        <v>20</v>
      </c>
      <c r="B8" s="2">
        <f>'Dot Product'!B15/1000000</f>
        <v>789571.18793266919</v>
      </c>
      <c r="C8" s="2">
        <f>'Dot Product'!C15/1000000</f>
        <v>3550.082817426302</v>
      </c>
      <c r="D8" s="2">
        <f>'Dot Product'!D15/1000000</f>
        <v>4237.3037805599379</v>
      </c>
      <c r="E8" s="2">
        <f>'Dot Product'!E15/1000000</f>
        <v>214583.30836728148</v>
      </c>
      <c r="F8" s="2">
        <f>'Dot Product'!F15/1000000</f>
        <v>585786.05693346879</v>
      </c>
      <c r="G8" s="2">
        <f>'Dot Product'!G15/1000000</f>
        <v>834055.08009457448</v>
      </c>
      <c r="H8" s="2">
        <f>'Dot Product'!H15/1000000</f>
        <v>22568238.836910583</v>
      </c>
      <c r="I8" s="2">
        <f>'Dot Product'!I15/1000000</f>
        <v>14794474.125864571</v>
      </c>
      <c r="J8" s="2">
        <f>'Dot Product'!J15/1000000</f>
        <v>676.59328756303432</v>
      </c>
      <c r="K8" s="2">
        <f>'Dot Product'!K15/1000000</f>
        <v>446869.22064988303</v>
      </c>
      <c r="L8" s="2">
        <f>'Dot Product'!L15/1000000</f>
        <v>563822.82244546583</v>
      </c>
      <c r="M8" s="2">
        <f>'Dot Product'!M15/1000000</f>
        <v>6359926.5748170326</v>
      </c>
      <c r="N8" s="2">
        <f>'Dot Product'!N15/1000000</f>
        <v>1201246.2466012754</v>
      </c>
      <c r="O8" s="2">
        <f>'Dot Product'!O15/1000000</f>
        <v>266.31897211229204</v>
      </c>
      <c r="P8" s="2">
        <f>'Dot Product'!P15/1000000</f>
        <v>1215342.9812833557</v>
      </c>
    </row>
    <row r="9" spans="1:16" x14ac:dyDescent="0.25">
      <c r="A9" t="s">
        <v>55</v>
      </c>
      <c r="B9" s="2">
        <f>'Dot Product'!B50/1000000</f>
        <v>614768.95217247738</v>
      </c>
      <c r="C9" s="2">
        <f>'Dot Product'!C50/1000000</f>
        <v>20727.089095117528</v>
      </c>
      <c r="D9" s="2">
        <f>'Dot Product'!D50/1000000</f>
        <v>1134.6253593671377</v>
      </c>
      <c r="E9" s="2">
        <f>'Dot Product'!E50/1000000</f>
        <v>1179504.7701523483</v>
      </c>
      <c r="F9" s="2">
        <f>'Dot Product'!F50/1000000</f>
        <v>1468788.2629511519</v>
      </c>
      <c r="G9" s="2">
        <f>'Dot Product'!G50/1000000</f>
        <v>3541465.7498693159</v>
      </c>
      <c r="H9" s="2">
        <f>'Dot Product'!H50/1000000</f>
        <v>95833928.027084678</v>
      </c>
      <c r="I9" s="2">
        <f>'Dot Product'!I50/1000000</f>
        <v>61940141.937443838</v>
      </c>
      <c r="J9" s="2">
        <f>'Dot Product'!J50/1000000</f>
        <v>1363.3297831405546</v>
      </c>
      <c r="K9" s="2">
        <f>'Dot Product'!K50/1000000</f>
        <v>1404052.9811300586</v>
      </c>
      <c r="L9" s="2">
        <f>'Dot Product'!L50/1000000</f>
        <v>3185818.7345397626</v>
      </c>
      <c r="M9" s="2">
        <f>'Dot Product'!M50/1000000</f>
        <v>14084805.327627447</v>
      </c>
      <c r="N9" s="2">
        <f>'Dot Product'!N50/1000000</f>
        <v>2863285.7242176016</v>
      </c>
      <c r="O9" s="2">
        <f>'Dot Product'!O50/1000000</f>
        <v>71.4956877873541</v>
      </c>
      <c r="P9" s="2">
        <f>'Dot Product'!P50/1000000</f>
        <v>6545415.810090878</v>
      </c>
    </row>
    <row r="10" spans="1:16" x14ac:dyDescent="0.25">
      <c r="A10" t="s">
        <v>26</v>
      </c>
      <c r="B10" s="2">
        <f>'Dot Product'!B21/1000000</f>
        <v>542894.46986327029</v>
      </c>
      <c r="C10" s="2">
        <f>'Dot Product'!C21/1000000</f>
        <v>347.05907619962528</v>
      </c>
      <c r="D10" s="2">
        <f>'Dot Product'!D21/1000000</f>
        <v>2021.3154035017303</v>
      </c>
      <c r="E10" s="2">
        <f>'Dot Product'!E21/1000000</f>
        <v>95944.192523693244</v>
      </c>
      <c r="F10" s="2">
        <f>'Dot Product'!F21/1000000</f>
        <v>441871.39951430692</v>
      </c>
      <c r="G10" s="2">
        <f>'Dot Product'!G21/1000000</f>
        <v>497167.46232978115</v>
      </c>
      <c r="H10" s="2">
        <f>'Dot Product'!H21/1000000</f>
        <v>17435562.199909851</v>
      </c>
      <c r="I10" s="2">
        <f>'Dot Product'!I21/1000000</f>
        <v>11569328.545211609</v>
      </c>
      <c r="J10" s="2">
        <f>'Dot Product'!J21/1000000</f>
        <v>392.8038127763453</v>
      </c>
      <c r="K10" s="2">
        <f>'Dot Product'!K21/1000000</f>
        <v>424810.83533382713</v>
      </c>
      <c r="L10" s="2">
        <f>'Dot Product'!L21/1000000</f>
        <v>83474.706780282038</v>
      </c>
      <c r="M10" s="2">
        <f>'Dot Product'!M21/1000000</f>
        <v>8096305.3568136571</v>
      </c>
      <c r="N10" s="2">
        <f>'Dot Product'!N21/1000000</f>
        <v>1322464.350128887</v>
      </c>
      <c r="O10" s="2">
        <f>'Dot Product'!O21/1000000</f>
        <v>127.23264728983703</v>
      </c>
      <c r="P10" s="2">
        <f>'Dot Product'!P21/1000000</f>
        <v>248625.20495232104</v>
      </c>
    </row>
    <row r="11" spans="1:16" x14ac:dyDescent="0.25">
      <c r="A11" t="s">
        <v>48</v>
      </c>
      <c r="B11" s="2">
        <f>'Dot Product'!B43/1000000</f>
        <v>391888.92434860824</v>
      </c>
      <c r="C11" s="2">
        <f>'Dot Product'!C43/1000000</f>
        <v>14659.141479426484</v>
      </c>
      <c r="D11" s="2">
        <f>'Dot Product'!D43/1000000</f>
        <v>2089.5274676689683</v>
      </c>
      <c r="E11" s="2">
        <f>'Dot Product'!E43/1000000</f>
        <v>158020.20195879723</v>
      </c>
      <c r="F11" s="2">
        <f>'Dot Product'!F43/1000000</f>
        <v>257869.52318290682</v>
      </c>
      <c r="G11" s="2">
        <f>'Dot Product'!G43/1000000</f>
        <v>2178181.5289198151</v>
      </c>
      <c r="H11" s="2">
        <f>'Dot Product'!H43/1000000</f>
        <v>1979842.6898655063</v>
      </c>
      <c r="I11" s="2">
        <f>'Dot Product'!I43/1000000</f>
        <v>1401703.0757648069</v>
      </c>
      <c r="J11" s="2">
        <f>'Dot Product'!J43/1000000</f>
        <v>248.5268986871975</v>
      </c>
      <c r="K11" s="2">
        <f>'Dot Product'!K43/1000000</f>
        <v>713693.98157809628</v>
      </c>
      <c r="L11" s="2">
        <f>'Dot Product'!L43/1000000</f>
        <v>2236849.2679144074</v>
      </c>
      <c r="M11" s="2">
        <f>'Dot Product'!M43/1000000</f>
        <v>3654222.4715622673</v>
      </c>
      <c r="N11" s="2">
        <f>'Dot Product'!N43/1000000</f>
        <v>299375.77716555481</v>
      </c>
      <c r="O11" s="2">
        <f>'Dot Product'!O43/1000000</f>
        <v>131.40264954059168</v>
      </c>
      <c r="P11" s="2">
        <f>'Dot Product'!P43/1000000</f>
        <v>4521776.1369136078</v>
      </c>
    </row>
    <row r="12" spans="1:16" x14ac:dyDescent="0.25">
      <c r="A12" t="s">
        <v>13</v>
      </c>
      <c r="B12" s="2">
        <f>'Dot Product'!B8/1000000</f>
        <v>355325.53212558781</v>
      </c>
      <c r="C12" s="2">
        <f>'Dot Product'!C8/1000000</f>
        <v>29.394060181435034</v>
      </c>
      <c r="D12" s="2">
        <f>'Dot Product'!D8/1000000</f>
        <v>1606.1470470178872</v>
      </c>
      <c r="E12" s="2">
        <f>'Dot Product'!E8/1000000</f>
        <v>32934.446130910917</v>
      </c>
      <c r="F12" s="2">
        <f>'Dot Product'!F8/1000000</f>
        <v>208032.52912621511</v>
      </c>
      <c r="G12" s="2">
        <f>'Dot Product'!G8/1000000</f>
        <v>43492.251897188558</v>
      </c>
      <c r="H12" s="2">
        <f>'Dot Product'!H8/1000000</f>
        <v>4011154.4892789591</v>
      </c>
      <c r="I12" s="2">
        <f>'Dot Product'!I8/1000000</f>
        <v>2697119.9313571481</v>
      </c>
      <c r="J12" s="2">
        <f>'Dot Product'!J8/1000000</f>
        <v>261.19676319217137</v>
      </c>
      <c r="K12" s="2">
        <f>'Dot Product'!K8/1000000</f>
        <v>33258.046465825748</v>
      </c>
      <c r="L12" s="2">
        <f>'Dot Product'!L8/1000000</f>
        <v>10209.662028026352</v>
      </c>
      <c r="M12" s="2">
        <f>'Dot Product'!M8/1000000</f>
        <v>603322.83183913166</v>
      </c>
      <c r="N12" s="2">
        <f>'Dot Product'!N8/1000000</f>
        <v>220412.45380488236</v>
      </c>
      <c r="O12" s="2">
        <f>'Dot Product'!O8/1000000</f>
        <v>101.09377698914531</v>
      </c>
      <c r="P12" s="2">
        <f>'Dot Product'!P8/1000000</f>
        <v>47801.487030415876</v>
      </c>
    </row>
    <row r="13" spans="1:16" x14ac:dyDescent="0.25">
      <c r="A13" t="s">
        <v>12</v>
      </c>
      <c r="B13" s="2">
        <f>'Dot Product'!B7/1000000</f>
        <v>342575.76279660006</v>
      </c>
      <c r="C13" s="2">
        <f>'Dot Product'!C7/1000000</f>
        <v>9.5704028759820425E-3</v>
      </c>
      <c r="D13" s="2">
        <f>'Dot Product'!D7/1000000</f>
        <v>1268.5060716760881</v>
      </c>
      <c r="E13" s="2">
        <f>'Dot Product'!E7/1000000</f>
        <v>94.830177564857479</v>
      </c>
      <c r="F13" s="2">
        <f>'Dot Product'!F7/1000000</f>
        <v>184228.71590944877</v>
      </c>
      <c r="G13" s="2">
        <f>'Dot Product'!G7/1000000</f>
        <v>42538.051809624791</v>
      </c>
      <c r="H13" s="2">
        <f>'Dot Product'!H7/1000000</f>
        <v>1249642.9459488252</v>
      </c>
      <c r="I13" s="2">
        <f>'Dot Product'!I7/1000000</f>
        <v>947511.51508956694</v>
      </c>
      <c r="J13" s="2">
        <f>'Dot Product'!J7/1000000</f>
        <v>212.35531770192841</v>
      </c>
      <c r="K13" s="2">
        <f>'Dot Product'!K7/1000000</f>
        <v>36062.003677598725</v>
      </c>
      <c r="L13" s="2">
        <f>'Dot Product'!L7/1000000</f>
        <v>6511.5174415712263</v>
      </c>
      <c r="M13" s="2">
        <f>'Dot Product'!M7/1000000</f>
        <v>635347.47585533943</v>
      </c>
      <c r="N13" s="2">
        <f>'Dot Product'!N7/1000000</f>
        <v>182636.05027341325</v>
      </c>
      <c r="O13" s="2">
        <f>'Dot Product'!O7/1000000</f>
        <v>79.960526423339019</v>
      </c>
      <c r="P13" s="2">
        <f>'Dot Product'!P7/1000000</f>
        <v>39946.086166833651</v>
      </c>
    </row>
    <row r="14" spans="1:16" x14ac:dyDescent="0.25">
      <c r="A14" t="s">
        <v>27</v>
      </c>
      <c r="B14" s="2">
        <f>'Dot Product'!B22/1000000</f>
        <v>315589.72957878973</v>
      </c>
      <c r="C14" s="2">
        <f>'Dot Product'!C22/1000000</f>
        <v>5.1138368217468807E-3</v>
      </c>
      <c r="D14" s="2">
        <f>'Dot Product'!D22/1000000</f>
        <v>896.26762457870029</v>
      </c>
      <c r="E14" s="2">
        <f>'Dot Product'!E22/1000000</f>
        <v>100.73898994944339</v>
      </c>
      <c r="F14" s="2">
        <f>'Dot Product'!F22/1000000</f>
        <v>177420.01426135431</v>
      </c>
      <c r="G14" s="2">
        <f>'Dot Product'!G22/1000000</f>
        <v>10290.080117027803</v>
      </c>
      <c r="H14" s="2">
        <f>'Dot Product'!H22/1000000</f>
        <v>625890.51275305625</v>
      </c>
      <c r="I14" s="2">
        <f>'Dot Product'!I22/1000000</f>
        <v>543963.54328566743</v>
      </c>
      <c r="J14" s="2">
        <f>'Dot Product'!J22/1000000</f>
        <v>195.08675462904284</v>
      </c>
      <c r="K14" s="2">
        <f>'Dot Product'!K22/1000000</f>
        <v>5919.29791935717</v>
      </c>
      <c r="L14" s="2">
        <f>'Dot Product'!L22/1000000</f>
        <v>4874.3929433297681</v>
      </c>
      <c r="M14" s="2">
        <f>'Dot Product'!M22/1000000</f>
        <v>44823.831246688736</v>
      </c>
      <c r="N14" s="2">
        <f>'Dot Product'!N22/1000000</f>
        <v>101302.96592445619</v>
      </c>
      <c r="O14" s="2">
        <f>'Dot Product'!O22/1000000</f>
        <v>56.636633847947834</v>
      </c>
      <c r="P14" s="2">
        <f>'Dot Product'!P22/1000000</f>
        <v>33628.728919688765</v>
      </c>
    </row>
    <row r="15" spans="1:16" x14ac:dyDescent="0.25">
      <c r="A15" t="s">
        <v>45</v>
      </c>
      <c r="B15" s="2">
        <f>'Dot Product'!B40/1000000</f>
        <v>283143.2399272336</v>
      </c>
      <c r="C15" s="2">
        <f>'Dot Product'!C40/1000000</f>
        <v>12158.391221815196</v>
      </c>
      <c r="D15" s="2">
        <f>'Dot Product'!D40/1000000</f>
        <v>396.19280650606106</v>
      </c>
      <c r="E15" s="2">
        <f>'Dot Product'!E40/1000000</f>
        <v>283079.58173901349</v>
      </c>
      <c r="F15" s="2">
        <f>'Dot Product'!F40/1000000</f>
        <v>428584.72770342551</v>
      </c>
      <c r="G15" s="2">
        <f>'Dot Product'!G40/1000000</f>
        <v>2045876.881234373</v>
      </c>
      <c r="H15" s="2">
        <f>'Dot Product'!H40/1000000</f>
        <v>19712953.679836009</v>
      </c>
      <c r="I15" s="2">
        <f>'Dot Product'!I40/1000000</f>
        <v>12915782.728305332</v>
      </c>
      <c r="J15" s="2">
        <f>'Dot Product'!J40/1000000</f>
        <v>301.5615162695803</v>
      </c>
      <c r="K15" s="2">
        <f>'Dot Product'!K40/1000000</f>
        <v>809773.26659877831</v>
      </c>
      <c r="L15" s="2">
        <f>'Dot Product'!L40/1000000</f>
        <v>1869000.2624375154</v>
      </c>
      <c r="M15" s="2">
        <f>'Dot Product'!M40/1000000</f>
        <v>7487712.3194076866</v>
      </c>
      <c r="N15" s="2">
        <f>'Dot Product'!N40/1000000</f>
        <v>1025835.8388817699</v>
      </c>
      <c r="O15" s="2">
        <f>'Dot Product'!O40/1000000</f>
        <v>25.127385359472619</v>
      </c>
      <c r="P15" s="2">
        <f>'Dot Product'!P40/1000000</f>
        <v>3811310.7876946502</v>
      </c>
    </row>
    <row r="16" spans="1:16" x14ac:dyDescent="0.25">
      <c r="A16" t="s">
        <v>46</v>
      </c>
      <c r="B16" s="2">
        <f>'Dot Product'!B41/1000000</f>
        <v>261259.28289907216</v>
      </c>
      <c r="C16" s="2">
        <f>'Dot Product'!C41/1000000</f>
        <v>9772.7609862843201</v>
      </c>
      <c r="D16" s="2">
        <f>'Dot Product'!D41/1000000</f>
        <v>1393.0183117793117</v>
      </c>
      <c r="E16" s="2">
        <f>'Dot Product'!E41/1000000</f>
        <v>105346.80130586482</v>
      </c>
      <c r="F16" s="2">
        <f>'Dot Product'!F41/1000000</f>
        <v>171913.01545527118</v>
      </c>
      <c r="G16" s="2">
        <f>'Dot Product'!G41/1000000</f>
        <v>1452121.0192798765</v>
      </c>
      <c r="H16" s="2">
        <f>'Dot Product'!H41/1000000</f>
        <v>1319895.1265770041</v>
      </c>
      <c r="I16" s="2">
        <f>'Dot Product'!I41/1000000</f>
        <v>934468.71717653784</v>
      </c>
      <c r="J16" s="2">
        <f>'Dot Product'!J41/1000000</f>
        <v>165.68459912479832</v>
      </c>
      <c r="K16" s="2">
        <f>'Dot Product'!K41/1000000</f>
        <v>475795.98771873082</v>
      </c>
      <c r="L16" s="2">
        <f>'Dot Product'!L41/1000000</f>
        <v>1491232.8452762712</v>
      </c>
      <c r="M16" s="2">
        <f>'Dot Product'!M41/1000000</f>
        <v>2436148.3143748441</v>
      </c>
      <c r="N16" s="2">
        <f>'Dot Product'!N41/1000000</f>
        <v>199583.8514437032</v>
      </c>
      <c r="O16" s="2">
        <f>'Dot Product'!O41/1000000</f>
        <v>87.60176636039445</v>
      </c>
      <c r="P16" s="2">
        <f>'Dot Product'!P41/1000000</f>
        <v>3014517.4246090706</v>
      </c>
    </row>
    <row r="17" spans="1:16" x14ac:dyDescent="0.25">
      <c r="A17" t="s">
        <v>9</v>
      </c>
      <c r="B17" s="2">
        <f>'Dot Product'!B4/1000000</f>
        <v>222410.32922461798</v>
      </c>
      <c r="C17" s="2">
        <f>'Dot Product'!C4/1000000</f>
        <v>5.1094753310950407E-3</v>
      </c>
      <c r="D17" s="2">
        <f>'Dot Product'!D4/1000000</f>
        <v>929.83356857226943</v>
      </c>
      <c r="E17" s="2">
        <f>'Dot Product'!E4/1000000</f>
        <v>58.19968379384504</v>
      </c>
      <c r="F17" s="2">
        <f>'Dot Product'!F4/1000000</f>
        <v>113289.06019047821</v>
      </c>
      <c r="G17" s="2">
        <f>'Dot Product'!G4/1000000</f>
        <v>18451.691948818345</v>
      </c>
      <c r="H17" s="2">
        <f>'Dot Product'!H4/1000000</f>
        <v>618682.82807009341</v>
      </c>
      <c r="I17" s="2">
        <f>'Dot Product'!I4/1000000</f>
        <v>479631.16403122986</v>
      </c>
      <c r="J17" s="2">
        <f>'Dot Product'!J4/1000000</f>
        <v>140.54956352656293</v>
      </c>
      <c r="K17" s="2">
        <f>'Dot Product'!K4/1000000</f>
        <v>14932.273587855843</v>
      </c>
      <c r="L17" s="2">
        <f>'Dot Product'!L4/1000000</f>
        <v>3532.49229727584</v>
      </c>
      <c r="M17" s="2">
        <f>'Dot Product'!M4/1000000</f>
        <v>247874.47587398908</v>
      </c>
      <c r="N17" s="2">
        <f>'Dot Product'!N4/1000000</f>
        <v>95946.15160283864</v>
      </c>
      <c r="O17" s="2">
        <f>'Dot Product'!O4/1000000</f>
        <v>58.564941381947001</v>
      </c>
      <c r="P17" s="2">
        <f>'Dot Product'!P4/1000000</f>
        <v>23073.783649856585</v>
      </c>
    </row>
    <row r="18" spans="1:16" x14ac:dyDescent="0.25">
      <c r="A18" t="s">
        <v>16</v>
      </c>
      <c r="B18" s="2">
        <f>'Dot Product'!B11/1000000</f>
        <v>214089.0346331161</v>
      </c>
      <c r="C18" s="2">
        <f>'Dot Product'!C11/1000000</f>
        <v>117.9421774283244</v>
      </c>
      <c r="D18" s="2">
        <f>'Dot Product'!D11/1000000</f>
        <v>974.10491623225187</v>
      </c>
      <c r="E18" s="2">
        <f>'Dot Product'!E11/1000000</f>
        <v>1321.5909582311474</v>
      </c>
      <c r="F18" s="2">
        <f>'Dot Product'!F11/1000000</f>
        <v>109512.16388602291</v>
      </c>
      <c r="G18" s="2">
        <f>'Dot Product'!G11/1000000</f>
        <v>56161.108252348153</v>
      </c>
      <c r="H18" s="2">
        <f>'Dot Product'!H11/1000000</f>
        <v>1003656.6434807709</v>
      </c>
      <c r="I18" s="2">
        <f>'Dot Product'!I11/1000000</f>
        <v>726797.60543932964</v>
      </c>
      <c r="J18" s="2">
        <f>'Dot Product'!J11/1000000</f>
        <v>133.86024978237685</v>
      </c>
      <c r="K18" s="2">
        <f>'Dot Product'!K11/1000000</f>
        <v>39759.414087449251</v>
      </c>
      <c r="L18" s="2">
        <f>'Dot Product'!L11/1000000</f>
        <v>22385.71181962451</v>
      </c>
      <c r="M18" s="2">
        <f>'Dot Product'!M11/1000000</f>
        <v>655456.02783653338</v>
      </c>
      <c r="N18" s="2">
        <f>'Dot Product'!N11/1000000</f>
        <v>143269.53576129678</v>
      </c>
      <c r="O18" s="2">
        <f>'Dot Product'!O11/1000000</f>
        <v>61.31191290798472</v>
      </c>
      <c r="P18" s="2">
        <f>'Dot Product'!P11/1000000</f>
        <v>61772.454272995994</v>
      </c>
    </row>
    <row r="19" spans="1:16" x14ac:dyDescent="0.25">
      <c r="A19" t="s">
        <v>47</v>
      </c>
      <c r="B19" s="2">
        <f>'Dot Product'!B42/1000000</f>
        <v>200501.31013184608</v>
      </c>
      <c r="C19" s="2">
        <f>'Dot Product'!C42/1000000</f>
        <v>7500.0258731949443</v>
      </c>
      <c r="D19" s="2">
        <f>'Dot Product'!D42/1000000</f>
        <v>1069.0605648538906</v>
      </c>
      <c r="E19" s="2">
        <f>'Dot Product'!E42/1000000</f>
        <v>80847.545188221848</v>
      </c>
      <c r="F19" s="2">
        <f>'Dot Product'!F42/1000000</f>
        <v>131933.24441916161</v>
      </c>
      <c r="G19" s="2">
        <f>'Dot Product'!G42/1000000</f>
        <v>1114418.4566566495</v>
      </c>
      <c r="H19" s="2">
        <f>'Dot Product'!H42/1000000</f>
        <v>1012942.7715590962</v>
      </c>
      <c r="I19" s="2">
        <f>'Dot Product'!I42/1000000</f>
        <v>717150.41085641272</v>
      </c>
      <c r="J19" s="2">
        <f>'Dot Product'!J42/1000000</f>
        <v>127.1532970027522</v>
      </c>
      <c r="K19" s="2">
        <f>'Dot Product'!K42/1000000</f>
        <v>365145.75801670045</v>
      </c>
      <c r="L19" s="2">
        <f>'Dot Product'!L42/1000000</f>
        <v>1144434.5091655105</v>
      </c>
      <c r="M19" s="2">
        <f>'Dot Product'!M42/1000000</f>
        <v>1869602.1947527877</v>
      </c>
      <c r="N19" s="2">
        <f>'Dot Product'!N42/1000000</f>
        <v>153169.00227074896</v>
      </c>
      <c r="O19" s="2">
        <f>'Dot Product'!O42/1000000</f>
        <v>67.229262555651545</v>
      </c>
      <c r="P19" s="2">
        <f>'Dot Product'!P42/1000000</f>
        <v>2313466.8607464964</v>
      </c>
    </row>
    <row r="20" spans="1:16" x14ac:dyDescent="0.25">
      <c r="A20" t="s">
        <v>54</v>
      </c>
      <c r="B20" s="2">
        <f>'Dot Product'!B49/1000000</f>
        <v>172091.48820431769</v>
      </c>
      <c r="C20" s="2">
        <f>'Dot Product'!C49/1000000</f>
        <v>9251.4618502966659</v>
      </c>
      <c r="D20" s="2">
        <f>'Dot Product'!D49/1000000</f>
        <v>660.35502807852174</v>
      </c>
      <c r="E20" s="2">
        <f>'Dot Product'!E49/1000000</f>
        <v>287488.77521136549</v>
      </c>
      <c r="F20" s="2">
        <f>'Dot Product'!F49/1000000</f>
        <v>314988.82286933239</v>
      </c>
      <c r="G20" s="2">
        <f>'Dot Product'!G49/1000000</f>
        <v>1351001.6060036256</v>
      </c>
      <c r="H20" s="2">
        <f>'Dot Product'!H49/1000000</f>
        <v>17187597.35226598</v>
      </c>
      <c r="I20" s="2">
        <f>'Dot Product'!I49/1000000</f>
        <v>11079929.023172827</v>
      </c>
      <c r="J20" s="2">
        <f>'Dot Product'!J49/1000000</f>
        <v>314.40842916175103</v>
      </c>
      <c r="K20" s="2">
        <f>'Dot Product'!K49/1000000</f>
        <v>421938.34820663644</v>
      </c>
      <c r="L20" s="2">
        <f>'Dot Product'!L49/1000000</f>
        <v>1408783.0685609621</v>
      </c>
      <c r="M20" s="2">
        <f>'Dot Product'!M49/1000000</f>
        <v>1995313.0583904828</v>
      </c>
      <c r="N20" s="2">
        <f>'Dot Product'!N49/1000000</f>
        <v>374680.3981401932</v>
      </c>
      <c r="O20" s="2">
        <f>'Dot Product'!O49/1000000</f>
        <v>41.537891526398468</v>
      </c>
      <c r="P20" s="2">
        <f>'Dot Product'!P49/1000000</f>
        <v>2852437.916549345</v>
      </c>
    </row>
    <row r="21" spans="1:16" x14ac:dyDescent="0.25">
      <c r="A21" t="s">
        <v>53</v>
      </c>
      <c r="B21" s="2">
        <f>'Dot Product'!B48/1000000</f>
        <v>141657.45182128242</v>
      </c>
      <c r="C21" s="2">
        <f>'Dot Product'!C48/1000000</f>
        <v>7266.8633781910612</v>
      </c>
      <c r="D21" s="2">
        <f>'Dot Product'!D48/1000000</f>
        <v>664.8333023374887</v>
      </c>
      <c r="E21" s="2">
        <f>'Dot Product'!E48/1000000</f>
        <v>78327.805405081512</v>
      </c>
      <c r="F21" s="2">
        <f>'Dot Product'!F48/1000000</f>
        <v>105362.20788416167</v>
      </c>
      <c r="G21" s="2">
        <f>'Dot Product'!G48/1000000</f>
        <v>1059725.2808929819</v>
      </c>
      <c r="H21" s="2">
        <f>'Dot Product'!H48/1000000</f>
        <v>550434.23132977833</v>
      </c>
      <c r="I21" s="2">
        <f>'Dot Product'!I48/1000000</f>
        <v>403413.83854521014</v>
      </c>
      <c r="J21" s="2">
        <f>'Dot Product'!J48/1000000</f>
        <v>89.612233662308384</v>
      </c>
      <c r="K21" s="2">
        <f>'Dot Product'!K48/1000000</f>
        <v>335441.05134747195</v>
      </c>
      <c r="L21" s="2">
        <f>'Dot Product'!L48/1000000</f>
        <v>1107416.5183667918</v>
      </c>
      <c r="M21" s="2">
        <f>'Dot Product'!M48/1000000</f>
        <v>1459393.1940016309</v>
      </c>
      <c r="N21" s="2">
        <f>'Dot Product'!N48/1000000</f>
        <v>89400.485829244615</v>
      </c>
      <c r="O21" s="2">
        <f>'Dot Product'!O48/1000000</f>
        <v>41.842510684734229</v>
      </c>
      <c r="P21" s="2">
        <f>'Dot Product'!P48/1000000</f>
        <v>2234398.6313158995</v>
      </c>
    </row>
    <row r="22" spans="1:16" x14ac:dyDescent="0.25">
      <c r="A22" t="s">
        <v>57</v>
      </c>
      <c r="B22" s="2">
        <f>'Dot Product'!B52/1000000</f>
        <v>115974.19110253906</v>
      </c>
      <c r="C22" s="2">
        <f>'Dot Product'!C52/1000000</f>
        <v>9469.5830682812684</v>
      </c>
      <c r="D22" s="2">
        <f>'Dot Product'!D52/1000000</f>
        <v>224.28775891717649</v>
      </c>
      <c r="E22" s="2">
        <f>'Dot Product'!E52/1000000</f>
        <v>102061.04500075226</v>
      </c>
      <c r="F22" s="2">
        <f>'Dot Product'!F52/1000000</f>
        <v>128118.21672011376</v>
      </c>
      <c r="G22" s="2">
        <f>'Dot Product'!G52/1000000</f>
        <v>1434656.3583449814</v>
      </c>
      <c r="H22" s="2">
        <f>'Dot Product'!H52/1000000</f>
        <v>1729789.6503096772</v>
      </c>
      <c r="I22" s="2">
        <f>'Dot Product'!I52/1000000</f>
        <v>1202025.5820223275</v>
      </c>
      <c r="J22" s="2">
        <f>'Dot Product'!J52/1000000</f>
        <v>60.968614352550894</v>
      </c>
      <c r="K22" s="2">
        <f>'Dot Product'!K52/1000000</f>
        <v>487785.08191128948</v>
      </c>
      <c r="L22" s="2">
        <f>'Dot Product'!L52/1000000</f>
        <v>1445922.237013015</v>
      </c>
      <c r="M22" s="2">
        <f>'Dot Product'!M52/1000000</f>
        <v>2903974.659156831</v>
      </c>
      <c r="N22" s="2">
        <f>'Dot Product'!N52/1000000</f>
        <v>231132.55842077546</v>
      </c>
      <c r="O22" s="2">
        <f>'Dot Product'!O52/1000000</f>
        <v>14.2150126915784</v>
      </c>
      <c r="P22" s="2">
        <f>'Dot Product'!P52/1000000</f>
        <v>2919891.6611062074</v>
      </c>
    </row>
    <row r="23" spans="1:16" x14ac:dyDescent="0.25">
      <c r="A23" t="s">
        <v>40</v>
      </c>
      <c r="B23" s="2">
        <f>'Dot Product'!B35/1000000</f>
        <v>109086.97339504528</v>
      </c>
      <c r="C23" s="2">
        <f>'Dot Product'!C35/1000000</f>
        <v>3599.8268049860962</v>
      </c>
      <c r="D23" s="2">
        <f>'Dot Product'!D35/1000000</f>
        <v>231.45584045034911</v>
      </c>
      <c r="E23" s="2">
        <f>'Dot Product'!E35/1000000</f>
        <v>38820.980553520756</v>
      </c>
      <c r="F23" s="2">
        <f>'Dot Product'!F35/1000000</f>
        <v>85984.825343556426</v>
      </c>
      <c r="G23" s="2">
        <f>'Dot Product'!G35/1000000</f>
        <v>541278.99199973128</v>
      </c>
      <c r="H23" s="2">
        <f>'Dot Product'!H35/1000000</f>
        <v>670692.57328973385</v>
      </c>
      <c r="I23" s="2">
        <f>'Dot Product'!I35/1000000</f>
        <v>494918.49448948877</v>
      </c>
      <c r="J23" s="2">
        <f>'Dot Product'!J35/1000000</f>
        <v>63.540655699944601</v>
      </c>
      <c r="K23" s="2">
        <f>'Dot Product'!K35/1000000</f>
        <v>180791.31099589603</v>
      </c>
      <c r="L23" s="2">
        <f>'Dot Product'!L35/1000000</f>
        <v>550388.40937153378</v>
      </c>
      <c r="M23" s="2">
        <f>'Dot Product'!M35/1000000</f>
        <v>997553.05791656685</v>
      </c>
      <c r="N23" s="2">
        <f>'Dot Product'!N35/1000000</f>
        <v>94173.675113082398</v>
      </c>
      <c r="O23" s="2">
        <f>'Dot Product'!O35/1000000</f>
        <v>14.668569861711839</v>
      </c>
      <c r="P23" s="2">
        <f>'Dot Product'!P35/1000000</f>
        <v>1116035.1848093346</v>
      </c>
    </row>
    <row r="24" spans="1:16" x14ac:dyDescent="0.25">
      <c r="A24" t="s">
        <v>51</v>
      </c>
      <c r="B24" s="2">
        <f>'Dot Product'!B46/1000000</f>
        <v>103457.12216315164</v>
      </c>
      <c r="C24" s="2">
        <f>'Dot Product'!C46/1000000</f>
        <v>4118.2427005830195</v>
      </c>
      <c r="D24" s="2">
        <f>'Dot Product'!D46/1000000</f>
        <v>841.84993421689546</v>
      </c>
      <c r="E24" s="2">
        <f>'Dot Product'!E46/1000000</f>
        <v>44379.037565076789</v>
      </c>
      <c r="F24" s="2">
        <f>'Dot Product'!F46/1000000</f>
        <v>58364.402081117019</v>
      </c>
      <c r="G24" s="2">
        <f>'Dot Product'!G46/1000000</f>
        <v>624660.4139016649</v>
      </c>
      <c r="H24" s="2">
        <f>'Dot Product'!H46/1000000</f>
        <v>758042.20802956587</v>
      </c>
      <c r="I24" s="2">
        <f>'Dot Product'!I46/1000000</f>
        <v>505221.84827224445</v>
      </c>
      <c r="J24" s="2">
        <f>'Dot Product'!J46/1000000</f>
        <v>68.204511900125155</v>
      </c>
      <c r="K24" s="2">
        <f>'Dot Product'!K46/1000000</f>
        <v>212754.95175298219</v>
      </c>
      <c r="L24" s="2">
        <f>'Dot Product'!L46/1000000</f>
        <v>628540.51940808317</v>
      </c>
      <c r="M24" s="2">
        <f>'Dot Product'!M46/1000000</f>
        <v>1273277.1795753022</v>
      </c>
      <c r="N24" s="2">
        <f>'Dot Product'!N46/1000000</f>
        <v>110886.01593281726</v>
      </c>
      <c r="O24" s="2">
        <f>'Dot Product'!O46/1000000</f>
        <v>52.840735038060672</v>
      </c>
      <c r="P24" s="2">
        <f>'Dot Product'!P46/1000000</f>
        <v>1269571.7626556009</v>
      </c>
    </row>
    <row r="25" spans="1:16" x14ac:dyDescent="0.25">
      <c r="A25" t="s">
        <v>14</v>
      </c>
      <c r="B25" s="2">
        <f>'Dot Product'!B9/1000000</f>
        <v>99687.714441194112</v>
      </c>
      <c r="C25" s="2">
        <f>'Dot Product'!C9/1000000</f>
        <v>2.8581731916757945E-3</v>
      </c>
      <c r="D25" s="2">
        <f>'Dot Product'!D9/1000000</f>
        <v>447.19739433372791</v>
      </c>
      <c r="E25" s="2">
        <f>'Dot Product'!E9/1000000</f>
        <v>24.570360736360893</v>
      </c>
      <c r="F25" s="2">
        <f>'Dot Product'!F9/1000000</f>
        <v>49983.382144124349</v>
      </c>
      <c r="G25" s="2">
        <f>'Dot Product'!G9/1000000</f>
        <v>11909.580477423682</v>
      </c>
      <c r="H25" s="2">
        <f>'Dot Product'!H9/1000000</f>
        <v>343982.76061881875</v>
      </c>
      <c r="I25" s="2">
        <f>'Dot Product'!I9/1000000</f>
        <v>257026.56174602726</v>
      </c>
      <c r="J25" s="2">
        <f>'Dot Product'!J9/1000000</f>
        <v>63.007336046757331</v>
      </c>
      <c r="K25" s="2">
        <f>'Dot Product'!K9/1000000</f>
        <v>10127.635237268991</v>
      </c>
      <c r="L25" s="2">
        <f>'Dot Product'!L9/1000000</f>
        <v>1731.69583064521</v>
      </c>
      <c r="M25" s="2">
        <f>'Dot Product'!M9/1000000</f>
        <v>179030.82121714827</v>
      </c>
      <c r="N25" s="2">
        <f>'Dot Product'!N9/1000000</f>
        <v>51463.540092172632</v>
      </c>
      <c r="O25" s="2">
        <f>'Dot Product'!O9/1000000</f>
        <v>28.152154677694899</v>
      </c>
      <c r="P25" s="2">
        <f>'Dot Product'!P9/1000000</f>
        <v>10778.548702259359</v>
      </c>
    </row>
    <row r="26" spans="1:16" x14ac:dyDescent="0.25">
      <c r="A26" t="s">
        <v>23</v>
      </c>
      <c r="B26" s="2">
        <f>'Dot Product'!B18/1000000</f>
        <v>94134.505314159105</v>
      </c>
      <c r="C26" s="2">
        <f>'Dot Product'!C18/1000000</f>
        <v>3636.3235074048744</v>
      </c>
      <c r="D26" s="2">
        <f>'Dot Product'!D18/1000000</f>
        <v>807.20603147195766</v>
      </c>
      <c r="E26" s="2">
        <f>'Dot Product'!E18/1000000</f>
        <v>39182.534590949879</v>
      </c>
      <c r="F26" s="2">
        <f>'Dot Product'!F18/1000000</f>
        <v>53965.738223880689</v>
      </c>
      <c r="G26" s="2">
        <f>'Dot Product'!G18/1000000</f>
        <v>572714.17762673949</v>
      </c>
      <c r="H26" s="2">
        <f>'Dot Product'!H18/1000000</f>
        <v>1076970.6642494751</v>
      </c>
      <c r="I26" s="2">
        <f>'Dot Product'!I18/1000000</f>
        <v>713704.74996312219</v>
      </c>
      <c r="J26" s="2">
        <f>'Dot Product'!J18/1000000</f>
        <v>60.227184302661051</v>
      </c>
      <c r="K26" s="2">
        <f>'Dot Product'!K18/1000000</f>
        <v>207676.76147015154</v>
      </c>
      <c r="L26" s="2">
        <f>'Dot Product'!L18/1000000</f>
        <v>556100.62635833141</v>
      </c>
      <c r="M26" s="2">
        <f>'Dot Product'!M18/1000000</f>
        <v>1513557.3928239234</v>
      </c>
      <c r="N26" s="2">
        <f>'Dot Product'!N18/1000000</f>
        <v>148627.80325405678</v>
      </c>
      <c r="O26" s="2">
        <f>'Dot Product'!O18/1000000</f>
        <v>50.65025084137671</v>
      </c>
      <c r="P26" s="2">
        <f>'Dot Product'!P18/1000000</f>
        <v>1124984.5088975166</v>
      </c>
    </row>
    <row r="27" spans="1:16" x14ac:dyDescent="0.25">
      <c r="A27" t="s">
        <v>34</v>
      </c>
      <c r="B27" s="2">
        <f>'Dot Product'!B29/1000000</f>
        <v>78577.805457168521</v>
      </c>
      <c r="C27" s="2">
        <f>'Dot Product'!C29/1000000</f>
        <v>8.2423136354166666E-3</v>
      </c>
      <c r="D27" s="2">
        <f>'Dot Product'!D29/1000000</f>
        <v>8.1774639420289855E-3</v>
      </c>
      <c r="E27" s="2">
        <f>'Dot Product'!E29/1000000</f>
        <v>316616.9600610761</v>
      </c>
      <c r="F27" s="2">
        <f>'Dot Product'!F29/1000000</f>
        <v>358354.14221406332</v>
      </c>
      <c r="G27" s="2">
        <f>'Dot Product'!G29/1000000</f>
        <v>29298.232662228398</v>
      </c>
      <c r="H27" s="2">
        <f>'Dot Product'!H29/1000000</f>
        <v>28424549.492832921</v>
      </c>
      <c r="I27" s="2">
        <f>'Dot Product'!I29/1000000</f>
        <v>18265415.534781847</v>
      </c>
      <c r="J27" s="2">
        <f>'Dot Product'!J29/1000000</f>
        <v>392.89162943027014</v>
      </c>
      <c r="K27" s="2">
        <f>'Dot Product'!K29/1000000</f>
        <v>14823.516472216956</v>
      </c>
      <c r="L27" s="2">
        <f>'Dot Product'!L29/1000000</f>
        <v>816.00926221668169</v>
      </c>
      <c r="M27" s="2">
        <f>'Dot Product'!M29/1000000</f>
        <v>671643.55566944508</v>
      </c>
      <c r="N27" s="2">
        <f>'Dot Product'!N29/1000000</f>
        <v>524343.85866861965</v>
      </c>
      <c r="O27" s="2">
        <f>'Dot Product'!O29/1000000</f>
        <v>1.3552920340485074E-3</v>
      </c>
      <c r="P27" s="2">
        <f>'Dot Product'!P29/1000000</f>
        <v>27188.626765820711</v>
      </c>
    </row>
    <row r="28" spans="1:16" x14ac:dyDescent="0.25">
      <c r="A28" t="s">
        <v>11</v>
      </c>
      <c r="B28" s="2">
        <f>'Dot Product'!B6/1000000</f>
        <v>65538.930113389317</v>
      </c>
      <c r="C28" s="2">
        <f>'Dot Product'!C6/1000000</f>
        <v>266.62320438359239</v>
      </c>
      <c r="D28" s="2">
        <f>'Dot Product'!D6/1000000</f>
        <v>258.34429450207307</v>
      </c>
      <c r="E28" s="2">
        <f>'Dot Product'!E6/1000000</f>
        <v>2890.7194536705229</v>
      </c>
      <c r="F28" s="2">
        <f>'Dot Product'!F6/1000000</f>
        <v>34821.315265047022</v>
      </c>
      <c r="G28" s="2">
        <f>'Dot Product'!G6/1000000</f>
        <v>40098.603789276589</v>
      </c>
      <c r="H28" s="2">
        <f>'Dot Product'!H6/1000000</f>
        <v>116823.16003518667</v>
      </c>
      <c r="I28" s="2">
        <f>'Dot Product'!I6/1000000</f>
        <v>98986.842804693093</v>
      </c>
      <c r="J28" s="2">
        <f>'Dot Product'!J6/1000000</f>
        <v>41.606646247961393</v>
      </c>
      <c r="K28" s="2">
        <f>'Dot Product'!K6/1000000</f>
        <v>12794.978355924963</v>
      </c>
      <c r="L28" s="2">
        <f>'Dot Product'!L6/1000000</f>
        <v>41411.723097130445</v>
      </c>
      <c r="M28" s="2">
        <f>'Dot Product'!M6/1000000</f>
        <v>50543.6832319358</v>
      </c>
      <c r="N28" s="2">
        <f>'Dot Product'!N6/1000000</f>
        <v>20407.356242698505</v>
      </c>
      <c r="O28" s="2">
        <f>'Dot Product'!O6/1000000</f>
        <v>16.27965574221875</v>
      </c>
      <c r="P28" s="2">
        <f>'Dot Product'!P6/1000000</f>
        <v>87657.37855321294</v>
      </c>
    </row>
    <row r="29" spans="1:16" x14ac:dyDescent="0.25">
      <c r="A29" t="s">
        <v>39</v>
      </c>
      <c r="B29" s="2">
        <f>'Dot Product'!B34/1000000</f>
        <v>65517.515420204509</v>
      </c>
      <c r="C29" s="2">
        <f>'Dot Product'!C34/1000000</f>
        <v>338.26683824640395</v>
      </c>
      <c r="D29" s="2">
        <f>'Dot Product'!D34/1000000</f>
        <v>121.9110370953651</v>
      </c>
      <c r="E29" s="2">
        <f>'Dot Product'!E34/1000000</f>
        <v>3665.301715771142</v>
      </c>
      <c r="F29" s="2">
        <f>'Dot Product'!F34/1000000</f>
        <v>46158.296476340016</v>
      </c>
      <c r="G29" s="2">
        <f>'Dot Product'!G34/1000000</f>
        <v>79988.896108344241</v>
      </c>
      <c r="H29" s="2">
        <f>'Dot Product'!H34/1000000</f>
        <v>711796.46727782406</v>
      </c>
      <c r="I29" s="2">
        <f>'Dot Product'!I34/1000000</f>
        <v>503683.90118288703</v>
      </c>
      <c r="J29" s="2">
        <f>'Dot Product'!J34/1000000</f>
        <v>35.990549846403539</v>
      </c>
      <c r="K29" s="2">
        <f>'Dot Product'!K34/1000000</f>
        <v>43549.242081234072</v>
      </c>
      <c r="L29" s="2">
        <f>'Dot Product'!L34/1000000</f>
        <v>54186.726051584053</v>
      </c>
      <c r="M29" s="2">
        <f>'Dot Product'!M34/1000000</f>
        <v>601544.82232112484</v>
      </c>
      <c r="N29" s="2">
        <f>'Dot Product'!N34/1000000</f>
        <v>92166.4818943672</v>
      </c>
      <c r="O29" s="2">
        <f>'Dot Product'!O34/1000000</f>
        <v>7.7337604533107784</v>
      </c>
      <c r="P29" s="2">
        <f>'Dot Product'!P34/1000000</f>
        <v>116782.92326801168</v>
      </c>
    </row>
    <row r="30" spans="1:16" x14ac:dyDescent="0.25">
      <c r="A30" t="s">
        <v>50</v>
      </c>
      <c r="B30" s="2">
        <f>'Dot Product'!B45/1000000</f>
        <v>60874.428832906822</v>
      </c>
      <c r="C30" s="2">
        <f>'Dot Product'!C45/1000000</f>
        <v>3051.1970907148807</v>
      </c>
      <c r="D30" s="2">
        <f>'Dot Product'!D45/1000000</f>
        <v>405.71033345062892</v>
      </c>
      <c r="E30" s="2">
        <f>'Dot Product'!E45/1000000</f>
        <v>32883.533674757084</v>
      </c>
      <c r="F30" s="2">
        <f>'Dot Product'!F45/1000000</f>
        <v>39822.490193813246</v>
      </c>
      <c r="G30" s="2">
        <f>'Dot Product'!G45/1000000</f>
        <v>447309.74483454024</v>
      </c>
      <c r="H30" s="2">
        <f>'Dot Product'!H45/1000000</f>
        <v>262241.19982484257</v>
      </c>
      <c r="I30" s="2">
        <f>'Dot Product'!I45/1000000</f>
        <v>181737.73077337656</v>
      </c>
      <c r="J30" s="2">
        <f>'Dot Product'!J45/1000000</f>
        <v>40.025801086901886</v>
      </c>
      <c r="K30" s="2">
        <f>'Dot Product'!K45/1000000</f>
        <v>143145.63633367274</v>
      </c>
      <c r="L30" s="2">
        <f>'Dot Product'!L45/1000000</f>
        <v>464914.16901918576</v>
      </c>
      <c r="M30" s="2">
        <f>'Dot Product'!M45/1000000</f>
        <v>659712.85939901974</v>
      </c>
      <c r="N30" s="2">
        <f>'Dot Product'!N45/1000000</f>
        <v>42604.822846783842</v>
      </c>
      <c r="O30" s="2">
        <f>'Dot Product'!O45/1000000</f>
        <v>25.487953360801175</v>
      </c>
      <c r="P30" s="2">
        <f>'Dot Product'!P45/1000000</f>
        <v>937606.22026211361</v>
      </c>
    </row>
    <row r="31" spans="1:16" x14ac:dyDescent="0.25">
      <c r="A31" t="s">
        <v>32</v>
      </c>
      <c r="B31" s="2">
        <f>'Dot Product'!B27/1000000</f>
        <v>46243.485453324633</v>
      </c>
      <c r="C31" s="2">
        <f>'Dot Product'!C27/1000000</f>
        <v>1.0655067430830041E-3</v>
      </c>
      <c r="D31" s="2">
        <f>'Dot Product'!D27/1000000</f>
        <v>94.963872198315698</v>
      </c>
      <c r="E31" s="2">
        <f>'Dot Product'!E27/1000000</f>
        <v>16.240621038350792</v>
      </c>
      <c r="F31" s="2">
        <f>'Dot Product'!F27/1000000</f>
        <v>27666.800632665967</v>
      </c>
      <c r="G31" s="2">
        <f>'Dot Product'!G27/1000000</f>
        <v>1603.6501061602519</v>
      </c>
      <c r="H31" s="2">
        <f>'Dot Product'!H27/1000000</f>
        <v>98489.203987708621</v>
      </c>
      <c r="I31" s="2">
        <f>'Dot Product'!I27/1000000</f>
        <v>86836.317239202312</v>
      </c>
      <c r="J31" s="2">
        <f>'Dot Product'!J27/1000000</f>
        <v>28.035933744284112</v>
      </c>
      <c r="K31" s="2">
        <f>'Dot Product'!K27/1000000</f>
        <v>923.22880974811585</v>
      </c>
      <c r="L31" s="2">
        <f>'Dot Product'!L27/1000000</f>
        <v>783.49029245700854</v>
      </c>
      <c r="M31" s="2">
        <f>'Dot Product'!M27/1000000</f>
        <v>7042.3715671884083</v>
      </c>
      <c r="N31" s="2">
        <f>'Dot Product'!N27/1000000</f>
        <v>15335.502261152198</v>
      </c>
      <c r="O31" s="2">
        <f>'Dot Product'!O27/1000000</f>
        <v>6.0239034762439987</v>
      </c>
      <c r="P31" s="2">
        <f>'Dot Product'!P27/1000000</f>
        <v>5297.0533963939206</v>
      </c>
    </row>
    <row r="32" spans="1:16" x14ac:dyDescent="0.25">
      <c r="A32" t="s">
        <v>41</v>
      </c>
      <c r="B32" s="2">
        <f>'Dot Product'!B36/1000000</f>
        <v>38465.721380225041</v>
      </c>
      <c r="C32" s="2">
        <f>'Dot Product'!C36/1000000</f>
        <v>1909.440623115556</v>
      </c>
      <c r="D32" s="2">
        <f>'Dot Product'!D36/1000000</f>
        <v>78.997254994525306</v>
      </c>
      <c r="E32" s="2">
        <f>'Dot Product'!E36/1000000</f>
        <v>20586.127155425158</v>
      </c>
      <c r="F32" s="2">
        <f>'Dot Product'!F36/1000000</f>
        <v>32259.920615636278</v>
      </c>
      <c r="G32" s="2">
        <f>'Dot Product'!G36/1000000</f>
        <v>274562.05449441442</v>
      </c>
      <c r="H32" s="2">
        <f>'Dot Product'!H36/1000000</f>
        <v>84018.453664657442</v>
      </c>
      <c r="I32" s="2">
        <f>'Dot Product'!I36/1000000</f>
        <v>73463.127552947248</v>
      </c>
      <c r="J32" s="2">
        <f>'Dot Product'!J36/1000000</f>
        <v>23.320941083338315</v>
      </c>
      <c r="K32" s="2">
        <f>'Dot Product'!K36/1000000</f>
        <v>84391.134505700611</v>
      </c>
      <c r="L32" s="2">
        <f>'Dot Product'!L36/1000000</f>
        <v>290960.24479340186</v>
      </c>
      <c r="M32" s="2">
        <f>'Dot Product'!M36/1000000</f>
        <v>307908.38423515216</v>
      </c>
      <c r="N32" s="2">
        <f>'Dot Product'!N36/1000000</f>
        <v>15230.703778091069</v>
      </c>
      <c r="O32" s="2">
        <f>'Dot Product'!O36/1000000</f>
        <v>5.0116782088088456</v>
      </c>
      <c r="P32" s="2">
        <f>'Dot Product'!P36/1000000</f>
        <v>587410.32224213064</v>
      </c>
    </row>
    <row r="33" spans="1:16" x14ac:dyDescent="0.25">
      <c r="A33" t="s">
        <v>6</v>
      </c>
      <c r="B33" s="2">
        <f>'Dot Product'!B2/1000000</f>
        <v>36049.139049351717</v>
      </c>
      <c r="C33" s="2">
        <f>'Dot Product'!C2/1000000</f>
        <v>7.1482148878394337E-4</v>
      </c>
      <c r="D33" s="2">
        <f>'Dot Product'!D2/1000000</f>
        <v>282.14151139746798</v>
      </c>
      <c r="E33" s="2">
        <f>'Dot Product'!E2/1000000</f>
        <v>4.4690889355684771</v>
      </c>
      <c r="F33" s="2">
        <f>'Dot Product'!F2/1000000</f>
        <v>12014.706013136549</v>
      </c>
      <c r="G33" s="2">
        <f>'Dot Product'!G2/1000000</f>
        <v>701.95755320144815</v>
      </c>
      <c r="H33" s="2">
        <f>'Dot Product'!H2/1000000</f>
        <v>38017.155476361586</v>
      </c>
      <c r="I33" s="2">
        <f>'Dot Product'!I2/1000000</f>
        <v>26910.942049962374</v>
      </c>
      <c r="J33" s="2">
        <f>'Dot Product'!J2/1000000</f>
        <v>25.004321302110398</v>
      </c>
      <c r="K33" s="2">
        <f>'Dot Product'!K2/1000000</f>
        <v>400.08117598908746</v>
      </c>
      <c r="L33" s="2">
        <f>'Dot Product'!L2/1000000</f>
        <v>214.7733396839711</v>
      </c>
      <c r="M33" s="2">
        <f>'Dot Product'!M2/1000000</f>
        <v>2776.8554785814995</v>
      </c>
      <c r="N33" s="2">
        <f>'Dot Product'!N2/1000000</f>
        <v>9142.3739883577018</v>
      </c>
      <c r="O33" s="2">
        <f>'Dot Product'!O2/1000000</f>
        <v>17.715400261213357</v>
      </c>
      <c r="P33" s="2">
        <f>'Dot Product'!P2/1000000</f>
        <v>2015.7886924576594</v>
      </c>
    </row>
    <row r="34" spans="1:16" x14ac:dyDescent="0.25">
      <c r="A34" t="s">
        <v>56</v>
      </c>
      <c r="B34" s="2">
        <f>'Dot Product'!B51/1000000</f>
        <v>29218.985040230476</v>
      </c>
      <c r="C34" s="2">
        <f>'Dot Product'!C51/1000000</f>
        <v>2345.4517490689186</v>
      </c>
      <c r="D34" s="2">
        <f>'Dot Product'!D51/1000000</f>
        <v>55.50517192318037</v>
      </c>
      <c r="E34" s="2">
        <f>'Dot Product'!E51/1000000</f>
        <v>25279.15107927088</v>
      </c>
      <c r="F34" s="2">
        <f>'Dot Product'!F51/1000000</f>
        <v>31773.545520019074</v>
      </c>
      <c r="G34" s="2">
        <f>'Dot Product'!G51/1000000</f>
        <v>353485.32489985484</v>
      </c>
      <c r="H34" s="2">
        <f>'Dot Product'!H51/1000000</f>
        <v>393235.43639487791</v>
      </c>
      <c r="I34" s="2">
        <f>'Dot Product'!I51/1000000</f>
        <v>274665.07709608623</v>
      </c>
      <c r="J34" s="2">
        <f>'Dot Product'!J51/1000000</f>
        <v>15.610976398806429</v>
      </c>
      <c r="K34" s="2">
        <f>'Dot Product'!K51/1000000</f>
        <v>119073.11998106504</v>
      </c>
      <c r="L34" s="2">
        <f>'Dot Product'!L51/1000000</f>
        <v>358036.3910230195</v>
      </c>
      <c r="M34" s="2">
        <f>'Dot Product'!M51/1000000</f>
        <v>684924.12104303227</v>
      </c>
      <c r="N34" s="2">
        <f>'Dot Product'!N51/1000000</f>
        <v>52956.121409220155</v>
      </c>
      <c r="O34" s="2">
        <f>'Dot Product'!O51/1000000</f>
        <v>3.5194390244566254</v>
      </c>
      <c r="P34" s="2">
        <f>'Dot Product'!P51/1000000</f>
        <v>722898.3871592154</v>
      </c>
    </row>
    <row r="35" spans="1:16" x14ac:dyDescent="0.25">
      <c r="A35" t="s">
        <v>52</v>
      </c>
      <c r="B35" s="2">
        <f>'Dot Product'!B47/1000000</f>
        <v>28997.141055571446</v>
      </c>
      <c r="C35" s="2">
        <f>'Dot Product'!C47/1000000</f>
        <v>1473.920535191199</v>
      </c>
      <c r="D35" s="2">
        <f>'Dot Product'!D47/1000000</f>
        <v>150.92016853054008</v>
      </c>
      <c r="E35" s="2">
        <f>'Dot Product'!E47/1000000</f>
        <v>15886.828350745256</v>
      </c>
      <c r="F35" s="2">
        <f>'Dot Product'!F47/1000000</f>
        <v>20322.789785780285</v>
      </c>
      <c r="G35" s="2">
        <f>'Dot Product'!G47/1000000</f>
        <v>211863.59325347861</v>
      </c>
      <c r="H35" s="2">
        <f>'Dot Product'!H47/1000000</f>
        <v>50064.215508977388</v>
      </c>
      <c r="I35" s="2">
        <f>'Dot Product'!I47/1000000</f>
        <v>39956.952432594691</v>
      </c>
      <c r="J35" s="2">
        <f>'Dot Product'!J47/1000000</f>
        <v>18.939791822966946</v>
      </c>
      <c r="K35" s="2">
        <f>'Dot Product'!K47/1000000</f>
        <v>65166.711741108687</v>
      </c>
      <c r="L35" s="2">
        <f>'Dot Product'!L47/1000000</f>
        <v>224420.70828879427</v>
      </c>
      <c r="M35" s="2">
        <f>'Dot Product'!M47/1000000</f>
        <v>239881.78352594748</v>
      </c>
      <c r="N35" s="2">
        <f>'Dot Product'!N47/1000000</f>
        <v>10745.970990360047</v>
      </c>
      <c r="O35" s="2">
        <f>'Dot Product'!O47/1000000</f>
        <v>9.4939616622140779</v>
      </c>
      <c r="P35" s="2">
        <f>'Dot Product'!P47/1000000</f>
        <v>452459.88421674469</v>
      </c>
    </row>
    <row r="36" spans="1:16" x14ac:dyDescent="0.25">
      <c r="A36" t="s">
        <v>49</v>
      </c>
      <c r="B36" s="2">
        <f>'Dot Product'!B44/1000000</f>
        <v>28898.12754822012</v>
      </c>
      <c r="C36" s="2">
        <f>'Dot Product'!C44/1000000</f>
        <v>1122.8817616239771</v>
      </c>
      <c r="D36" s="2">
        <f>'Dot Product'!D44/1000000</f>
        <v>210.50427925878191</v>
      </c>
      <c r="E36" s="2">
        <f>'Dot Product'!E44/1000000</f>
        <v>12101.99066100832</v>
      </c>
      <c r="F36" s="2">
        <f>'Dot Product'!F44/1000000</f>
        <v>16342.852547856724</v>
      </c>
      <c r="G36" s="2">
        <f>'Dot Product'!G44/1000000</f>
        <v>164704.72101241013</v>
      </c>
      <c r="H36" s="2">
        <f>'Dot Product'!H44/1000000</f>
        <v>101225.75024231717</v>
      </c>
      <c r="I36" s="2">
        <f>'Dot Product'!I44/1000000</f>
        <v>69565.886570697607</v>
      </c>
      <c r="J36" s="2">
        <f>'Dot Product'!J44/1000000</f>
        <v>19.393467448611435</v>
      </c>
      <c r="K36" s="2">
        <f>'Dot Product'!K44/1000000</f>
        <v>52725.884618992844</v>
      </c>
      <c r="L36" s="2">
        <f>'Dot Product'!L44/1000000</f>
        <v>171113.08307642912</v>
      </c>
      <c r="M36" s="2">
        <f>'Dot Product'!M44/1000000</f>
        <v>242955.87677814558</v>
      </c>
      <c r="N36" s="2">
        <f>'Dot Product'!N44/1000000</f>
        <v>17161.470026893134</v>
      </c>
      <c r="O36" s="2">
        <f>'Dot Product'!O44/1000000</f>
        <v>13.220066576383571</v>
      </c>
      <c r="P36" s="2">
        <f>'Dot Product'!P44/1000000</f>
        <v>345307.62485183059</v>
      </c>
    </row>
    <row r="37" spans="1:16" x14ac:dyDescent="0.25">
      <c r="A37" t="s">
        <v>31</v>
      </c>
      <c r="B37" s="2">
        <f>'Dot Product'!B26/1000000</f>
        <v>25779.67751608917</v>
      </c>
      <c r="C37" s="2">
        <f>'Dot Product'!C26/1000000</f>
        <v>5.9292594961664845E-4</v>
      </c>
      <c r="D37" s="2">
        <f>'Dot Product'!D26/1000000</f>
        <v>52.940168398302994</v>
      </c>
      <c r="E37" s="2">
        <f>'Dot Product'!E26/1000000</f>
        <v>9.0535989182798478</v>
      </c>
      <c r="F37" s="2">
        <f>'Dot Product'!F26/1000000</f>
        <v>15423.603735194034</v>
      </c>
      <c r="G37" s="2">
        <f>'Dot Product'!G26/1000000</f>
        <v>893.99780120893104</v>
      </c>
      <c r="H37" s="2">
        <f>'Dot Product'!H26/1000000</f>
        <v>54905.447280482374</v>
      </c>
      <c r="I37" s="2">
        <f>'Dot Product'!I26/1000000</f>
        <v>48409.23675834365</v>
      </c>
      <c r="J37" s="2">
        <f>'Dot Product'!J26/1000000</f>
        <v>15.62938680286754</v>
      </c>
      <c r="K37" s="2">
        <f>'Dot Product'!K26/1000000</f>
        <v>514.67871975041214</v>
      </c>
      <c r="L37" s="2">
        <f>'Dot Product'!L26/1000000</f>
        <v>436.77762416102723</v>
      </c>
      <c r="M37" s="2">
        <f>'Dot Product'!M26/1000000</f>
        <v>3925.9590607392365</v>
      </c>
      <c r="N37" s="2">
        <f>'Dot Product'!N26/1000000</f>
        <v>8549.1888531538898</v>
      </c>
      <c r="O37" s="2">
        <f>'Dot Product'!O26/1000000</f>
        <v>3.358187247852257</v>
      </c>
      <c r="P37" s="2">
        <f>'Dot Product'!P26/1000000</f>
        <v>2952.9848864433002</v>
      </c>
    </row>
    <row r="38" spans="1:16" x14ac:dyDescent="0.25">
      <c r="A38" t="s">
        <v>10</v>
      </c>
      <c r="B38" s="2">
        <f>'Dot Product'!B5/1000000</f>
        <v>25637.981653884108</v>
      </c>
      <c r="C38" s="2">
        <f>'Dot Product'!C5/1000000</f>
        <v>62.850562066089573</v>
      </c>
      <c r="D38" s="2">
        <f>'Dot Product'!D5/1000000</f>
        <v>139.25061784576675</v>
      </c>
      <c r="E38" s="2">
        <f>'Dot Product'!E5/1000000</f>
        <v>682.77031357205158</v>
      </c>
      <c r="F38" s="2">
        <f>'Dot Product'!F5/1000000</f>
        <v>11667.947255975501</v>
      </c>
      <c r="G38" s="2">
        <f>'Dot Product'!G5/1000000</f>
        <v>9654.3993835149267</v>
      </c>
      <c r="H38" s="2">
        <f>'Dot Product'!H5/1000000</f>
        <v>38545.133709972579</v>
      </c>
      <c r="I38" s="2">
        <f>'Dot Product'!I5/1000000</f>
        <v>31214.142072408973</v>
      </c>
      <c r="J38" s="2">
        <f>'Dot Product'!J5/1000000</f>
        <v>16.853854752996952</v>
      </c>
      <c r="K38" s="2">
        <f>'Dot Product'!K5/1000000</f>
        <v>3131.3415508648377</v>
      </c>
      <c r="L38" s="2">
        <f>'Dot Product'!L5/1000000</f>
        <v>9825.2204764671988</v>
      </c>
      <c r="M38" s="2">
        <f>'Dot Product'!M5/1000000</f>
        <v>12717.610702730601</v>
      </c>
      <c r="N38" s="2">
        <f>'Dot Product'!N5/1000000</f>
        <v>7413.3546404975905</v>
      </c>
      <c r="O38" s="2">
        <f>'Dot Product'!O5/1000000</f>
        <v>8.7575149209053631</v>
      </c>
      <c r="P38" s="2">
        <f>'Dot Product'!P5/1000000</f>
        <v>21247.087317008692</v>
      </c>
    </row>
    <row r="39" spans="1:16" x14ac:dyDescent="0.25">
      <c r="A39" t="s">
        <v>18</v>
      </c>
      <c r="B39" s="2">
        <f>'Dot Product'!B13/1000000</f>
        <v>21568.603440244915</v>
      </c>
      <c r="C39" s="2">
        <f>'Dot Product'!C13/1000000</f>
        <v>505.04432530060683</v>
      </c>
      <c r="D39" s="2">
        <f>'Dot Product'!D13/1000000</f>
        <v>130.0290406028723</v>
      </c>
      <c r="E39" s="2">
        <f>'Dot Product'!E13/1000000</f>
        <v>5445.63502373145</v>
      </c>
      <c r="F39" s="2">
        <f>'Dot Product'!F13/1000000</f>
        <v>11414.365578014706</v>
      </c>
      <c r="G39" s="2">
        <f>'Dot Product'!G13/1000000</f>
        <v>72790.558801784326</v>
      </c>
      <c r="H39" s="2">
        <f>'Dot Product'!H13/1000000</f>
        <v>30523.626515688364</v>
      </c>
      <c r="I39" s="2">
        <f>'Dot Product'!I13/1000000</f>
        <v>24027.101015859967</v>
      </c>
      <c r="J39" s="2">
        <f>'Dot Product'!J13/1000000</f>
        <v>14.373702423733723</v>
      </c>
      <c r="K39" s="2">
        <f>'Dot Product'!K13/1000000</f>
        <v>22417.138503098689</v>
      </c>
      <c r="L39" s="2">
        <f>'Dot Product'!L13/1000000</f>
        <v>76988.453963334134</v>
      </c>
      <c r="M39" s="2">
        <f>'Dot Product'!M13/1000000</f>
        <v>82058.909164886631</v>
      </c>
      <c r="N39" s="2">
        <f>'Dot Product'!N13/1000000</f>
        <v>6648.5868503491847</v>
      </c>
      <c r="O39" s="2">
        <f>'Dot Product'!O13/1000000</f>
        <v>8.1734515066016122</v>
      </c>
      <c r="P39" s="2">
        <f>'Dot Product'!P13/1000000</f>
        <v>155803.62921974581</v>
      </c>
    </row>
    <row r="40" spans="1:16" x14ac:dyDescent="0.25">
      <c r="A40" t="s">
        <v>28</v>
      </c>
      <c r="B40" s="2">
        <f>'Dot Product'!B23/1000000</f>
        <v>17152.415574516574</v>
      </c>
      <c r="C40" s="2">
        <f>'Dot Product'!C23/1000000</f>
        <v>245.53187291812955</v>
      </c>
      <c r="D40" s="2">
        <f>'Dot Product'!D23/1000000</f>
        <v>26.85240821641338</v>
      </c>
      <c r="E40" s="2">
        <f>'Dot Product'!E23/1000000</f>
        <v>2649.9723859051287</v>
      </c>
      <c r="F40" s="2">
        <f>'Dot Product'!F23/1000000</f>
        <v>14977.790660414867</v>
      </c>
      <c r="G40" s="2">
        <f>'Dot Product'!G23/1000000</f>
        <v>55153.660156248887</v>
      </c>
      <c r="H40" s="2">
        <f>'Dot Product'!H23/1000000</f>
        <v>415772.39487859776</v>
      </c>
      <c r="I40" s="2">
        <f>'Dot Product'!I23/1000000</f>
        <v>284470.99370029173</v>
      </c>
      <c r="J40" s="2">
        <f>'Dot Product'!J23/1000000</f>
        <v>7.9268607147091537</v>
      </c>
      <c r="K40" s="2">
        <f>'Dot Product'!K23/1000000</f>
        <v>29270.319028362916</v>
      </c>
      <c r="L40" s="2">
        <f>'Dot Product'!L23/1000000</f>
        <v>38712.473811182273</v>
      </c>
      <c r="M40" s="2">
        <f>'Dot Product'!M23/1000000</f>
        <v>398004.29394900793</v>
      </c>
      <c r="N40" s="2">
        <f>'Dot Product'!N23/1000000</f>
        <v>52393.523023674628</v>
      </c>
      <c r="O40" s="2">
        <f>'Dot Product'!O23/1000000</f>
        <v>1.7036837086153562</v>
      </c>
      <c r="P40" s="2">
        <f>'Dot Product'!P23/1000000</f>
        <v>80905.855573874302</v>
      </c>
    </row>
    <row r="41" spans="1:16" x14ac:dyDescent="0.25">
      <c r="A41" t="s">
        <v>8</v>
      </c>
      <c r="B41" s="2">
        <f>'Dot Product'!B3/1000000</f>
        <v>16435.768742770892</v>
      </c>
      <c r="C41" s="2">
        <f>'Dot Product'!C3/1000000</f>
        <v>4.4478470956316413E-4</v>
      </c>
      <c r="D41" s="2">
        <f>'Dot Product'!D3/1000000</f>
        <v>83.148369891951972</v>
      </c>
      <c r="E41" s="2">
        <f>'Dot Product'!E3/1000000</f>
        <v>3.843112768867178</v>
      </c>
      <c r="F41" s="2">
        <f>'Dot Product'!F3/1000000</f>
        <v>7565.8504709405743</v>
      </c>
      <c r="G41" s="2">
        <f>'Dot Product'!G3/1000000</f>
        <v>439.87168159872846</v>
      </c>
      <c r="H41" s="2">
        <f>'Dot Product'!H3/1000000</f>
        <v>25806.21340798416</v>
      </c>
      <c r="I41" s="2">
        <f>'Dot Product'!I3/1000000</f>
        <v>21184.125447633738</v>
      </c>
      <c r="J41" s="2">
        <f>'Dot Product'!J3/1000000</f>
        <v>10.711896652854435</v>
      </c>
      <c r="K41" s="2">
        <f>'Dot Product'!K3/1000000</f>
        <v>252.27434035243149</v>
      </c>
      <c r="L41" s="2">
        <f>'Dot Product'!L3/1000000</f>
        <v>184.4890066586598</v>
      </c>
      <c r="M41" s="2">
        <f>'Dot Product'!M3/1000000</f>
        <v>1859.1075936747034</v>
      </c>
      <c r="N41" s="2">
        <f>'Dot Product'!N3/1000000</f>
        <v>4782.9967011109356</v>
      </c>
      <c r="O41" s="2">
        <f>'Dot Product'!O3/1000000</f>
        <v>5.2312376183055918</v>
      </c>
      <c r="P41" s="2">
        <f>'Dot Product'!P3/1000000</f>
        <v>1381.0405049902756</v>
      </c>
    </row>
    <row r="42" spans="1:16" x14ac:dyDescent="0.25">
      <c r="A42" t="s">
        <v>35</v>
      </c>
      <c r="B42" s="2">
        <f>'Dot Product'!B30/1000000</f>
        <v>12257.607246432122</v>
      </c>
      <c r="C42" s="2">
        <f>'Dot Product'!C30/1000000</f>
        <v>3.4946001113172543E-4</v>
      </c>
      <c r="D42" s="2">
        <f>'Dot Product'!D30/1000000</f>
        <v>25.171885528695825</v>
      </c>
      <c r="E42" s="2">
        <f>'Dot Product'!E30/1000000</f>
        <v>4.3156941452592763</v>
      </c>
      <c r="F42" s="2">
        <f>'Dot Product'!F30/1000000</f>
        <v>7333.5514401614191</v>
      </c>
      <c r="G42" s="2">
        <f>'Dot Product'!G30/1000000</f>
        <v>425.08542068994308</v>
      </c>
      <c r="H42" s="2">
        <f>'Dot Product'!H30/1000000</f>
        <v>26107.107763999651</v>
      </c>
      <c r="I42" s="2">
        <f>'Dot Product'!I30/1000000</f>
        <v>23017.982709197506</v>
      </c>
      <c r="J42" s="2">
        <f>'Dot Product'!J30/1000000</f>
        <v>7.4314048425279857</v>
      </c>
      <c r="K42" s="2">
        <f>'Dot Product'!K30/1000000</f>
        <v>244.7213971833562</v>
      </c>
      <c r="L42" s="2">
        <f>'Dot Product'!L30/1000000</f>
        <v>207.6871569352094</v>
      </c>
      <c r="M42" s="2">
        <f>'Dot Product'!M30/1000000</f>
        <v>1866.7485279552948</v>
      </c>
      <c r="N42" s="2">
        <f>'Dot Product'!N30/1000000</f>
        <v>4064.9476010601138</v>
      </c>
      <c r="O42" s="2">
        <f>'Dot Product'!O30/1000000</f>
        <v>1.596744048298264</v>
      </c>
      <c r="P42" s="2">
        <f>'Dot Product'!P30/1000000</f>
        <v>1404.0922961661322</v>
      </c>
    </row>
    <row r="43" spans="1:16" x14ac:dyDescent="0.25">
      <c r="A43" t="s">
        <v>33</v>
      </c>
      <c r="B43" s="2">
        <f>'Dot Product'!B28/1000000</f>
        <v>10748.350303317879</v>
      </c>
      <c r="C43" s="2">
        <f>'Dot Product'!C28/1000000</f>
        <v>3.648758414918414E-4</v>
      </c>
      <c r="D43" s="2">
        <f>'Dot Product'!D28/1000000</f>
        <v>22.072627687820955</v>
      </c>
      <c r="E43" s="2">
        <f>'Dot Product'!E28/1000000</f>
        <v>3.7937678858432391</v>
      </c>
      <c r="F43" s="2">
        <f>'Dot Product'!F28/1000000</f>
        <v>6430.5883910278862</v>
      </c>
      <c r="G43" s="2">
        <f>'Dot Product'!G28/1000000</f>
        <v>372.75519660888926</v>
      </c>
      <c r="H43" s="2">
        <f>'Dot Product'!H28/1000000</f>
        <v>22893.37277377152</v>
      </c>
      <c r="I43" s="2">
        <f>'Dot Product'!I28/1000000</f>
        <v>20184.315708514157</v>
      </c>
      <c r="J43" s="2">
        <f>'Dot Product'!J28/1000000</f>
        <v>6.5164007043663368</v>
      </c>
      <c r="K43" s="2">
        <f>'Dot Product'!K28/1000000</f>
        <v>214.59295754761106</v>
      </c>
      <c r="L43" s="2">
        <f>'Dot Product'!L28/1000000</f>
        <v>182.12372002189082</v>
      </c>
      <c r="M43" s="2">
        <f>'Dot Product'!M28/1000000</f>
        <v>1636.9431688412005</v>
      </c>
      <c r="N43" s="2">
        <f>'Dot Product'!N28/1000000</f>
        <v>3564.4527146091054</v>
      </c>
      <c r="O43" s="2">
        <f>'Dot Product'!O28/1000000</f>
        <v>1.4001467751582088</v>
      </c>
      <c r="P43" s="2">
        <f>'Dot Product'!P28/1000000</f>
        <v>1231.2263351890933</v>
      </c>
    </row>
    <row r="44" spans="1:16" x14ac:dyDescent="0.25">
      <c r="A44" t="s">
        <v>36</v>
      </c>
      <c r="B44" s="2">
        <f>'Dot Product'!B31/1000000</f>
        <v>10350.263255046844</v>
      </c>
      <c r="C44" s="2">
        <f>'Dot Product'!C31/1000000</f>
        <v>3.5136192143658807E-4</v>
      </c>
      <c r="D44" s="2">
        <f>'Dot Product'!D31/1000000</f>
        <v>21.255122958642399</v>
      </c>
      <c r="E44" s="2">
        <f>'Dot Product'!E31/1000000</f>
        <v>3.6532579641453409</v>
      </c>
      <c r="F44" s="2">
        <f>'Dot Product'!F31/1000000</f>
        <v>6192.4184506194479</v>
      </c>
      <c r="G44" s="2">
        <f>'Dot Product'!G31/1000000</f>
        <v>358.94944858633784</v>
      </c>
      <c r="H44" s="2">
        <f>'Dot Product'!H31/1000000</f>
        <v>22045.470078446648</v>
      </c>
      <c r="I44" s="2">
        <f>'Dot Product'!I31/1000000</f>
        <v>19436.748460050661</v>
      </c>
      <c r="J44" s="2">
        <f>'Dot Product'!J31/1000000</f>
        <v>6.2750525301305444</v>
      </c>
      <c r="K44" s="2">
        <f>'Dot Product'!K31/1000000</f>
        <v>206.64507023103283</v>
      </c>
      <c r="L44" s="2">
        <f>'Dot Product'!L31/1000000</f>
        <v>175.37839705811712</v>
      </c>
      <c r="M44" s="2">
        <f>'Dot Product'!M31/1000000</f>
        <v>1576.3156440693047</v>
      </c>
      <c r="N44" s="2">
        <f>'Dot Product'!N31/1000000</f>
        <v>3432.4359474013613</v>
      </c>
      <c r="O44" s="2">
        <f>'Dot Product'!O31/1000000</f>
        <v>1.3482894871893865</v>
      </c>
      <c r="P44" s="2">
        <f>'Dot Product'!P31/1000000</f>
        <v>1185.6253598117196</v>
      </c>
    </row>
    <row r="45" spans="1:16" x14ac:dyDescent="0.25">
      <c r="A45" t="s">
        <v>44</v>
      </c>
      <c r="B45" s="2">
        <f>'Dot Product'!B39/1000000</f>
        <v>9964.1065966717051</v>
      </c>
      <c r="C45" s="2">
        <f>'Dot Product'!C39/1000000</f>
        <v>843.98477053305044</v>
      </c>
      <c r="D45" s="2">
        <f>'Dot Product'!D39/1000000</f>
        <v>20.464735648197426</v>
      </c>
      <c r="E45" s="2">
        <f>'Dot Product'!E39/1000000</f>
        <v>9096.7588561250832</v>
      </c>
      <c r="F45" s="2">
        <f>'Dot Product'!F39/1000000</f>
        <v>10048.378192020575</v>
      </c>
      <c r="G45" s="2">
        <f>'Dot Product'!G39/1000000</f>
        <v>121114.11789471668</v>
      </c>
      <c r="H45" s="2">
        <f>'Dot Product'!H39/1000000</f>
        <v>22149.980286749054</v>
      </c>
      <c r="I45" s="2">
        <f>'Dot Product'!I39/1000000</f>
        <v>19256.937195460723</v>
      </c>
      <c r="J45" s="2">
        <f>'Dot Product'!J39/1000000</f>
        <v>6.0411394776332479</v>
      </c>
      <c r="K45" s="2">
        <f>'Dot Product'!K39/1000000</f>
        <v>37160.913515547516</v>
      </c>
      <c r="L45" s="2">
        <f>'Dot Product'!L39/1000000</f>
        <v>128487.04050475181</v>
      </c>
      <c r="M45" s="2">
        <f>'Dot Product'!M39/1000000</f>
        <v>135025.78421795421</v>
      </c>
      <c r="N45" s="2">
        <f>'Dot Product'!N39/1000000</f>
        <v>4398.1462464046608</v>
      </c>
      <c r="O45" s="2">
        <f>'Dot Product'!O39/1000000</f>
        <v>1.2984153041744613</v>
      </c>
      <c r="P45" s="2">
        <f>'Dot Product'!P39/1000000</f>
        <v>258832.92644204639</v>
      </c>
    </row>
    <row r="46" spans="1:16" x14ac:dyDescent="0.25">
      <c r="A46" t="s">
        <v>59</v>
      </c>
      <c r="B46" s="2">
        <f>'Dot Product'!B54/1000000</f>
        <v>9496.722748510876</v>
      </c>
      <c r="C46" s="2">
        <f>'Dot Product'!C54/1000000</f>
        <v>2146.7247910321835</v>
      </c>
      <c r="D46" s="2">
        <f>'Dot Product'!D54/1000000</f>
        <v>11.806680086117638</v>
      </c>
      <c r="E46" s="2">
        <f>'Dot Product'!E54/1000000</f>
        <v>23131.195554226419</v>
      </c>
      <c r="F46" s="2">
        <f>'Dot Product'!F54/1000000</f>
        <v>19321.827101282051</v>
      </c>
      <c r="G46" s="2">
        <f>'Dot Product'!G54/1000000</f>
        <v>325381.97832080774</v>
      </c>
      <c r="H46" s="2">
        <f>'Dot Product'!H54/1000000</f>
        <v>371231.70310942677</v>
      </c>
      <c r="I46" s="2">
        <f>'Dot Product'!I54/1000000</f>
        <v>251151.24734061785</v>
      </c>
      <c r="J46" s="2">
        <f>'Dot Product'!J54/1000000</f>
        <v>3.4837194847951092</v>
      </c>
      <c r="K46" s="2">
        <f>'Dot Product'!K54/1000000</f>
        <v>110925.24107058896</v>
      </c>
      <c r="L46" s="2">
        <f>'Dot Product'!L54/1000000</f>
        <v>327550.14332758251</v>
      </c>
      <c r="M46" s="2">
        <f>'Dot Product'!M54/1000000</f>
        <v>669054.99037558888</v>
      </c>
      <c r="N46" s="2">
        <f>'Dot Product'!N54/1000000</f>
        <v>48606.899875474606</v>
      </c>
      <c r="O46" s="2">
        <f>'Dot Product'!O54/1000000</f>
        <v>0.74984997224412864</v>
      </c>
      <c r="P46" s="2">
        <f>'Dot Product'!P54/1000000</f>
        <v>660197.23120489996</v>
      </c>
    </row>
    <row r="47" spans="1:16" x14ac:dyDescent="0.25">
      <c r="A47" t="s">
        <v>38</v>
      </c>
      <c r="B47" s="2">
        <f>'Dot Product'!B33/1000000</f>
        <v>9062.559259674219</v>
      </c>
      <c r="C47" s="2">
        <f>'Dot Product'!C33/1000000</f>
        <v>1.0714801304347824E-3</v>
      </c>
      <c r="D47" s="2">
        <f>'Dot Product'!D33/1000000</f>
        <v>16.573479404999244</v>
      </c>
      <c r="E47" s="2">
        <f>'Dot Product'!E33/1000000</f>
        <v>2.8786272662282606</v>
      </c>
      <c r="F47" s="2">
        <f>'Dot Product'!F33/1000000</f>
        <v>6280.3602344775954</v>
      </c>
      <c r="G47" s="2">
        <f>'Dot Product'!G33/1000000</f>
        <v>5042.0366015122472</v>
      </c>
      <c r="H47" s="2">
        <f>'Dot Product'!H33/1000000</f>
        <v>111538.96588201914</v>
      </c>
      <c r="I47" s="2">
        <f>'Dot Product'!I33/1000000</f>
        <v>78376.842960670125</v>
      </c>
      <c r="J47" s="2">
        <f>'Dot Product'!J33/1000000</f>
        <v>4.8927161962974397</v>
      </c>
      <c r="K47" s="2">
        <f>'Dot Product'!K33/1000000</f>
        <v>4604.3797931895897</v>
      </c>
      <c r="L47" s="2">
        <f>'Dot Product'!L33/1000000</f>
        <v>419.34924031156345</v>
      </c>
      <c r="M47" s="2">
        <f>'Dot Product'!M33/1000000</f>
        <v>88157.954131129256</v>
      </c>
      <c r="N47" s="2">
        <f>'Dot Product'!N33/1000000</f>
        <v>14295.132401590818</v>
      </c>
      <c r="O47" s="2">
        <f>'Dot Product'!O33/1000000</f>
        <v>1.0513791785208308</v>
      </c>
      <c r="P47" s="2">
        <f>'Dot Product'!P33/1000000</f>
        <v>2005.4490970783231</v>
      </c>
    </row>
    <row r="48" spans="1:16" x14ac:dyDescent="0.25">
      <c r="A48" t="s">
        <v>25</v>
      </c>
      <c r="B48" s="2">
        <f>'Dot Product'!B20/1000000</f>
        <v>8823.0660237429493</v>
      </c>
      <c r="C48" s="2">
        <f>'Dot Product'!C20/1000000</f>
        <v>860.0188850191588</v>
      </c>
      <c r="D48" s="2">
        <f>'Dot Product'!D20/1000000</f>
        <v>78.108251294315707</v>
      </c>
      <c r="E48" s="2">
        <f>'Dot Product'!E20/1000000</f>
        <v>9266.014143931754</v>
      </c>
      <c r="F48" s="2">
        <f>'Dot Product'!F20/1000000</f>
        <v>7995.8725102916869</v>
      </c>
      <c r="G48" s="2">
        <f>'Dot Product'!G20/1000000</f>
        <v>131275.17128380307</v>
      </c>
      <c r="H48" s="2">
        <f>'Dot Product'!H20/1000000</f>
        <v>165425.90791139036</v>
      </c>
      <c r="I48" s="2">
        <f>'Dot Product'!I20/1000000</f>
        <v>109467.28104430292</v>
      </c>
      <c r="J48" s="2">
        <f>'Dot Product'!J20/1000000</f>
        <v>5.2821798791671322</v>
      </c>
      <c r="K48" s="2">
        <f>'Dot Product'!K20/1000000</f>
        <v>45296.754514187895</v>
      </c>
      <c r="L48" s="2">
        <f>'Dot Product'!L20/1000000</f>
        <v>131238.45218246046</v>
      </c>
      <c r="M48" s="2">
        <f>'Dot Product'!M20/1000000</f>
        <v>284751.65268953337</v>
      </c>
      <c r="N48" s="2">
        <f>'Dot Product'!N20/1000000</f>
        <v>22462.335596616987</v>
      </c>
      <c r="O48" s="2">
        <f>'Dot Product'!O20/1000000</f>
        <v>4.8996060314831373</v>
      </c>
      <c r="P48" s="2">
        <f>'Dot Product'!P20/1000000</f>
        <v>264604.87182822195</v>
      </c>
    </row>
    <row r="49" spans="1:16" x14ac:dyDescent="0.25">
      <c r="A49" t="s">
        <v>24</v>
      </c>
      <c r="B49" s="2">
        <f>'Dot Product'!B19/1000000</f>
        <v>8737.2484576005281</v>
      </c>
      <c r="C49" s="2">
        <f>'Dot Product'!C19/1000000</f>
        <v>724.37849276640145</v>
      </c>
      <c r="D49" s="2">
        <f>'Dot Product'!D19/1000000</f>
        <v>78.107809655191502</v>
      </c>
      <c r="E49" s="2">
        <f>'Dot Product'!E19/1000000</f>
        <v>7804.6028176997797</v>
      </c>
      <c r="F49" s="2">
        <f>'Dot Product'!F19/1000000</f>
        <v>7213.4743124162778</v>
      </c>
      <c r="G49" s="2">
        <f>'Dot Product'!G19/1000000</f>
        <v>111454.17753312099</v>
      </c>
      <c r="H49" s="2">
        <f>'Dot Product'!H19/1000000</f>
        <v>157119.25451252158</v>
      </c>
      <c r="I49" s="2">
        <f>'Dot Product'!I19/1000000</f>
        <v>103913.33432270263</v>
      </c>
      <c r="J49" s="2">
        <f>'Dot Product'!J19/1000000</f>
        <v>5.2821464656807606</v>
      </c>
      <c r="K49" s="2">
        <f>'Dot Product'!K19/1000000</f>
        <v>38972.246992698303</v>
      </c>
      <c r="L49" s="2">
        <f>'Dot Product'!L19/1000000</f>
        <v>110591.45225169099</v>
      </c>
      <c r="M49" s="2">
        <f>'Dot Product'!M19/1000000</f>
        <v>255778.57974135518</v>
      </c>
      <c r="N49" s="2">
        <f>'Dot Product'!N19/1000000</f>
        <v>21281.919482479436</v>
      </c>
      <c r="O49" s="2">
        <f>'Dot Product'!O19/1000000</f>
        <v>4.8995302277528596</v>
      </c>
      <c r="P49" s="2">
        <f>'Dot Product'!P19/1000000</f>
        <v>223096.69847035717</v>
      </c>
    </row>
    <row r="50" spans="1:16" x14ac:dyDescent="0.25">
      <c r="A50" t="s">
        <v>37</v>
      </c>
      <c r="B50" s="2">
        <f>'Dot Product'!B32/1000000</f>
        <v>7845.6019512898283</v>
      </c>
      <c r="C50" s="2">
        <f>'Dot Product'!C32/1000000</f>
        <v>8.6168749554367194E-4</v>
      </c>
      <c r="D50" s="2">
        <f>'Dot Product'!D32/1000000</f>
        <v>14.612637244881157</v>
      </c>
      <c r="E50" s="2">
        <f>'Dot Product'!E32/1000000</f>
        <v>2.5390500055516925</v>
      </c>
      <c r="F50" s="2">
        <f>'Dot Product'!F32/1000000</f>
        <v>5325.5045197306881</v>
      </c>
      <c r="G50" s="2">
        <f>'Dot Product'!G32/1000000</f>
        <v>3750.815401224771</v>
      </c>
      <c r="H50" s="2">
        <f>'Dot Product'!H32/1000000</f>
        <v>84579.484609500578</v>
      </c>
      <c r="I50" s="2">
        <f>'Dot Product'!I32/1000000</f>
        <v>59881.567507493572</v>
      </c>
      <c r="J50" s="2">
        <f>'Dot Product'!J32/1000000</f>
        <v>4.31386535547073</v>
      </c>
      <c r="K50" s="2">
        <f>'Dot Product'!K32/1000000</f>
        <v>3411.4559197762469</v>
      </c>
      <c r="L50" s="2">
        <f>'Dot Product'!L32/1000000</f>
        <v>328.51459587785746</v>
      </c>
      <c r="M50" s="2">
        <f>'Dot Product'!M32/1000000</f>
        <v>65046.835590976872</v>
      </c>
      <c r="N50" s="2">
        <f>'Dot Product'!N32/1000000</f>
        <v>10908.930009217667</v>
      </c>
      <c r="O50" s="2">
        <f>'Dot Product'!O32/1000000</f>
        <v>0.92697906982107126</v>
      </c>
      <c r="P50" s="2">
        <f>'Dot Product'!P32/1000000</f>
        <v>1610.497272336014</v>
      </c>
    </row>
    <row r="51" spans="1:16" x14ac:dyDescent="0.25">
      <c r="A51" t="s">
        <v>58</v>
      </c>
      <c r="B51" s="2">
        <f>'Dot Product'!B53/1000000</f>
        <v>2713.5921715681429</v>
      </c>
      <c r="C51" s="2">
        <f>'Dot Product'!C53/1000000</f>
        <v>767.66706611590803</v>
      </c>
      <c r="D51" s="2">
        <f>'Dot Product'!D53/1000000</f>
        <v>4.4348256514120825</v>
      </c>
      <c r="E51" s="2">
        <f>'Dot Product'!E53/1000000</f>
        <v>8271.7359734670481</v>
      </c>
      <c r="F51" s="2">
        <f>'Dot Product'!F53/1000000</f>
        <v>5821.1834441548344</v>
      </c>
      <c r="G51" s="2">
        <f>'Dot Product'!G53/1000000</f>
        <v>112587.33441759938</v>
      </c>
      <c r="H51" s="2">
        <f>'Dot Product'!H53/1000000</f>
        <v>58228.727354099712</v>
      </c>
      <c r="I51" s="2">
        <f>'Dot Product'!I53/1000000</f>
        <v>39921.632894238523</v>
      </c>
      <c r="J51" s="2">
        <f>'Dot Product'!J53/1000000</f>
        <v>1.3086974517197136</v>
      </c>
      <c r="K51" s="2">
        <f>'Dot Product'!K53/1000000</f>
        <v>36148.829969256127</v>
      </c>
      <c r="L51" s="2">
        <f>'Dot Product'!L53/1000000</f>
        <v>116909.63580299262</v>
      </c>
      <c r="M51" s="2">
        <f>'Dot Product'!M53/1000000</f>
        <v>170402.47182675099</v>
      </c>
      <c r="N51" s="2">
        <f>'Dot Product'!N53/1000000</f>
        <v>8211.5255344129582</v>
      </c>
      <c r="O51" s="2">
        <f>'Dot Product'!O53/1000000</f>
        <v>0.28159190918515276</v>
      </c>
      <c r="P51" s="2">
        <f>'Dot Product'!P53/1000000</f>
        <v>235241.67845065388</v>
      </c>
    </row>
    <row r="52" spans="1:16" x14ac:dyDescent="0.25">
      <c r="A52" t="s">
        <v>43</v>
      </c>
      <c r="B52" s="2">
        <f>'Dot Product'!B38/1000000</f>
        <v>2445.6495683592957</v>
      </c>
      <c r="C52" s="2">
        <f>'Dot Product'!C38/1000000</f>
        <v>2.2539250424709253E-4</v>
      </c>
      <c r="D52" s="2">
        <f>'Dot Product'!D38/1000000</f>
        <v>1.7643279559359184</v>
      </c>
      <c r="E52" s="2">
        <f>'Dot Product'!E38/1000000</f>
        <v>6054.715192176036</v>
      </c>
      <c r="F52" s="2">
        <f>'Dot Product'!F38/1000000</f>
        <v>7489.4003089897415</v>
      </c>
      <c r="G52" s="2">
        <f>'Dot Product'!G38/1000000</f>
        <v>993.13135903927139</v>
      </c>
      <c r="H52" s="2">
        <f>'Dot Product'!H38/1000000</f>
        <v>553355.73376041721</v>
      </c>
      <c r="I52" s="2">
        <f>'Dot Product'!I38/1000000</f>
        <v>356239.46227185108</v>
      </c>
      <c r="J52" s="2">
        <f>'Dot Product'!J38/1000000</f>
        <v>8.0337761661567146</v>
      </c>
      <c r="K52" s="2">
        <f>'Dot Product'!K38/1000000</f>
        <v>676.71083226304893</v>
      </c>
      <c r="L52" s="2">
        <f>'Dot Product'!L38/1000000</f>
        <v>54.077279871566077</v>
      </c>
      <c r="M52" s="2">
        <f>'Dot Product'!M38/1000000</f>
        <v>20332.27884800321</v>
      </c>
      <c r="N52" s="2">
        <f>'Dot Product'!N38/1000000</f>
        <v>11294.979042390321</v>
      </c>
      <c r="O52" s="2">
        <f>'Dot Product'!O38/1000000</f>
        <v>0.11193912281467995</v>
      </c>
      <c r="P52" s="2">
        <f>'Dot Product'!P38/1000000</f>
        <v>709.80708072270215</v>
      </c>
    </row>
    <row r="53" spans="1:16" x14ac:dyDescent="0.25">
      <c r="A53" t="s">
        <v>61</v>
      </c>
      <c r="B53" s="2">
        <f>'Dot Product'!B56/1000000</f>
        <v>2286.832727473105</v>
      </c>
      <c r="C53" s="2">
        <f>'Dot Product'!C56/1000000</f>
        <v>125.33366141173178</v>
      </c>
      <c r="D53" s="2">
        <f>'Dot Product'!D56/1000000</f>
        <v>25.057153231815509</v>
      </c>
      <c r="E53" s="2">
        <f>'Dot Product'!E56/1000000</f>
        <v>1350.411699935642</v>
      </c>
      <c r="F53" s="2">
        <f>'Dot Product'!F56/1000000</f>
        <v>1040.5363576510729</v>
      </c>
      <c r="G53" s="2">
        <f>'Dot Product'!G56/1000000</f>
        <v>17960.089649027144</v>
      </c>
      <c r="H53" s="2">
        <f>'Dot Product'!H56/1000000</f>
        <v>1219.9613198846314</v>
      </c>
      <c r="I53" s="2">
        <f>'Dot Product'!I56/1000000</f>
        <v>387.78636768241785</v>
      </c>
      <c r="J53" s="2">
        <f>'Dot Product'!J56/1000000</f>
        <v>1.6945801090604349</v>
      </c>
      <c r="K53" s="2">
        <f>'Dot Product'!K56/1000000</f>
        <v>5503.3298570892512</v>
      </c>
      <c r="L53" s="2">
        <f>'Dot Product'!L56/1000000</f>
        <v>19055.550258303865</v>
      </c>
      <c r="M53" s="2">
        <f>'Dot Product'!M56/1000000</f>
        <v>19909.291038187603</v>
      </c>
      <c r="N53" s="2">
        <f>'Dot Product'!N56/1000000</f>
        <v>645.72389172781698</v>
      </c>
      <c r="O53" s="2">
        <f>'Dot Product'!O56/1000000</f>
        <v>1.5717129883326419</v>
      </c>
      <c r="P53" s="2">
        <f>'Dot Product'!P56/1000000</f>
        <v>38322.959059619861</v>
      </c>
    </row>
    <row r="54" spans="1:16" x14ac:dyDescent="0.25">
      <c r="A54" t="s">
        <v>30</v>
      </c>
      <c r="B54" s="2">
        <f>'Dot Product'!B25/1000000</f>
        <v>1220.9374576427001</v>
      </c>
      <c r="C54" s="2">
        <f>'Dot Product'!C25/1000000</f>
        <v>3.8753820842572068E-4</v>
      </c>
      <c r="D54" s="2">
        <f>'Dot Product'!D25/1000000</f>
        <v>2.5079520888436901</v>
      </c>
      <c r="E54" s="2">
        <f>'Dot Product'!E25/1000000</f>
        <v>0.48694928173281593</v>
      </c>
      <c r="F54" s="2">
        <f>'Dot Product'!F25/1000000</f>
        <v>730.49260089110498</v>
      </c>
      <c r="G54" s="2">
        <f>'Dot Product'!G25/1000000</f>
        <v>42.400255278117285</v>
      </c>
      <c r="H54" s="2">
        <f>'Dot Product'!H25/1000000</f>
        <v>2605.1805632048522</v>
      </c>
      <c r="I54" s="2">
        <f>'Dot Product'!I25/1000000</f>
        <v>2295.7310998420462</v>
      </c>
      <c r="J54" s="2">
        <f>'Dot Product'!J25/1000000</f>
        <v>0.74028423613544625</v>
      </c>
      <c r="K54" s="2">
        <f>'Dot Product'!K25/1000000</f>
        <v>24.397945459727215</v>
      </c>
      <c r="L54" s="2">
        <f>'Dot Product'!L25/1000000</f>
        <v>20.739535709929527</v>
      </c>
      <c r="M54" s="2">
        <f>'Dot Product'!M25/1000000</f>
        <v>186.20586039400141</v>
      </c>
      <c r="N54" s="2">
        <f>'Dot Product'!N25/1000000</f>
        <v>404.98418089974712</v>
      </c>
      <c r="O54" s="2">
        <f>'Dot Product'!O25/1000000</f>
        <v>0.15908789263400078</v>
      </c>
      <c r="P54" s="2">
        <f>'Dot Product'!P25/1000000</f>
        <v>139.96160200776671</v>
      </c>
    </row>
    <row r="55" spans="1:16" x14ac:dyDescent="0.25">
      <c r="A55" t="s">
        <v>29</v>
      </c>
      <c r="B55" s="2">
        <f>'Dot Product'!B24/1000000</f>
        <v>978.18416147655785</v>
      </c>
      <c r="C55" s="2">
        <f>'Dot Product'!C24/1000000</f>
        <v>7.9928095862470867E-4</v>
      </c>
      <c r="D55" s="2">
        <f>'Dot Product'!D24/1000000</f>
        <v>1.1257748667781496E-3</v>
      </c>
      <c r="E55" s="2">
        <f>'Dot Product'!E24/1000000</f>
        <v>3.1943637967365962E-2</v>
      </c>
      <c r="F55" s="2">
        <f>'Dot Product'!F24/1000000</f>
        <v>1431.1394559545981</v>
      </c>
      <c r="G55" s="2">
        <f>'Dot Product'!G24/1000000</f>
        <v>4693.0834957670395</v>
      </c>
      <c r="H55" s="2">
        <f>'Dot Product'!H24/1000000</f>
        <v>92981.777440208883</v>
      </c>
      <c r="I55" s="2">
        <f>'Dot Product'!I24/1000000</f>
        <v>62305.166054388326</v>
      </c>
      <c r="J55" s="2">
        <f>'Dot Product'!J24/1000000</f>
        <v>1.3415005710188933E-4</v>
      </c>
      <c r="K55" s="2">
        <f>'Dot Product'!K24/1000000</f>
        <v>4378.8016963377977</v>
      </c>
      <c r="L55" s="2">
        <f>'Dot Product'!L24/1000000</f>
        <v>278.51088125812663</v>
      </c>
      <c r="M55" s="2">
        <f>'Dot Product'!M24/1000000</f>
        <v>85667.815331595513</v>
      </c>
      <c r="N55" s="2">
        <f>'Dot Product'!N24/1000000</f>
        <v>11450.346563980416</v>
      </c>
      <c r="O55" s="2">
        <f>'Dot Product'!O24/1000000</f>
        <v>1.3378075516647532E-4</v>
      </c>
      <c r="P55" s="2">
        <f>'Dot Product'!P24/1000000</f>
        <v>1065.3523057163472</v>
      </c>
    </row>
    <row r="56" spans="1:16" x14ac:dyDescent="0.25">
      <c r="A56" t="s">
        <v>60</v>
      </c>
      <c r="B56" s="2">
        <f>'Dot Product'!B55/1000000</f>
        <v>89.09712457992147</v>
      </c>
      <c r="C56" s="2">
        <f>'Dot Product'!C55/1000000</f>
        <v>49.69171530343209</v>
      </c>
      <c r="D56" s="2">
        <f>'Dot Product'!D55/1000000</f>
        <v>0.17255890585864572</v>
      </c>
      <c r="E56" s="2">
        <f>'Dot Product'!E55/1000000</f>
        <v>535.42257525423463</v>
      </c>
      <c r="F56" s="2">
        <f>'Dot Product'!F55/1000000</f>
        <v>298.41835866598711</v>
      </c>
      <c r="G56" s="2">
        <f>'Dot Product'!G55/1000000</f>
        <v>7138.3121606903251</v>
      </c>
      <c r="H56" s="2">
        <f>'Dot Product'!H55/1000000</f>
        <v>726.09090879755445</v>
      </c>
      <c r="I56" s="2">
        <f>'Dot Product'!I55/1000000</f>
        <v>519.87542559804456</v>
      </c>
      <c r="J56" s="2">
        <f>'Dot Product'!J55/1000000</f>
        <v>5.089631203683833E-2</v>
      </c>
      <c r="K56" s="2">
        <f>'Dot Product'!K55/1000000</f>
        <v>2201.0896053332403</v>
      </c>
      <c r="L56" s="2">
        <f>'Dot Product'!L55/1000000</f>
        <v>7557.9538142977626</v>
      </c>
      <c r="M56" s="2">
        <f>'Dot Product'!M55/1000000</f>
        <v>8327.0138414089615</v>
      </c>
      <c r="N56" s="2">
        <f>'Dot Product'!N55/1000000</f>
        <v>152.86179129391806</v>
      </c>
      <c r="O56" s="2">
        <f>'Dot Product'!O55/1000000</f>
        <v>1.0961788414397843E-2</v>
      </c>
      <c r="P56" s="2">
        <f>'Dot Product'!P55/1000000</f>
        <v>15187.491063066116</v>
      </c>
    </row>
    <row r="57" spans="1:16" x14ac:dyDescent="0.25">
      <c r="A57" t="s">
        <v>67</v>
      </c>
      <c r="B57" s="2">
        <f>'Dot Product'!B62/1000000</f>
        <v>0.16534966844907775</v>
      </c>
      <c r="C57" s="2">
        <f>'Dot Product'!C62/1000000</f>
        <v>2912.8111955473132</v>
      </c>
      <c r="D57" s="2">
        <f>'Dot Product'!D62/1000000</f>
        <v>9.383153902932255E-3</v>
      </c>
      <c r="E57" s="2">
        <f>'Dot Product'!E62/1000000</f>
        <v>31383.15889961004</v>
      </c>
      <c r="F57" s="2">
        <f>'Dot Product'!F62/1000000</f>
        <v>14105.378093142364</v>
      </c>
      <c r="G57" s="2">
        <f>'Dot Product'!G62/1000000</f>
        <v>416803.92011002026</v>
      </c>
      <c r="H57" s="2">
        <f>'Dot Product'!H62/1000000</f>
        <v>3199.7516534123624</v>
      </c>
      <c r="I57" s="2">
        <f>'Dot Product'!I62/1000000</f>
        <v>1882.5090170458818</v>
      </c>
      <c r="J57" s="2">
        <f>'Dot Product'!J62/1000000</f>
        <v>7.9875040185128519E-4</v>
      </c>
      <c r="K57" s="2">
        <f>'Dot Product'!K62/1000000</f>
        <v>127565.46506183506</v>
      </c>
      <c r="L57" s="2">
        <f>'Dot Product'!L62/1000000</f>
        <v>442859.71752635273</v>
      </c>
      <c r="M57" s="2">
        <f>'Dot Product'!M62/1000000</f>
        <v>460772.04659255</v>
      </c>
      <c r="N57" s="2">
        <f>'Dot Product'!N62/1000000</f>
        <v>3774.9449043062496</v>
      </c>
      <c r="O57" s="2">
        <f>'Dot Product'!O62/1000000</f>
        <v>1.5027031502950366E-3</v>
      </c>
      <c r="P57" s="2">
        <f>'Dot Product'!P62/1000000</f>
        <v>889360.96050141193</v>
      </c>
    </row>
    <row r="58" spans="1:16" x14ac:dyDescent="0.25">
      <c r="A58" t="s">
        <v>63</v>
      </c>
      <c r="B58" s="2">
        <f>'Dot Product'!B58/1000000</f>
        <v>0.16026562298119121</v>
      </c>
      <c r="C58" s="2">
        <f>'Dot Product'!C58/1000000</f>
        <v>2266.2696836782025</v>
      </c>
      <c r="D58" s="2">
        <f>'Dot Product'!D58/1000000</f>
        <v>7.4978632193675896E-3</v>
      </c>
      <c r="E58" s="2">
        <f>'Dot Product'!E58/1000000</f>
        <v>24417.213342315856</v>
      </c>
      <c r="F58" s="2">
        <f>'Dot Product'!F58/1000000</f>
        <v>10974.504038629304</v>
      </c>
      <c r="G58" s="2">
        <f>'Dot Product'!G58/1000000</f>
        <v>324288.13022049016</v>
      </c>
      <c r="H58" s="2">
        <f>'Dot Product'!H58/1000000</f>
        <v>2490.5268794957697</v>
      </c>
      <c r="I58" s="2">
        <f>'Dot Product'!I58/1000000</f>
        <v>1465.3103864644233</v>
      </c>
      <c r="J58" s="2">
        <f>'Dot Product'!J58/1000000</f>
        <v>6.5409417023026318E-4</v>
      </c>
      <c r="K58" s="2">
        <f>'Dot Product'!K58/1000000</f>
        <v>99250.425937830019</v>
      </c>
      <c r="L58" s="2">
        <f>'Dot Product'!L58/1000000</f>
        <v>344560.45569305902</v>
      </c>
      <c r="M58" s="2">
        <f>'Dot Product'!M58/1000000</f>
        <v>358496.92455782235</v>
      </c>
      <c r="N58" s="2">
        <f>'Dot Product'!N58/1000000</f>
        <v>2937.0680948737227</v>
      </c>
      <c r="O58" s="2">
        <f>'Dot Product'!O58/1000000</f>
        <v>1.1815593487109906E-3</v>
      </c>
      <c r="P58" s="2">
        <f>'Dot Product'!P58/1000000</f>
        <v>691954.14884039492</v>
      </c>
    </row>
    <row r="59" spans="1:16" x14ac:dyDescent="0.25">
      <c r="A59" t="s">
        <v>64</v>
      </c>
      <c r="B59" s="2">
        <f>'Dot Product'!B59/1000000</f>
        <v>0.12798123492975733</v>
      </c>
      <c r="C59" s="2">
        <f>'Dot Product'!C59/1000000</f>
        <v>706.31340851624668</v>
      </c>
      <c r="D59" s="2">
        <f>'Dot Product'!D59/1000000</f>
        <v>2.8240874025764894E-3</v>
      </c>
      <c r="E59" s="2">
        <f>'Dot Product'!E59/1000000</f>
        <v>7609.9788295887884</v>
      </c>
      <c r="F59" s="2">
        <f>'Dot Product'!F59/1000000</f>
        <v>3420.4088701572018</v>
      </c>
      <c r="G59" s="2">
        <f>'Dot Product'!G59/1000000</f>
        <v>101068.76150336178</v>
      </c>
      <c r="H59" s="2">
        <f>'Dot Product'!H59/1000000</f>
        <v>778.69246791689352</v>
      </c>
      <c r="I59" s="2">
        <f>'Dot Product'!I59/1000000</f>
        <v>458.29300271068649</v>
      </c>
      <c r="J59" s="2">
        <f>'Dot Product'!J59/1000000</f>
        <v>2.8440805293615984E-4</v>
      </c>
      <c r="K59" s="2">
        <f>'Dot Product'!K59/1000000</f>
        <v>30932.734110821959</v>
      </c>
      <c r="L59" s="2">
        <f>'Dot Product'!L59/1000000</f>
        <v>107386.89814607956</v>
      </c>
      <c r="M59" s="2">
        <f>'Dot Product'!M59/1000000</f>
        <v>111730.49970552823</v>
      </c>
      <c r="N59" s="2">
        <f>'Dot Product'!N59/1000000</f>
        <v>915.44591781245947</v>
      </c>
      <c r="O59" s="2">
        <f>'Dot Product'!O59/1000000</f>
        <v>3.9886026755113323E-4</v>
      </c>
      <c r="P59" s="2">
        <f>'Dot Product'!P59/1000000</f>
        <v>215656.81880030123</v>
      </c>
    </row>
    <row r="60" spans="1:16" x14ac:dyDescent="0.25">
      <c r="A60" t="s">
        <v>65</v>
      </c>
      <c r="B60" s="2">
        <f>'Dot Product'!B60/1000000</f>
        <v>0.11681614798129748</v>
      </c>
      <c r="C60" s="2">
        <f>'Dot Product'!C60/1000000</f>
        <v>506.75608450968093</v>
      </c>
      <c r="D60" s="2">
        <f>'Dot Product'!D60/1000000</f>
        <v>2.1822637067059692E-3</v>
      </c>
      <c r="E60" s="2">
        <f>'Dot Product'!E60/1000000</f>
        <v>5459.9118909422341</v>
      </c>
      <c r="F60" s="2">
        <f>'Dot Product'!F60/1000000</f>
        <v>2454.0464905175072</v>
      </c>
      <c r="G60" s="2">
        <f>'Dot Product'!G60/1000000</f>
        <v>72513.434945310888</v>
      </c>
      <c r="H60" s="2">
        <f>'Dot Product'!H60/1000000</f>
        <v>559.48198647523407</v>
      </c>
      <c r="I60" s="2">
        <f>'Dot Product'!I60/1000000</f>
        <v>329.32526624888692</v>
      </c>
      <c r="J60" s="2">
        <f>'Dot Product'!J60/1000000</f>
        <v>2.2985380759366636E-4</v>
      </c>
      <c r="K60" s="2">
        <f>'Dot Product'!K60/1000000</f>
        <v>22193.196562692476</v>
      </c>
      <c r="L60" s="2">
        <f>'Dot Product'!L60/1000000</f>
        <v>77046.483267784133</v>
      </c>
      <c r="M60" s="2">
        <f>'Dot Product'!M60/1000000</f>
        <v>80162.90753248852</v>
      </c>
      <c r="N60" s="2">
        <f>'Dot Product'!N60/1000000</f>
        <v>656.82377177954629</v>
      </c>
      <c r="O60" s="2">
        <f>'Dot Product'!O60/1000000</f>
        <v>2.9597371515304832E-4</v>
      </c>
      <c r="P60" s="2">
        <f>'Dot Product'!P60/1000000</f>
        <v>154726.50736134086</v>
      </c>
    </row>
    <row r="61" spans="1:16" x14ac:dyDescent="0.25">
      <c r="A61" t="s">
        <v>62</v>
      </c>
      <c r="B61" s="2">
        <f>'Dot Product'!B57/1000000</f>
        <v>0.10836500062715516</v>
      </c>
      <c r="C61" s="2">
        <f>'Dot Product'!C57/1000000</f>
        <v>762.61639764857523</v>
      </c>
      <c r="D61" s="2">
        <f>'Dot Product'!D57/1000000</f>
        <v>2.8630053111413051E-3</v>
      </c>
      <c r="E61" s="2">
        <f>'Dot Product'!E57/1000000</f>
        <v>8216.5898719402303</v>
      </c>
      <c r="F61" s="2">
        <f>'Dot Product'!F57/1000000</f>
        <v>3693.0411175177783</v>
      </c>
      <c r="G61" s="2">
        <f>'Dot Product'!G57/1000000</f>
        <v>109125.34298443601</v>
      </c>
      <c r="H61" s="2">
        <f>'Dot Product'!H57/1000000</f>
        <v>839.81499906996714</v>
      </c>
      <c r="I61" s="2">
        <f>'Dot Product'!I57/1000000</f>
        <v>494.21035672578188</v>
      </c>
      <c r="J61" s="2">
        <f>'Dot Product'!J57/1000000</f>
        <v>2.7629882098067436E-4</v>
      </c>
      <c r="K61" s="2">
        <f>'Dot Product'!K57/1000000</f>
        <v>33398.500826301672</v>
      </c>
      <c r="L61" s="2">
        <f>'Dot Product'!L57/1000000</f>
        <v>115947.12519674611</v>
      </c>
      <c r="M61" s="2">
        <f>'Dot Product'!M57/1000000</f>
        <v>120636.92867892684</v>
      </c>
      <c r="N61" s="2">
        <f>'Dot Product'!N57/1000000</f>
        <v>988.39324185954843</v>
      </c>
      <c r="O61" s="2">
        <f>'Dot Product'!O57/1000000</f>
        <v>4.189575746268657E-4</v>
      </c>
      <c r="P61" s="2">
        <f>'Dot Product'!P57/1000000</f>
        <v>232847.65977795405</v>
      </c>
    </row>
    <row r="62" spans="1:16" x14ac:dyDescent="0.25">
      <c r="A62" t="s">
        <v>69</v>
      </c>
      <c r="B62" s="2">
        <f>'Dot Product'!B64/1000000</f>
        <v>7.1247285424813372E-2</v>
      </c>
      <c r="C62" s="2">
        <f>'Dot Product'!C64/1000000</f>
        <v>393.20540267914765</v>
      </c>
      <c r="D62" s="2">
        <f>'Dot Product'!D64/1000000</f>
        <v>1.5721723684446437E-3</v>
      </c>
      <c r="E62" s="2">
        <f>'Dot Product'!E64/1000000</f>
        <v>4236.4830597710779</v>
      </c>
      <c r="F62" s="2">
        <f>'Dot Product'!F64/1000000</f>
        <v>1904.1451442112257</v>
      </c>
      <c r="G62" s="2">
        <f>'Dot Product'!G64/1000000</f>
        <v>56265.083723520991</v>
      </c>
      <c r="H62" s="2">
        <f>'Dot Product'!H64/1000000</f>
        <v>433.49889966507482</v>
      </c>
      <c r="I62" s="2">
        <f>'Dot Product'!I64/1000000</f>
        <v>255.13218707605233</v>
      </c>
      <c r="J62" s="2">
        <f>'Dot Product'!J64/1000000</f>
        <v>1.5833025627373846E-4</v>
      </c>
      <c r="K62" s="2">
        <f>'Dot Product'!K64/1000000</f>
        <v>17220.284968911194</v>
      </c>
      <c r="L62" s="2">
        <f>'Dot Product'!L64/1000000</f>
        <v>59782.396906064911</v>
      </c>
      <c r="M62" s="2">
        <f>'Dot Product'!M64/1000000</f>
        <v>62200.484372149753</v>
      </c>
      <c r="N62" s="2">
        <f>'Dot Product'!N64/1000000</f>
        <v>509.62968620487442</v>
      </c>
      <c r="O62" s="2">
        <f>'Dot Product'!O64/1000000</f>
        <v>2.22045922141868E-4</v>
      </c>
      <c r="P62" s="2">
        <f>'Dot Product'!P64/1000000</f>
        <v>120056.37335274501</v>
      </c>
    </row>
    <row r="63" spans="1:16" x14ac:dyDescent="0.25">
      <c r="A63" t="s">
        <v>68</v>
      </c>
      <c r="B63" s="2">
        <f>'Dot Product'!B63/1000000</f>
        <v>4.7267307570678235E-2</v>
      </c>
      <c r="C63" s="2">
        <f>'Dot Product'!C63/1000000</f>
        <v>908.67760905037187</v>
      </c>
      <c r="D63" s="2">
        <f>'Dot Product'!D63/1000000</f>
        <v>2.9002137938381801E-3</v>
      </c>
      <c r="E63" s="2">
        <f>'Dot Product'!E63/1000000</f>
        <v>9790.2567918488276</v>
      </c>
      <c r="F63" s="2">
        <f>'Dot Product'!F63/1000000</f>
        <v>4400.296198650818</v>
      </c>
      <c r="G63" s="2">
        <f>'Dot Product'!G63/1000000</f>
        <v>130025.72533404504</v>
      </c>
      <c r="H63" s="2">
        <f>'Dot Product'!H63/1000000</f>
        <v>998.05377545492115</v>
      </c>
      <c r="I63" s="2">
        <f>'Dot Product'!I63/1000000</f>
        <v>587.17660054160274</v>
      </c>
      <c r="J63" s="2">
        <f>'Dot Product'!J63/1000000</f>
        <v>2.4472308620163819E-4</v>
      </c>
      <c r="K63" s="2">
        <f>'Dot Product'!K63/1000000</f>
        <v>39795.192078266911</v>
      </c>
      <c r="L63" s="2">
        <f>'Dot Product'!L63/1000000</f>
        <v>138154.06565119853</v>
      </c>
      <c r="M63" s="2">
        <f>'Dot Product'!M63/1000000</f>
        <v>143741.97126527829</v>
      </c>
      <c r="N63" s="2">
        <f>'Dot Product'!N63/1000000</f>
        <v>1177.6241364930133</v>
      </c>
      <c r="O63" s="2">
        <f>'Dot Product'!O63/1000000</f>
        <v>4.6708900108727888E-4</v>
      </c>
      <c r="P63" s="2">
        <f>'Dot Product'!P63/1000000</f>
        <v>277444.13753616234</v>
      </c>
    </row>
    <row r="64" spans="1:16" x14ac:dyDescent="0.25">
      <c r="A64" t="s">
        <v>66</v>
      </c>
      <c r="B64" s="2">
        <f>'Dot Product'!B61/1000000</f>
        <v>3.621024498212673E-2</v>
      </c>
      <c r="C64" s="2">
        <f>'Dot Product'!C61/1000000</f>
        <v>211.53675578349549</v>
      </c>
      <c r="D64" s="2">
        <f>'Dot Product'!D61/1000000</f>
        <v>8.3256307989984068E-4</v>
      </c>
      <c r="E64" s="2">
        <f>'Dot Product'!E61/1000000</f>
        <v>2279.1436679949043</v>
      </c>
      <c r="F64" s="2">
        <f>'Dot Product'!F61/1000000</f>
        <v>1024.3910002139737</v>
      </c>
      <c r="G64" s="2">
        <f>'Dot Product'!G61/1000000</f>
        <v>30269.505760391439</v>
      </c>
      <c r="H64" s="2">
        <f>'Dot Product'!H61/1000000</f>
        <v>233.14633421206787</v>
      </c>
      <c r="I64" s="2">
        <f>'Dot Product'!I61/1000000</f>
        <v>137.21237753751456</v>
      </c>
      <c r="J64" s="2">
        <f>'Dot Product'!J61/1000000</f>
        <v>8.2990762830669607E-5</v>
      </c>
      <c r="K64" s="2">
        <f>'Dot Product'!K61/1000000</f>
        <v>9264.173736597997</v>
      </c>
      <c r="L64" s="2">
        <f>'Dot Product'!L61/1000000</f>
        <v>32161.751084442007</v>
      </c>
      <c r="M64" s="2">
        <f>'Dot Product'!M61/1000000</f>
        <v>33462.631387390269</v>
      </c>
      <c r="N64" s="2">
        <f>'Dot Product'!N61/1000000</f>
        <v>274.16884673358248</v>
      </c>
      <c r="O64" s="2">
        <f>'Dot Product'!O61/1000000</f>
        <v>1.1862491021333126E-4</v>
      </c>
      <c r="P64" s="2">
        <f>'Dot Product'!P61/1000000</f>
        <v>64587.962109494896</v>
      </c>
    </row>
  </sheetData>
  <autoFilter ref="A1:P1">
    <sortState ref="A2:P64">
      <sortCondition descending="1" ref="B1"/>
    </sortState>
  </autoFilter>
  <conditionalFormatting sqref="B1:B1048576">
    <cfRule type="colorScale" priority="1">
      <colorScale>
        <cfvo type="min"/>
        <cfvo type="max"/>
        <color theme="0"/>
        <color rgb="FFFF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Basophilic</vt:lpstr>
      <vt:lpstr>Dot Product</vt:lpstr>
      <vt:lpstr>Basophilic Dot Product</vt:lpstr>
    </vt:vector>
  </TitlesOfParts>
  <Company>NHLBI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Chin-Rang (NIH/NHLBI) [E]</dc:creator>
  <cp:lastModifiedBy>Knepper, Mark A (NIH/NHLBI) [E]</cp:lastModifiedBy>
  <dcterms:created xsi:type="dcterms:W3CDTF">2015-06-18T13:38:51Z</dcterms:created>
  <dcterms:modified xsi:type="dcterms:W3CDTF">2015-07-16T19:12:06Z</dcterms:modified>
</cp:coreProperties>
</file>