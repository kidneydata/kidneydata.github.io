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225" windowWidth="21840" windowHeight="11955" activeTab="3"/>
  </bookViews>
  <sheets>
    <sheet name="Readme" sheetId="4" r:id="rId1"/>
    <sheet name="ProSub" sheetId="1" r:id="rId2"/>
    <sheet name="Dot Product" sheetId="2" r:id="rId3"/>
    <sheet name="ProSub_dotProduct" sheetId="3" r:id="rId4"/>
  </sheets>
  <definedNames>
    <definedName name="_xlnm._FilterDatabase" localSheetId="3" hidden="1">ProSub_dotProduct!$A$1:$N$1</definedName>
  </definedNames>
  <calcPr calcId="145621"/>
</workbook>
</file>

<file path=xl/calcChain.xml><?xml version="1.0" encoding="utf-8"?>
<calcChain xmlns="http://schemas.openxmlformats.org/spreadsheetml/2006/main">
  <c r="B3" i="2" l="1"/>
  <c r="B7" i="3" s="1"/>
  <c r="C3" i="2"/>
  <c r="C7" i="3" s="1"/>
  <c r="D3" i="2"/>
  <c r="D7" i="3" s="1"/>
  <c r="E3" i="2"/>
  <c r="E7" i="3" s="1"/>
  <c r="F3" i="2"/>
  <c r="F7" i="3" s="1"/>
  <c r="G3" i="2"/>
  <c r="G7" i="3" s="1"/>
  <c r="H3" i="2"/>
  <c r="H7" i="3" s="1"/>
  <c r="I3" i="2"/>
  <c r="I7" i="3" s="1"/>
  <c r="J3" i="2"/>
  <c r="J7" i="3" s="1"/>
  <c r="K3" i="2"/>
  <c r="K7" i="3" s="1"/>
  <c r="L3" i="2"/>
  <c r="L7" i="3" s="1"/>
  <c r="M3" i="2"/>
  <c r="M7" i="3" s="1"/>
  <c r="N3" i="2"/>
  <c r="N7" i="3" s="1"/>
  <c r="B4" i="2"/>
  <c r="B22" i="3" s="1"/>
  <c r="C4" i="2"/>
  <c r="C22" i="3" s="1"/>
  <c r="D4" i="2"/>
  <c r="D22" i="3" s="1"/>
  <c r="E4" i="2"/>
  <c r="E22" i="3" s="1"/>
  <c r="F4" i="2"/>
  <c r="F22" i="3" s="1"/>
  <c r="G4" i="2"/>
  <c r="G22" i="3" s="1"/>
  <c r="H4" i="2"/>
  <c r="H22" i="3" s="1"/>
  <c r="I4" i="2"/>
  <c r="I22" i="3" s="1"/>
  <c r="J4" i="2"/>
  <c r="J22" i="3" s="1"/>
  <c r="K4" i="2"/>
  <c r="K22" i="3" s="1"/>
  <c r="L4" i="2"/>
  <c r="L22" i="3" s="1"/>
  <c r="M4" i="2"/>
  <c r="M22" i="3" s="1"/>
  <c r="N4" i="2"/>
  <c r="N22" i="3" s="1"/>
  <c r="B5" i="2"/>
  <c r="B24" i="3" s="1"/>
  <c r="C5" i="2"/>
  <c r="C24" i="3" s="1"/>
  <c r="D5" i="2"/>
  <c r="D24" i="3" s="1"/>
  <c r="E5" i="2"/>
  <c r="E24" i="3" s="1"/>
  <c r="F5" i="2"/>
  <c r="F24" i="3" s="1"/>
  <c r="G5" i="2"/>
  <c r="G24" i="3" s="1"/>
  <c r="H5" i="2"/>
  <c r="H24" i="3" s="1"/>
  <c r="I5" i="2"/>
  <c r="I24" i="3" s="1"/>
  <c r="J5" i="2"/>
  <c r="J24" i="3" s="1"/>
  <c r="K5" i="2"/>
  <c r="K24" i="3" s="1"/>
  <c r="L5" i="2"/>
  <c r="L24" i="3" s="1"/>
  <c r="M5" i="2"/>
  <c r="M24" i="3" s="1"/>
  <c r="N5" i="2"/>
  <c r="N24" i="3" s="1"/>
  <c r="B6" i="2"/>
  <c r="B13" i="3" s="1"/>
  <c r="C6" i="2"/>
  <c r="C13" i="3" s="1"/>
  <c r="D6" i="2"/>
  <c r="D13" i="3" s="1"/>
  <c r="E6" i="2"/>
  <c r="E13" i="3" s="1"/>
  <c r="F6" i="2"/>
  <c r="F13" i="3" s="1"/>
  <c r="G6" i="2"/>
  <c r="G13" i="3" s="1"/>
  <c r="H6" i="2"/>
  <c r="H13" i="3" s="1"/>
  <c r="I6" i="2"/>
  <c r="I13" i="3" s="1"/>
  <c r="J6" i="2"/>
  <c r="J13" i="3" s="1"/>
  <c r="K6" i="2"/>
  <c r="K13" i="3" s="1"/>
  <c r="L6" i="2"/>
  <c r="L13" i="3" s="1"/>
  <c r="M6" i="2"/>
  <c r="M13" i="3" s="1"/>
  <c r="N6" i="2"/>
  <c r="N13" i="3" s="1"/>
  <c r="B7" i="2"/>
  <c r="B28" i="3" s="1"/>
  <c r="C7" i="2"/>
  <c r="C28" i="3" s="1"/>
  <c r="D7" i="2"/>
  <c r="D28" i="3" s="1"/>
  <c r="E7" i="2"/>
  <c r="E28" i="3" s="1"/>
  <c r="F7" i="2"/>
  <c r="F28" i="3" s="1"/>
  <c r="G7" i="2"/>
  <c r="G28" i="3" s="1"/>
  <c r="H7" i="2"/>
  <c r="H28" i="3" s="1"/>
  <c r="I7" i="2"/>
  <c r="I28" i="3" s="1"/>
  <c r="J7" i="2"/>
  <c r="J28" i="3" s="1"/>
  <c r="K7" i="2"/>
  <c r="K28" i="3" s="1"/>
  <c r="L7" i="2"/>
  <c r="L28" i="3" s="1"/>
  <c r="M7" i="2"/>
  <c r="M28" i="3" s="1"/>
  <c r="N7" i="2"/>
  <c r="N28" i="3" s="1"/>
  <c r="B8" i="2"/>
  <c r="B30" i="3" s="1"/>
  <c r="C8" i="2"/>
  <c r="C30" i="3" s="1"/>
  <c r="D8" i="2"/>
  <c r="D30" i="3" s="1"/>
  <c r="E8" i="2"/>
  <c r="E30" i="3" s="1"/>
  <c r="F8" i="2"/>
  <c r="F30" i="3" s="1"/>
  <c r="G8" i="2"/>
  <c r="G30" i="3" s="1"/>
  <c r="H8" i="2"/>
  <c r="H30" i="3" s="1"/>
  <c r="I8" i="2"/>
  <c r="I30" i="3" s="1"/>
  <c r="J8" i="2"/>
  <c r="J30" i="3" s="1"/>
  <c r="K8" i="2"/>
  <c r="K30" i="3" s="1"/>
  <c r="L8" i="2"/>
  <c r="L30" i="3" s="1"/>
  <c r="M8" i="2"/>
  <c r="M30" i="3" s="1"/>
  <c r="N8" i="2"/>
  <c r="N30" i="3" s="1"/>
  <c r="B9" i="2"/>
  <c r="B25" i="3" s="1"/>
  <c r="C9" i="2"/>
  <c r="C25" i="3" s="1"/>
  <c r="D9" i="2"/>
  <c r="D25" i="3" s="1"/>
  <c r="E9" i="2"/>
  <c r="E25" i="3" s="1"/>
  <c r="F9" i="2"/>
  <c r="F25" i="3" s="1"/>
  <c r="G9" i="2"/>
  <c r="G25" i="3" s="1"/>
  <c r="H9" i="2"/>
  <c r="H25" i="3" s="1"/>
  <c r="I9" i="2"/>
  <c r="I25" i="3" s="1"/>
  <c r="J9" i="2"/>
  <c r="J25" i="3" s="1"/>
  <c r="K9" i="2"/>
  <c r="K25" i="3" s="1"/>
  <c r="L9" i="2"/>
  <c r="L25" i="3" s="1"/>
  <c r="M9" i="2"/>
  <c r="M25" i="3" s="1"/>
  <c r="N9" i="2"/>
  <c r="N25" i="3" s="1"/>
  <c r="B10" i="2"/>
  <c r="B14" i="3" s="1"/>
  <c r="C10" i="2"/>
  <c r="C14" i="3" s="1"/>
  <c r="D10" i="2"/>
  <c r="D14" i="3" s="1"/>
  <c r="E10" i="2"/>
  <c r="E14" i="3" s="1"/>
  <c r="F10" i="2"/>
  <c r="F14" i="3" s="1"/>
  <c r="G10" i="2"/>
  <c r="G14" i="3" s="1"/>
  <c r="H10" i="2"/>
  <c r="H14" i="3" s="1"/>
  <c r="I10" i="2"/>
  <c r="I14" i="3" s="1"/>
  <c r="J10" i="2"/>
  <c r="J14" i="3" s="1"/>
  <c r="K10" i="2"/>
  <c r="K14" i="3" s="1"/>
  <c r="L10" i="2"/>
  <c r="L14" i="3" s="1"/>
  <c r="M10" i="2"/>
  <c r="M14" i="3" s="1"/>
  <c r="N10" i="2"/>
  <c r="N14" i="3" s="1"/>
  <c r="B11" i="2"/>
  <c r="B26" i="3" s="1"/>
  <c r="C11" i="2"/>
  <c r="C26" i="3" s="1"/>
  <c r="D11" i="2"/>
  <c r="D26" i="3" s="1"/>
  <c r="E11" i="2"/>
  <c r="E26" i="3" s="1"/>
  <c r="F11" i="2"/>
  <c r="F26" i="3" s="1"/>
  <c r="G11" i="2"/>
  <c r="G26" i="3" s="1"/>
  <c r="H11" i="2"/>
  <c r="H26" i="3" s="1"/>
  <c r="I11" i="2"/>
  <c r="I26" i="3" s="1"/>
  <c r="J11" i="2"/>
  <c r="J26" i="3" s="1"/>
  <c r="K11" i="2"/>
  <c r="K26" i="3" s="1"/>
  <c r="L11" i="2"/>
  <c r="L26" i="3" s="1"/>
  <c r="M11" i="2"/>
  <c r="M26" i="3" s="1"/>
  <c r="N11" i="2"/>
  <c r="N26" i="3" s="1"/>
  <c r="B12" i="2"/>
  <c r="B31" i="3" s="1"/>
  <c r="C12" i="2"/>
  <c r="C31" i="3" s="1"/>
  <c r="D12" i="2"/>
  <c r="D31" i="3" s="1"/>
  <c r="E12" i="2"/>
  <c r="E31" i="3" s="1"/>
  <c r="F12" i="2"/>
  <c r="F31" i="3" s="1"/>
  <c r="G12" i="2"/>
  <c r="G31" i="3" s="1"/>
  <c r="H12" i="2"/>
  <c r="H31" i="3" s="1"/>
  <c r="I12" i="2"/>
  <c r="I31" i="3" s="1"/>
  <c r="J12" i="2"/>
  <c r="J31" i="3" s="1"/>
  <c r="K12" i="2"/>
  <c r="K31" i="3" s="1"/>
  <c r="L12" i="2"/>
  <c r="L31" i="3" s="1"/>
  <c r="M12" i="2"/>
  <c r="M31" i="3" s="1"/>
  <c r="N12" i="2"/>
  <c r="N31" i="3" s="1"/>
  <c r="B13" i="2"/>
  <c r="B16" i="3" s="1"/>
  <c r="C13" i="2"/>
  <c r="C16" i="3" s="1"/>
  <c r="D13" i="2"/>
  <c r="D16" i="3" s="1"/>
  <c r="E13" i="2"/>
  <c r="E16" i="3" s="1"/>
  <c r="F13" i="2"/>
  <c r="F16" i="3" s="1"/>
  <c r="G13" i="2"/>
  <c r="G16" i="3" s="1"/>
  <c r="H13" i="2"/>
  <c r="H16" i="3" s="1"/>
  <c r="I13" i="2"/>
  <c r="I16" i="3" s="1"/>
  <c r="J13" i="2"/>
  <c r="J16" i="3" s="1"/>
  <c r="K13" i="2"/>
  <c r="K16" i="3" s="1"/>
  <c r="L13" i="2"/>
  <c r="L16" i="3" s="1"/>
  <c r="M13" i="2"/>
  <c r="M16" i="3" s="1"/>
  <c r="N13" i="2"/>
  <c r="N16" i="3" s="1"/>
  <c r="B14" i="2"/>
  <c r="B20" i="3" s="1"/>
  <c r="C14" i="2"/>
  <c r="C20" i="3" s="1"/>
  <c r="D14" i="2"/>
  <c r="D20" i="3" s="1"/>
  <c r="E14" i="2"/>
  <c r="E20" i="3" s="1"/>
  <c r="F14" i="2"/>
  <c r="F20" i="3" s="1"/>
  <c r="G14" i="2"/>
  <c r="G20" i="3" s="1"/>
  <c r="H14" i="2"/>
  <c r="H20" i="3" s="1"/>
  <c r="I14" i="2"/>
  <c r="I20" i="3" s="1"/>
  <c r="J14" i="2"/>
  <c r="J20" i="3" s="1"/>
  <c r="K14" i="2"/>
  <c r="K20" i="3" s="1"/>
  <c r="L14" i="2"/>
  <c r="L20" i="3" s="1"/>
  <c r="M14" i="2"/>
  <c r="M20" i="3" s="1"/>
  <c r="N14" i="2"/>
  <c r="N20" i="3" s="1"/>
  <c r="B15" i="2"/>
  <c r="B5" i="3" s="1"/>
  <c r="C15" i="2"/>
  <c r="C5" i="3" s="1"/>
  <c r="D15" i="2"/>
  <c r="D5" i="3" s="1"/>
  <c r="E15" i="2"/>
  <c r="E5" i="3" s="1"/>
  <c r="F15" i="2"/>
  <c r="F5" i="3" s="1"/>
  <c r="G15" i="2"/>
  <c r="G5" i="3" s="1"/>
  <c r="H15" i="2"/>
  <c r="H5" i="3" s="1"/>
  <c r="I15" i="2"/>
  <c r="I5" i="3" s="1"/>
  <c r="J15" i="2"/>
  <c r="J5" i="3" s="1"/>
  <c r="K15" i="2"/>
  <c r="K5" i="3" s="1"/>
  <c r="L15" i="2"/>
  <c r="L5" i="3" s="1"/>
  <c r="M15" i="2"/>
  <c r="M5" i="3" s="1"/>
  <c r="N15" i="2"/>
  <c r="N5" i="3" s="1"/>
  <c r="B16" i="2"/>
  <c r="B34" i="3" s="1"/>
  <c r="C16" i="2"/>
  <c r="C34" i="3" s="1"/>
  <c r="D16" i="2"/>
  <c r="D34" i="3" s="1"/>
  <c r="E16" i="2"/>
  <c r="E34" i="3" s="1"/>
  <c r="F16" i="2"/>
  <c r="F34" i="3" s="1"/>
  <c r="G16" i="2"/>
  <c r="G34" i="3" s="1"/>
  <c r="H16" i="2"/>
  <c r="H34" i="3" s="1"/>
  <c r="I16" i="2"/>
  <c r="I34" i="3" s="1"/>
  <c r="J16" i="2"/>
  <c r="J34" i="3" s="1"/>
  <c r="K16" i="2"/>
  <c r="K34" i="3" s="1"/>
  <c r="L16" i="2"/>
  <c r="L34" i="3" s="1"/>
  <c r="M16" i="2"/>
  <c r="M34" i="3" s="1"/>
  <c r="N16" i="2"/>
  <c r="N34" i="3" s="1"/>
  <c r="B17" i="2"/>
  <c r="B33" i="3" s="1"/>
  <c r="C17" i="2"/>
  <c r="C33" i="3" s="1"/>
  <c r="D17" i="2"/>
  <c r="D33" i="3" s="1"/>
  <c r="E17" i="2"/>
  <c r="E33" i="3" s="1"/>
  <c r="F17" i="2"/>
  <c r="F33" i="3" s="1"/>
  <c r="G17" i="2"/>
  <c r="G33" i="3" s="1"/>
  <c r="H17" i="2"/>
  <c r="H33" i="3" s="1"/>
  <c r="I17" i="2"/>
  <c r="I33" i="3" s="1"/>
  <c r="J17" i="2"/>
  <c r="J33" i="3" s="1"/>
  <c r="K17" i="2"/>
  <c r="K33" i="3" s="1"/>
  <c r="L17" i="2"/>
  <c r="L33" i="3" s="1"/>
  <c r="M17" i="2"/>
  <c r="M33" i="3" s="1"/>
  <c r="N17" i="2"/>
  <c r="N33" i="3" s="1"/>
  <c r="B18" i="2"/>
  <c r="B9" i="3" s="1"/>
  <c r="C18" i="2"/>
  <c r="C9" i="3" s="1"/>
  <c r="D18" i="2"/>
  <c r="D9" i="3" s="1"/>
  <c r="E18" i="2"/>
  <c r="E9" i="3" s="1"/>
  <c r="F18" i="2"/>
  <c r="F9" i="3" s="1"/>
  <c r="G18" i="2"/>
  <c r="G9" i="3" s="1"/>
  <c r="H18" i="2"/>
  <c r="H9" i="3" s="1"/>
  <c r="I18" i="2"/>
  <c r="I9" i="3" s="1"/>
  <c r="J18" i="2"/>
  <c r="J9" i="3" s="1"/>
  <c r="K18" i="2"/>
  <c r="K9" i="3" s="1"/>
  <c r="L18" i="2"/>
  <c r="L9" i="3" s="1"/>
  <c r="M18" i="2"/>
  <c r="M9" i="3" s="1"/>
  <c r="N18" i="2"/>
  <c r="N9" i="3" s="1"/>
  <c r="B19" i="2"/>
  <c r="B11" i="3" s="1"/>
  <c r="C19" i="2"/>
  <c r="C11" i="3" s="1"/>
  <c r="D19" i="2"/>
  <c r="D11" i="3" s="1"/>
  <c r="E19" i="2"/>
  <c r="E11" i="3" s="1"/>
  <c r="F19" i="2"/>
  <c r="F11" i="3" s="1"/>
  <c r="G19" i="2"/>
  <c r="G11" i="3" s="1"/>
  <c r="H19" i="2"/>
  <c r="H11" i="3" s="1"/>
  <c r="I19" i="2"/>
  <c r="I11" i="3" s="1"/>
  <c r="J19" i="2"/>
  <c r="J11" i="3" s="1"/>
  <c r="K19" i="2"/>
  <c r="K11" i="3" s="1"/>
  <c r="L19" i="2"/>
  <c r="L11" i="3" s="1"/>
  <c r="M19" i="2"/>
  <c r="M11" i="3" s="1"/>
  <c r="N19" i="2"/>
  <c r="N11" i="3" s="1"/>
  <c r="B20" i="2"/>
  <c r="B37" i="3" s="1"/>
  <c r="C20" i="2"/>
  <c r="C37" i="3" s="1"/>
  <c r="D20" i="2"/>
  <c r="D37" i="3" s="1"/>
  <c r="E20" i="2"/>
  <c r="E37" i="3" s="1"/>
  <c r="F20" i="2"/>
  <c r="F37" i="3" s="1"/>
  <c r="G20" i="2"/>
  <c r="G37" i="3" s="1"/>
  <c r="H20" i="2"/>
  <c r="H37" i="3" s="1"/>
  <c r="I20" i="2"/>
  <c r="I37" i="3" s="1"/>
  <c r="J20" i="2"/>
  <c r="J37" i="3" s="1"/>
  <c r="K20" i="2"/>
  <c r="K37" i="3" s="1"/>
  <c r="L20" i="2"/>
  <c r="L37" i="3" s="1"/>
  <c r="M20" i="2"/>
  <c r="M37" i="3" s="1"/>
  <c r="N20" i="2"/>
  <c r="N37" i="3" s="1"/>
  <c r="B21" i="2"/>
  <c r="B40" i="3" s="1"/>
  <c r="C21" i="2"/>
  <c r="C40" i="3" s="1"/>
  <c r="D21" i="2"/>
  <c r="D40" i="3" s="1"/>
  <c r="E21" i="2"/>
  <c r="E40" i="3" s="1"/>
  <c r="F21" i="2"/>
  <c r="F40" i="3" s="1"/>
  <c r="G21" i="2"/>
  <c r="G40" i="3" s="1"/>
  <c r="H21" i="2"/>
  <c r="H40" i="3" s="1"/>
  <c r="I21" i="2"/>
  <c r="I40" i="3" s="1"/>
  <c r="J21" i="2"/>
  <c r="J40" i="3" s="1"/>
  <c r="K21" i="2"/>
  <c r="K40" i="3" s="1"/>
  <c r="L21" i="2"/>
  <c r="L40" i="3" s="1"/>
  <c r="M21" i="2"/>
  <c r="M40" i="3" s="1"/>
  <c r="N21" i="2"/>
  <c r="N40" i="3" s="1"/>
  <c r="B22" i="2"/>
  <c r="B39" i="3" s="1"/>
  <c r="C22" i="2"/>
  <c r="C39" i="3" s="1"/>
  <c r="D22" i="2"/>
  <c r="D39" i="3" s="1"/>
  <c r="E22" i="2"/>
  <c r="E39" i="3" s="1"/>
  <c r="F22" i="2"/>
  <c r="F39" i="3" s="1"/>
  <c r="G22" i="2"/>
  <c r="G39" i="3" s="1"/>
  <c r="H22" i="2"/>
  <c r="H39" i="3" s="1"/>
  <c r="I22" i="2"/>
  <c r="I39" i="3" s="1"/>
  <c r="J22" i="2"/>
  <c r="J39" i="3" s="1"/>
  <c r="K22" i="2"/>
  <c r="K39" i="3" s="1"/>
  <c r="L22" i="2"/>
  <c r="L39" i="3" s="1"/>
  <c r="M22" i="2"/>
  <c r="M39" i="3" s="1"/>
  <c r="N22" i="2"/>
  <c r="N39" i="3" s="1"/>
  <c r="B23" i="2"/>
  <c r="B29" i="3" s="1"/>
  <c r="C23" i="2"/>
  <c r="C29" i="3" s="1"/>
  <c r="D23" i="2"/>
  <c r="D29" i="3" s="1"/>
  <c r="E23" i="2"/>
  <c r="E29" i="3" s="1"/>
  <c r="F23" i="2"/>
  <c r="F29" i="3" s="1"/>
  <c r="G23" i="2"/>
  <c r="G29" i="3" s="1"/>
  <c r="H23" i="2"/>
  <c r="H29" i="3" s="1"/>
  <c r="I23" i="2"/>
  <c r="I29" i="3" s="1"/>
  <c r="J23" i="2"/>
  <c r="J29" i="3" s="1"/>
  <c r="K23" i="2"/>
  <c r="K29" i="3" s="1"/>
  <c r="L23" i="2"/>
  <c r="L29" i="3" s="1"/>
  <c r="M23" i="2"/>
  <c r="M29" i="3" s="1"/>
  <c r="N23" i="2"/>
  <c r="N29" i="3" s="1"/>
  <c r="B24" i="2"/>
  <c r="B38" i="3" s="1"/>
  <c r="C24" i="2"/>
  <c r="C38" i="3" s="1"/>
  <c r="D24" i="2"/>
  <c r="D38" i="3" s="1"/>
  <c r="E24" i="2"/>
  <c r="E38" i="3" s="1"/>
  <c r="F24" i="2"/>
  <c r="F38" i="3" s="1"/>
  <c r="G24" i="2"/>
  <c r="G38" i="3" s="1"/>
  <c r="H24" i="2"/>
  <c r="H38" i="3" s="1"/>
  <c r="I24" i="2"/>
  <c r="I38" i="3" s="1"/>
  <c r="J24" i="2"/>
  <c r="J38" i="3" s="1"/>
  <c r="K24" i="2"/>
  <c r="K38" i="3" s="1"/>
  <c r="L24" i="2"/>
  <c r="L38" i="3" s="1"/>
  <c r="M24" i="2"/>
  <c r="M38" i="3" s="1"/>
  <c r="N24" i="2"/>
  <c r="N38" i="3" s="1"/>
  <c r="B25" i="2"/>
  <c r="B27" i="3" s="1"/>
  <c r="C25" i="2"/>
  <c r="C27" i="3" s="1"/>
  <c r="D25" i="2"/>
  <c r="D27" i="3" s="1"/>
  <c r="E25" i="2"/>
  <c r="E27" i="3" s="1"/>
  <c r="F25" i="2"/>
  <c r="F27" i="3" s="1"/>
  <c r="G25" i="2"/>
  <c r="G27" i="3" s="1"/>
  <c r="H25" i="2"/>
  <c r="H27" i="3" s="1"/>
  <c r="I25" i="2"/>
  <c r="I27" i="3" s="1"/>
  <c r="J25" i="2"/>
  <c r="J27" i="3" s="1"/>
  <c r="K25" i="2"/>
  <c r="K27" i="3" s="1"/>
  <c r="L25" i="2"/>
  <c r="L27" i="3" s="1"/>
  <c r="M25" i="2"/>
  <c r="M27" i="3" s="1"/>
  <c r="N25" i="2"/>
  <c r="N27" i="3" s="1"/>
  <c r="B26" i="2"/>
  <c r="B36" i="3" s="1"/>
  <c r="C26" i="2"/>
  <c r="C36" i="3" s="1"/>
  <c r="D26" i="2"/>
  <c r="D36" i="3" s="1"/>
  <c r="E26" i="2"/>
  <c r="E36" i="3" s="1"/>
  <c r="F26" i="2"/>
  <c r="F36" i="3" s="1"/>
  <c r="G26" i="2"/>
  <c r="G36" i="3" s="1"/>
  <c r="H26" i="2"/>
  <c r="H36" i="3" s="1"/>
  <c r="I26" i="2"/>
  <c r="I36" i="3" s="1"/>
  <c r="J26" i="2"/>
  <c r="J36" i="3" s="1"/>
  <c r="K26" i="2"/>
  <c r="K36" i="3" s="1"/>
  <c r="L26" i="2"/>
  <c r="L36" i="3" s="1"/>
  <c r="M26" i="2"/>
  <c r="M36" i="3" s="1"/>
  <c r="N26" i="2"/>
  <c r="N36" i="3" s="1"/>
  <c r="B27" i="2"/>
  <c r="B32" i="3" s="1"/>
  <c r="C27" i="2"/>
  <c r="C32" i="3" s="1"/>
  <c r="D27" i="2"/>
  <c r="D32" i="3" s="1"/>
  <c r="E27" i="2"/>
  <c r="E32" i="3" s="1"/>
  <c r="F27" i="2"/>
  <c r="F32" i="3" s="1"/>
  <c r="G27" i="2"/>
  <c r="G32" i="3" s="1"/>
  <c r="H27" i="2"/>
  <c r="H32" i="3" s="1"/>
  <c r="I27" i="2"/>
  <c r="I32" i="3" s="1"/>
  <c r="J27" i="2"/>
  <c r="J32" i="3" s="1"/>
  <c r="K27" i="2"/>
  <c r="K32" i="3" s="1"/>
  <c r="L27" i="2"/>
  <c r="L32" i="3" s="1"/>
  <c r="M27" i="2"/>
  <c r="M32" i="3" s="1"/>
  <c r="N27" i="2"/>
  <c r="N32" i="3" s="1"/>
  <c r="B28" i="2"/>
  <c r="B2" i="3" s="1"/>
  <c r="C28" i="2"/>
  <c r="C2" i="3" s="1"/>
  <c r="D28" i="2"/>
  <c r="D2" i="3" s="1"/>
  <c r="E28" i="2"/>
  <c r="E2" i="3" s="1"/>
  <c r="F28" i="2"/>
  <c r="F2" i="3" s="1"/>
  <c r="G28" i="2"/>
  <c r="G2" i="3" s="1"/>
  <c r="H28" i="2"/>
  <c r="H2" i="3" s="1"/>
  <c r="I28" i="2"/>
  <c r="I2" i="3" s="1"/>
  <c r="J28" i="2"/>
  <c r="J2" i="3" s="1"/>
  <c r="K28" i="2"/>
  <c r="K2" i="3" s="1"/>
  <c r="L28" i="2"/>
  <c r="L2" i="3" s="1"/>
  <c r="M28" i="2"/>
  <c r="M2" i="3" s="1"/>
  <c r="N28" i="2"/>
  <c r="N2" i="3" s="1"/>
  <c r="B29" i="2"/>
  <c r="B12" i="3" s="1"/>
  <c r="C29" i="2"/>
  <c r="C12" i="3" s="1"/>
  <c r="D29" i="2"/>
  <c r="D12" i="3" s="1"/>
  <c r="E29" i="2"/>
  <c r="E12" i="3" s="1"/>
  <c r="F29" i="2"/>
  <c r="F12" i="3" s="1"/>
  <c r="G29" i="2"/>
  <c r="G12" i="3" s="1"/>
  <c r="H29" i="2"/>
  <c r="H12" i="3" s="1"/>
  <c r="I29" i="2"/>
  <c r="I12" i="3" s="1"/>
  <c r="J29" i="2"/>
  <c r="J12" i="3" s="1"/>
  <c r="K29" i="2"/>
  <c r="K12" i="3" s="1"/>
  <c r="L29" i="2"/>
  <c r="L12" i="3" s="1"/>
  <c r="M29" i="2"/>
  <c r="M12" i="3" s="1"/>
  <c r="N29" i="2"/>
  <c r="N12" i="3" s="1"/>
  <c r="B30" i="2"/>
  <c r="B6" i="3" s="1"/>
  <c r="C30" i="2"/>
  <c r="C6" i="3" s="1"/>
  <c r="D30" i="2"/>
  <c r="D6" i="3" s="1"/>
  <c r="E30" i="2"/>
  <c r="E6" i="3" s="1"/>
  <c r="F30" i="2"/>
  <c r="F6" i="3" s="1"/>
  <c r="G30" i="2"/>
  <c r="G6" i="3" s="1"/>
  <c r="H30" i="2"/>
  <c r="H6" i="3" s="1"/>
  <c r="I30" i="2"/>
  <c r="I6" i="3" s="1"/>
  <c r="J30" i="2"/>
  <c r="J6" i="3" s="1"/>
  <c r="K30" i="2"/>
  <c r="K6" i="3" s="1"/>
  <c r="L30" i="2"/>
  <c r="L6" i="3" s="1"/>
  <c r="M30" i="2"/>
  <c r="M6" i="3" s="1"/>
  <c r="N30" i="2"/>
  <c r="N6" i="3" s="1"/>
  <c r="B31" i="2"/>
  <c r="B18" i="3" s="1"/>
  <c r="C31" i="2"/>
  <c r="C18" i="3" s="1"/>
  <c r="D31" i="2"/>
  <c r="D18" i="3" s="1"/>
  <c r="E31" i="2"/>
  <c r="E18" i="3" s="1"/>
  <c r="F31" i="2"/>
  <c r="F18" i="3" s="1"/>
  <c r="G31" i="2"/>
  <c r="G18" i="3" s="1"/>
  <c r="H31" i="2"/>
  <c r="H18" i="3" s="1"/>
  <c r="I31" i="2"/>
  <c r="I18" i="3" s="1"/>
  <c r="J31" i="2"/>
  <c r="J18" i="3" s="1"/>
  <c r="K31" i="2"/>
  <c r="K18" i="3" s="1"/>
  <c r="L31" i="2"/>
  <c r="L18" i="3" s="1"/>
  <c r="M31" i="2"/>
  <c r="M18" i="3" s="1"/>
  <c r="N31" i="2"/>
  <c r="N18" i="3" s="1"/>
  <c r="B32" i="2"/>
  <c r="B15" i="3" s="1"/>
  <c r="C32" i="2"/>
  <c r="C15" i="3" s="1"/>
  <c r="D32" i="2"/>
  <c r="D15" i="3" s="1"/>
  <c r="E32" i="2"/>
  <c r="E15" i="3" s="1"/>
  <c r="F32" i="2"/>
  <c r="F15" i="3" s="1"/>
  <c r="G32" i="2"/>
  <c r="G15" i="3" s="1"/>
  <c r="H32" i="2"/>
  <c r="H15" i="3" s="1"/>
  <c r="I32" i="2"/>
  <c r="I15" i="3" s="1"/>
  <c r="J32" i="2"/>
  <c r="J15" i="3" s="1"/>
  <c r="K32" i="2"/>
  <c r="K15" i="3" s="1"/>
  <c r="L32" i="2"/>
  <c r="L15" i="3" s="1"/>
  <c r="M32" i="2"/>
  <c r="M15" i="3" s="1"/>
  <c r="N32" i="2"/>
  <c r="N15" i="3" s="1"/>
  <c r="B33" i="2"/>
  <c r="B23" i="3" s="1"/>
  <c r="C33" i="2"/>
  <c r="C23" i="3" s="1"/>
  <c r="D33" i="2"/>
  <c r="D23" i="3" s="1"/>
  <c r="E33" i="2"/>
  <c r="E23" i="3" s="1"/>
  <c r="F33" i="2"/>
  <c r="F23" i="3" s="1"/>
  <c r="G33" i="2"/>
  <c r="G23" i="3" s="1"/>
  <c r="H33" i="2"/>
  <c r="H23" i="3" s="1"/>
  <c r="I33" i="2"/>
  <c r="I23" i="3" s="1"/>
  <c r="J33" i="2"/>
  <c r="J23" i="3" s="1"/>
  <c r="K33" i="2"/>
  <c r="K23" i="3" s="1"/>
  <c r="L33" i="2"/>
  <c r="L23" i="3" s="1"/>
  <c r="M33" i="2"/>
  <c r="M23" i="3" s="1"/>
  <c r="N33" i="2"/>
  <c r="N23" i="3" s="1"/>
  <c r="B34" i="2"/>
  <c r="B17" i="3" s="1"/>
  <c r="C34" i="2"/>
  <c r="C17" i="3" s="1"/>
  <c r="D34" i="2"/>
  <c r="D17" i="3" s="1"/>
  <c r="E34" i="2"/>
  <c r="E17" i="3" s="1"/>
  <c r="F34" i="2"/>
  <c r="F17" i="3" s="1"/>
  <c r="G34" i="2"/>
  <c r="G17" i="3" s="1"/>
  <c r="H34" i="2"/>
  <c r="H17" i="3" s="1"/>
  <c r="I34" i="2"/>
  <c r="I17" i="3" s="1"/>
  <c r="J34" i="2"/>
  <c r="J17" i="3" s="1"/>
  <c r="K34" i="2"/>
  <c r="K17" i="3" s="1"/>
  <c r="L34" i="2"/>
  <c r="L17" i="3" s="1"/>
  <c r="M34" i="2"/>
  <c r="M17" i="3" s="1"/>
  <c r="N34" i="2"/>
  <c r="N17" i="3" s="1"/>
  <c r="B35" i="2"/>
  <c r="B8" i="3" s="1"/>
  <c r="C35" i="2"/>
  <c r="C8" i="3" s="1"/>
  <c r="D35" i="2"/>
  <c r="D8" i="3" s="1"/>
  <c r="E35" i="2"/>
  <c r="E8" i="3" s="1"/>
  <c r="F35" i="2"/>
  <c r="F8" i="3" s="1"/>
  <c r="G35" i="2"/>
  <c r="G8" i="3" s="1"/>
  <c r="H35" i="2"/>
  <c r="H8" i="3" s="1"/>
  <c r="I35" i="2"/>
  <c r="I8" i="3" s="1"/>
  <c r="J35" i="2"/>
  <c r="J8" i="3" s="1"/>
  <c r="K35" i="2"/>
  <c r="K8" i="3" s="1"/>
  <c r="L35" i="2"/>
  <c r="L8" i="3" s="1"/>
  <c r="M35" i="2"/>
  <c r="M8" i="3" s="1"/>
  <c r="N35" i="2"/>
  <c r="N8" i="3" s="1"/>
  <c r="B36" i="2"/>
  <c r="B10" i="3" s="1"/>
  <c r="C36" i="2"/>
  <c r="C10" i="3" s="1"/>
  <c r="D36" i="2"/>
  <c r="D10" i="3" s="1"/>
  <c r="E36" i="2"/>
  <c r="E10" i="3" s="1"/>
  <c r="F36" i="2"/>
  <c r="F10" i="3" s="1"/>
  <c r="G36" i="2"/>
  <c r="G10" i="3" s="1"/>
  <c r="H36" i="2"/>
  <c r="H10" i="3" s="1"/>
  <c r="I36" i="2"/>
  <c r="I10" i="3" s="1"/>
  <c r="J36" i="2"/>
  <c r="J10" i="3" s="1"/>
  <c r="K36" i="2"/>
  <c r="K10" i="3" s="1"/>
  <c r="L36" i="2"/>
  <c r="L10" i="3" s="1"/>
  <c r="M36" i="2"/>
  <c r="M10" i="3" s="1"/>
  <c r="N36" i="2"/>
  <c r="N10" i="3" s="1"/>
  <c r="B37" i="2"/>
  <c r="B4" i="3" s="1"/>
  <c r="C37" i="2"/>
  <c r="C4" i="3" s="1"/>
  <c r="D37" i="2"/>
  <c r="D4" i="3" s="1"/>
  <c r="E37" i="2"/>
  <c r="E4" i="3" s="1"/>
  <c r="F37" i="2"/>
  <c r="F4" i="3" s="1"/>
  <c r="G37" i="2"/>
  <c r="G4" i="3" s="1"/>
  <c r="H37" i="2"/>
  <c r="H4" i="3" s="1"/>
  <c r="I37" i="2"/>
  <c r="I4" i="3" s="1"/>
  <c r="J37" i="2"/>
  <c r="J4" i="3" s="1"/>
  <c r="K37" i="2"/>
  <c r="K4" i="3" s="1"/>
  <c r="L37" i="2"/>
  <c r="L4" i="3" s="1"/>
  <c r="M37" i="2"/>
  <c r="M4" i="3" s="1"/>
  <c r="N37" i="2"/>
  <c r="N4" i="3" s="1"/>
  <c r="B38" i="2"/>
  <c r="B3" i="3" s="1"/>
  <c r="C38" i="2"/>
  <c r="C3" i="3" s="1"/>
  <c r="D38" i="2"/>
  <c r="D3" i="3" s="1"/>
  <c r="E38" i="2"/>
  <c r="E3" i="3" s="1"/>
  <c r="F38" i="2"/>
  <c r="F3" i="3" s="1"/>
  <c r="G38" i="2"/>
  <c r="G3" i="3" s="1"/>
  <c r="H38" i="2"/>
  <c r="H3" i="3" s="1"/>
  <c r="I38" i="2"/>
  <c r="I3" i="3" s="1"/>
  <c r="J38" i="2"/>
  <c r="J3" i="3" s="1"/>
  <c r="K38" i="2"/>
  <c r="K3" i="3" s="1"/>
  <c r="L38" i="2"/>
  <c r="L3" i="3" s="1"/>
  <c r="M38" i="2"/>
  <c r="M3" i="3" s="1"/>
  <c r="N38" i="2"/>
  <c r="N3" i="3" s="1"/>
  <c r="B39" i="2"/>
  <c r="B19" i="3" s="1"/>
  <c r="C39" i="2"/>
  <c r="C19" i="3" s="1"/>
  <c r="D39" i="2"/>
  <c r="D19" i="3" s="1"/>
  <c r="E39" i="2"/>
  <c r="E19" i="3" s="1"/>
  <c r="F39" i="2"/>
  <c r="F19" i="3" s="1"/>
  <c r="G39" i="2"/>
  <c r="G19" i="3" s="1"/>
  <c r="H39" i="2"/>
  <c r="H19" i="3" s="1"/>
  <c r="I39" i="2"/>
  <c r="I19" i="3" s="1"/>
  <c r="J39" i="2"/>
  <c r="J19" i="3" s="1"/>
  <c r="K39" i="2"/>
  <c r="K19" i="3" s="1"/>
  <c r="L39" i="2"/>
  <c r="L19" i="3" s="1"/>
  <c r="M39" i="2"/>
  <c r="M19" i="3" s="1"/>
  <c r="N39" i="2"/>
  <c r="N19" i="3" s="1"/>
  <c r="B40" i="2"/>
  <c r="B21" i="3" s="1"/>
  <c r="C40" i="2"/>
  <c r="C21" i="3" s="1"/>
  <c r="D40" i="2"/>
  <c r="D21" i="3" s="1"/>
  <c r="E40" i="2"/>
  <c r="E21" i="3" s="1"/>
  <c r="F40" i="2"/>
  <c r="F21" i="3" s="1"/>
  <c r="G40" i="2"/>
  <c r="G21" i="3" s="1"/>
  <c r="H40" i="2"/>
  <c r="H21" i="3" s="1"/>
  <c r="I40" i="2"/>
  <c r="I21" i="3" s="1"/>
  <c r="J40" i="2"/>
  <c r="J21" i="3" s="1"/>
  <c r="K40" i="2"/>
  <c r="K21" i="3" s="1"/>
  <c r="L40" i="2"/>
  <c r="L21" i="3" s="1"/>
  <c r="M40" i="2"/>
  <c r="M21" i="3" s="1"/>
  <c r="N40" i="2"/>
  <c r="N21" i="3" s="1"/>
  <c r="B41" i="2"/>
  <c r="B42" i="3" s="1"/>
  <c r="C41" i="2"/>
  <c r="C42" i="3" s="1"/>
  <c r="D41" i="2"/>
  <c r="D42" i="3" s="1"/>
  <c r="E41" i="2"/>
  <c r="E42" i="3" s="1"/>
  <c r="F41" i="2"/>
  <c r="F42" i="3" s="1"/>
  <c r="G41" i="2"/>
  <c r="G42" i="3" s="1"/>
  <c r="H41" i="2"/>
  <c r="H42" i="3" s="1"/>
  <c r="I41" i="2"/>
  <c r="I42" i="3" s="1"/>
  <c r="J41" i="2"/>
  <c r="J42" i="3" s="1"/>
  <c r="K41" i="2"/>
  <c r="K42" i="3" s="1"/>
  <c r="L41" i="2"/>
  <c r="L42" i="3" s="1"/>
  <c r="M41" i="2"/>
  <c r="M42" i="3" s="1"/>
  <c r="N41" i="2"/>
  <c r="N42" i="3" s="1"/>
  <c r="B42" i="2"/>
  <c r="B35" i="3" s="1"/>
  <c r="C42" i="2"/>
  <c r="C35" i="3" s="1"/>
  <c r="D42" i="2"/>
  <c r="D35" i="3" s="1"/>
  <c r="E42" i="2"/>
  <c r="E35" i="3" s="1"/>
  <c r="F42" i="2"/>
  <c r="F35" i="3" s="1"/>
  <c r="G42" i="2"/>
  <c r="G35" i="3" s="1"/>
  <c r="H42" i="2"/>
  <c r="H35" i="3" s="1"/>
  <c r="I42" i="2"/>
  <c r="I35" i="3" s="1"/>
  <c r="J42" i="2"/>
  <c r="J35" i="3" s="1"/>
  <c r="K42" i="2"/>
  <c r="K35" i="3" s="1"/>
  <c r="L42" i="2"/>
  <c r="L35" i="3" s="1"/>
  <c r="M42" i="2"/>
  <c r="M35" i="3" s="1"/>
  <c r="N42" i="2"/>
  <c r="N35" i="3" s="1"/>
  <c r="N2" i="2"/>
  <c r="N41" i="3" s="1"/>
  <c r="M2" i="2"/>
  <c r="M41" i="3" s="1"/>
  <c r="L2" i="2"/>
  <c r="L41" i="3" s="1"/>
  <c r="K2" i="2"/>
  <c r="K41" i="3" s="1"/>
  <c r="J2" i="2"/>
  <c r="J41" i="3" s="1"/>
  <c r="I2" i="2"/>
  <c r="I41" i="3" s="1"/>
  <c r="H2" i="2"/>
  <c r="H41" i="3" s="1"/>
  <c r="G2" i="2"/>
  <c r="G41" i="3" s="1"/>
  <c r="F2" i="2"/>
  <c r="F41" i="3" s="1"/>
  <c r="E2" i="2"/>
  <c r="E41" i="3" s="1"/>
  <c r="D2" i="2"/>
  <c r="D41" i="3" s="1"/>
  <c r="C2" i="2"/>
  <c r="C41" i="3" s="1"/>
  <c r="B2" i="2"/>
  <c r="B41" i="3" s="1"/>
</calcChain>
</file>

<file path=xl/sharedStrings.xml><?xml version="1.0" encoding="utf-8"?>
<sst xmlns="http://schemas.openxmlformats.org/spreadsheetml/2006/main" count="252" uniqueCount="65">
  <si>
    <t>Gene Names</t>
  </si>
  <si>
    <t>1K</t>
  </si>
  <si>
    <t>4K</t>
  </si>
  <si>
    <t>17K</t>
  </si>
  <si>
    <t>200Kp</t>
  </si>
  <si>
    <t>200Ks</t>
  </si>
  <si>
    <t>Group</t>
  </si>
  <si>
    <t>Mapk13</t>
  </si>
  <si>
    <t>CMGC</t>
  </si>
  <si>
    <t>Cdk5</t>
  </si>
  <si>
    <t>Cdk17</t>
  </si>
  <si>
    <t>Cdk16</t>
  </si>
  <si>
    <t>Cdk18</t>
  </si>
  <si>
    <t>Ick</t>
  </si>
  <si>
    <t>Cdk12</t>
  </si>
  <si>
    <t>Cdk14</t>
  </si>
  <si>
    <t>Cdk20</t>
  </si>
  <si>
    <t>Mak</t>
  </si>
  <si>
    <t>Cdk13</t>
  </si>
  <si>
    <t>Gsk3b</t>
  </si>
  <si>
    <t>Cdk15</t>
  </si>
  <si>
    <t>Cdk2</t>
  </si>
  <si>
    <t>Mapk6</t>
  </si>
  <si>
    <t>Mapk4</t>
  </si>
  <si>
    <t>Srpk1</t>
  </si>
  <si>
    <t>Cdk9</t>
  </si>
  <si>
    <t>Cdkl1</t>
  </si>
  <si>
    <t>Dyrk1a</t>
  </si>
  <si>
    <t>Dyrk1b</t>
  </si>
  <si>
    <t>Srpk3</t>
  </si>
  <si>
    <t>Prpf4b</t>
  </si>
  <si>
    <t>Srpk2</t>
  </si>
  <si>
    <t>Cdk7</t>
  </si>
  <si>
    <t>Cdk11b</t>
  </si>
  <si>
    <t>Cdk1</t>
  </si>
  <si>
    <t>Cdk6</t>
  </si>
  <si>
    <t>Cdk4</t>
  </si>
  <si>
    <t>Mapk8</t>
  </si>
  <si>
    <t>Mapk11</t>
  </si>
  <si>
    <t>Mapk10</t>
  </si>
  <si>
    <t>Mapk9</t>
  </si>
  <si>
    <t>Mapk12</t>
  </si>
  <si>
    <t>Mapk14</t>
  </si>
  <si>
    <t>Mapk3</t>
  </si>
  <si>
    <t>Mapk1</t>
  </si>
  <si>
    <t>Nlk</t>
  </si>
  <si>
    <t>Mapk15</t>
  </si>
  <si>
    <t>Mapk7</t>
  </si>
  <si>
    <t>Gsk3a</t>
  </si>
  <si>
    <t>Ahnak</t>
  </si>
  <si>
    <t>Substrate</t>
  </si>
  <si>
    <t>Aqp2</t>
  </si>
  <si>
    <t>Cobll1</t>
  </si>
  <si>
    <t>Cxadr</t>
  </si>
  <si>
    <t>Epb4.1l1</t>
  </si>
  <si>
    <t>Fam207a</t>
  </si>
  <si>
    <t>Kif13b</t>
  </si>
  <si>
    <t>Lrrc16a</t>
  </si>
  <si>
    <t>Marcks</t>
  </si>
  <si>
    <t>Mylk</t>
  </si>
  <si>
    <t>Ppl</t>
  </si>
  <si>
    <t>Slc9a3r1</t>
  </si>
  <si>
    <t>Tjp1</t>
  </si>
  <si>
    <t>Gene Symbol</t>
  </si>
  <si>
    <t>Dot products for all proline-directed  protein kinases in mpkCCD versus all potential substrates that are regulated by vasopressin.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</si>
</sst>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  <family val="2"/>
    </font>
    <font>
      <b/>
      <sz val="12"/>
      <color rgb="FFFF0000"/>
      <name val="Arial"/>
      <family val="2"/>
    </font>
    <font>
      <sz val="12"/>
      <color theme="1"/>
      <name val="Arial"/>
      <family val="2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" fontId="0" fillId="0" borderId="0" xfId="0" applyNumberFormat="1"/>
    <xf numFmtId="0" fontId="18" fillId="0" borderId="0" xfId="0" applyFont="1"/>
    <xf numFmtId="1" fontId="18" fillId="0" borderId="0" xfId="0" applyNumberFormat="1" applyFont="1"/>
    <xf numFmtId="1" fontId="19" fillId="0" borderId="0" xfId="0" applyNumberFormat="1" applyFont="1"/>
    <xf numFmtId="0" fontId="20" fillId="0" borderId="0" xfId="0" applyFont="1"/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6F64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>
    <row r="1" spans="1:1" s="6" customFormat="1" x14ac:dyDescent="0.25">
      <c r="A1" s="6" t="s">
        <v>64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6"/>
  <sheetViews>
    <sheetView workbookViewId="0">
      <selection activeCell="C2" sqref="C2"/>
    </sheetView>
  </sheetViews>
  <sheetFormatPr defaultRowHeight="15" x14ac:dyDescent="0.25"/>
  <cols>
    <col min="1" max="1" width="16.28515625" customWidth="1"/>
    <col min="2" max="2" width="10.85546875" customWidth="1"/>
    <col min="3" max="3" width="11" customWidth="1"/>
    <col min="4" max="4" width="10.5703125" customWidth="1"/>
    <col min="5" max="5" width="11.28515625" customWidth="1"/>
    <col min="6" max="6" width="13" customWidth="1"/>
    <col min="10" max="10" width="11.28515625" customWidth="1"/>
    <col min="11" max="11" width="10.710937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t="s">
        <v>49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</row>
    <row r="2" spans="1:22" x14ac:dyDescent="0.25">
      <c r="A2" t="s">
        <v>7</v>
      </c>
      <c r="B2">
        <v>0.02</v>
      </c>
      <c r="C2">
        <v>101095.34</v>
      </c>
      <c r="D2">
        <v>161209.10999999999</v>
      </c>
      <c r="E2">
        <v>291951.77</v>
      </c>
      <c r="F2">
        <v>1235417.81</v>
      </c>
      <c r="G2" t="s">
        <v>8</v>
      </c>
      <c r="J2">
        <v>17698484.190000001</v>
      </c>
      <c r="K2">
        <v>545393.03</v>
      </c>
      <c r="L2">
        <v>0.01</v>
      </c>
      <c r="M2">
        <v>0.06</v>
      </c>
      <c r="N2">
        <v>21703.02</v>
      </c>
      <c r="O2">
        <v>0.04</v>
      </c>
      <c r="P2">
        <v>14357.66</v>
      </c>
      <c r="Q2">
        <v>722.61</v>
      </c>
      <c r="R2">
        <v>1026967.47</v>
      </c>
      <c r="S2">
        <v>82334.100000000006</v>
      </c>
      <c r="T2">
        <v>2452108.66</v>
      </c>
      <c r="U2">
        <v>1055968.05</v>
      </c>
      <c r="V2">
        <v>69059.199999999997</v>
      </c>
    </row>
    <row r="3" spans="1:22" x14ac:dyDescent="0.25">
      <c r="A3" t="s">
        <v>9</v>
      </c>
      <c r="B3">
        <v>0.03</v>
      </c>
      <c r="C3">
        <v>121961.45</v>
      </c>
      <c r="D3">
        <v>137640.79999999999</v>
      </c>
      <c r="E3">
        <v>185043.36</v>
      </c>
      <c r="F3">
        <v>1339012.56</v>
      </c>
      <c r="G3" t="s">
        <v>8</v>
      </c>
      <c r="J3">
        <v>6254713.8899999997</v>
      </c>
      <c r="K3">
        <v>3354707.02</v>
      </c>
      <c r="L3">
        <v>16.190000000000001</v>
      </c>
      <c r="M3">
        <v>980087.89</v>
      </c>
      <c r="N3">
        <v>11298.41</v>
      </c>
      <c r="O3">
        <v>0.04</v>
      </c>
      <c r="P3">
        <v>21100.27</v>
      </c>
      <c r="Q3">
        <v>36023.360000000001</v>
      </c>
      <c r="R3">
        <v>328087.65000000002</v>
      </c>
      <c r="S3">
        <v>13573.75</v>
      </c>
      <c r="T3">
        <v>93651.61</v>
      </c>
      <c r="U3">
        <v>286758.53000000003</v>
      </c>
      <c r="V3">
        <v>2319.4699999999998</v>
      </c>
    </row>
    <row r="4" spans="1:22" x14ac:dyDescent="0.25">
      <c r="A4" t="s">
        <v>10</v>
      </c>
      <c r="B4">
        <v>0.02</v>
      </c>
      <c r="C4">
        <v>45005.4</v>
      </c>
      <c r="D4">
        <v>70065.759999999995</v>
      </c>
      <c r="E4">
        <v>140680.71</v>
      </c>
      <c r="F4">
        <v>589204.25</v>
      </c>
      <c r="G4" t="s">
        <v>8</v>
      </c>
      <c r="J4">
        <v>19553887.940000001</v>
      </c>
      <c r="K4">
        <v>2850345.56</v>
      </c>
      <c r="L4">
        <v>66768.240000000005</v>
      </c>
      <c r="M4">
        <v>1424359.17</v>
      </c>
      <c r="N4">
        <v>63149.06</v>
      </c>
      <c r="O4">
        <v>0.04</v>
      </c>
      <c r="P4">
        <v>56904.5</v>
      </c>
      <c r="Q4">
        <v>133970.79999999999</v>
      </c>
      <c r="R4">
        <v>847067.2</v>
      </c>
      <c r="S4">
        <v>27569.5</v>
      </c>
      <c r="T4">
        <v>277951.90000000002</v>
      </c>
      <c r="U4">
        <v>1894652.85</v>
      </c>
      <c r="V4">
        <v>3321.51</v>
      </c>
    </row>
    <row r="5" spans="1:22" x14ac:dyDescent="0.25">
      <c r="A5" t="s">
        <v>11</v>
      </c>
      <c r="B5">
        <v>0.02</v>
      </c>
      <c r="C5">
        <v>45067.95</v>
      </c>
      <c r="D5">
        <v>64098.66</v>
      </c>
      <c r="E5">
        <v>82440.33</v>
      </c>
      <c r="F5">
        <v>620768.77</v>
      </c>
      <c r="G5" t="s">
        <v>8</v>
      </c>
      <c r="J5">
        <v>2310375.2200000002</v>
      </c>
      <c r="K5">
        <v>73387.839999999997</v>
      </c>
      <c r="L5">
        <v>221962.02</v>
      </c>
      <c r="M5">
        <v>0.06</v>
      </c>
      <c r="N5">
        <v>0.01</v>
      </c>
      <c r="O5">
        <v>42564.97</v>
      </c>
      <c r="P5">
        <v>328546.03000000003</v>
      </c>
      <c r="Q5">
        <v>151648.32999999999</v>
      </c>
      <c r="R5">
        <v>563439.62</v>
      </c>
      <c r="S5">
        <v>41811.71</v>
      </c>
      <c r="T5">
        <v>8988.07</v>
      </c>
      <c r="U5">
        <v>118690.69</v>
      </c>
      <c r="V5">
        <v>14682.05</v>
      </c>
    </row>
    <row r="6" spans="1:22" x14ac:dyDescent="0.25">
      <c r="A6" t="s">
        <v>12</v>
      </c>
      <c r="B6">
        <v>0.02</v>
      </c>
      <c r="C6">
        <v>58610.99</v>
      </c>
      <c r="D6">
        <v>88418.32</v>
      </c>
      <c r="E6">
        <v>264456.67</v>
      </c>
      <c r="F6">
        <v>668520.21</v>
      </c>
      <c r="G6" t="s">
        <v>8</v>
      </c>
      <c r="J6">
        <v>34144576.189999998</v>
      </c>
      <c r="K6">
        <v>0.03</v>
      </c>
      <c r="L6">
        <v>70317.45</v>
      </c>
      <c r="M6">
        <v>3346.78</v>
      </c>
      <c r="N6">
        <v>230419.96</v>
      </c>
      <c r="O6">
        <v>113949.16</v>
      </c>
      <c r="P6">
        <v>660891.9</v>
      </c>
      <c r="Q6">
        <v>28323.83</v>
      </c>
      <c r="R6">
        <v>57474.37</v>
      </c>
      <c r="S6">
        <v>613056.26</v>
      </c>
      <c r="T6">
        <v>232774.22</v>
      </c>
      <c r="U6">
        <v>11457478.33</v>
      </c>
      <c r="V6">
        <v>112534.79</v>
      </c>
    </row>
    <row r="7" spans="1:22" x14ac:dyDescent="0.25">
      <c r="A7" t="s">
        <v>13</v>
      </c>
      <c r="B7">
        <v>0.01</v>
      </c>
      <c r="C7">
        <v>32296.84</v>
      </c>
      <c r="D7">
        <v>49146.66</v>
      </c>
      <c r="E7">
        <v>61859.48</v>
      </c>
      <c r="F7">
        <v>491719.24</v>
      </c>
      <c r="G7" t="s">
        <v>8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50</v>
      </c>
      <c r="P7" t="s">
        <v>50</v>
      </c>
      <c r="Q7" t="s">
        <v>50</v>
      </c>
      <c r="R7" t="s">
        <v>50</v>
      </c>
      <c r="S7" t="s">
        <v>50</v>
      </c>
      <c r="T7" t="s">
        <v>50</v>
      </c>
      <c r="U7" t="s">
        <v>50</v>
      </c>
      <c r="V7" t="s">
        <v>50</v>
      </c>
    </row>
    <row r="8" spans="1:22" x14ac:dyDescent="0.25">
      <c r="A8" t="s">
        <v>14</v>
      </c>
      <c r="B8">
        <v>0.01</v>
      </c>
      <c r="C8">
        <v>16148.42</v>
      </c>
      <c r="D8">
        <v>24573.33</v>
      </c>
      <c r="E8">
        <v>30929.74</v>
      </c>
      <c r="F8">
        <v>245859.62</v>
      </c>
      <c r="G8" t="s">
        <v>8</v>
      </c>
    </row>
    <row r="9" spans="1:22" x14ac:dyDescent="0.25">
      <c r="A9" t="s">
        <v>15</v>
      </c>
      <c r="B9">
        <v>0.02</v>
      </c>
      <c r="C9">
        <v>42656.2</v>
      </c>
      <c r="D9">
        <v>64910.69</v>
      </c>
      <c r="E9">
        <v>81701.2</v>
      </c>
      <c r="F9">
        <v>649440.51</v>
      </c>
      <c r="G9" t="s">
        <v>8</v>
      </c>
    </row>
    <row r="10" spans="1:22" x14ac:dyDescent="0.25">
      <c r="A10" t="s">
        <v>16</v>
      </c>
      <c r="B10">
        <v>0.03</v>
      </c>
      <c r="C10">
        <v>59494.18</v>
      </c>
      <c r="D10">
        <v>90533.32</v>
      </c>
      <c r="E10">
        <v>113951.67999999999</v>
      </c>
      <c r="F10">
        <v>905798.6</v>
      </c>
      <c r="G10" t="s">
        <v>8</v>
      </c>
    </row>
    <row r="11" spans="1:22" x14ac:dyDescent="0.25">
      <c r="A11" t="s">
        <v>17</v>
      </c>
      <c r="B11">
        <v>0.02</v>
      </c>
      <c r="C11">
        <v>36464.17</v>
      </c>
      <c r="D11">
        <v>55488.17</v>
      </c>
      <c r="E11">
        <v>69841.350000000006</v>
      </c>
      <c r="F11">
        <v>555166.88</v>
      </c>
      <c r="G11" t="s">
        <v>8</v>
      </c>
    </row>
    <row r="12" spans="1:22" x14ac:dyDescent="0.25">
      <c r="A12" t="s">
        <v>18</v>
      </c>
      <c r="B12">
        <v>0.01</v>
      </c>
      <c r="C12">
        <v>14308.73</v>
      </c>
      <c r="D12">
        <v>21773.84</v>
      </c>
      <c r="E12">
        <v>27406.1</v>
      </c>
      <c r="F12">
        <v>220426</v>
      </c>
      <c r="G12" t="s">
        <v>8</v>
      </c>
    </row>
    <row r="13" spans="1:22" x14ac:dyDescent="0.25">
      <c r="A13" t="s">
        <v>19</v>
      </c>
      <c r="B13">
        <v>0.02</v>
      </c>
      <c r="C13">
        <v>46236.24</v>
      </c>
      <c r="D13">
        <v>80949.64</v>
      </c>
      <c r="E13">
        <v>139851.24</v>
      </c>
      <c r="F13">
        <v>752171.78</v>
      </c>
      <c r="G13" t="s">
        <v>8</v>
      </c>
    </row>
    <row r="14" spans="1:22" x14ac:dyDescent="0.25">
      <c r="A14" t="s">
        <v>20</v>
      </c>
      <c r="B14">
        <v>0.02</v>
      </c>
      <c r="C14">
        <v>47099.56</v>
      </c>
      <c r="D14">
        <v>71916.100000000006</v>
      </c>
      <c r="E14">
        <v>131310.09</v>
      </c>
      <c r="F14">
        <v>717090.56</v>
      </c>
      <c r="G14" t="s">
        <v>8</v>
      </c>
    </row>
    <row r="15" spans="1:22" x14ac:dyDescent="0.25">
      <c r="A15" t="s">
        <v>21</v>
      </c>
      <c r="B15">
        <v>51687.6</v>
      </c>
      <c r="C15">
        <v>136363.81</v>
      </c>
      <c r="D15">
        <v>211578.89</v>
      </c>
      <c r="E15">
        <v>412648.71</v>
      </c>
      <c r="F15">
        <v>2288054.06</v>
      </c>
      <c r="G15" t="s">
        <v>8</v>
      </c>
    </row>
    <row r="16" spans="1:22" x14ac:dyDescent="0.25">
      <c r="A16" t="s">
        <v>22</v>
      </c>
      <c r="B16">
        <v>0.01</v>
      </c>
      <c r="C16">
        <v>2214.81</v>
      </c>
      <c r="D16">
        <v>14918.74</v>
      </c>
      <c r="E16">
        <v>6488.57</v>
      </c>
      <c r="F16">
        <v>12407.36</v>
      </c>
      <c r="G16" t="s">
        <v>8</v>
      </c>
    </row>
    <row r="17" spans="1:7" x14ac:dyDescent="0.25">
      <c r="A17" t="s">
        <v>23</v>
      </c>
      <c r="B17">
        <v>0.02</v>
      </c>
      <c r="C17">
        <v>2794.07</v>
      </c>
      <c r="D17">
        <v>18820.560000000001</v>
      </c>
      <c r="E17">
        <v>8185.58</v>
      </c>
      <c r="F17">
        <v>15652.37</v>
      </c>
      <c r="G17" t="s">
        <v>8</v>
      </c>
    </row>
    <row r="18" spans="1:7" x14ac:dyDescent="0.25">
      <c r="A18" t="s">
        <v>24</v>
      </c>
      <c r="B18">
        <v>0.01</v>
      </c>
      <c r="C18">
        <v>19216.580000000002</v>
      </c>
      <c r="D18">
        <v>159742.44</v>
      </c>
      <c r="E18">
        <v>340878.25</v>
      </c>
      <c r="F18">
        <v>0.01</v>
      </c>
      <c r="G18" t="s">
        <v>8</v>
      </c>
    </row>
    <row r="19" spans="1:7" x14ac:dyDescent="0.25">
      <c r="A19" t="s">
        <v>25</v>
      </c>
      <c r="B19">
        <v>0.02</v>
      </c>
      <c r="C19">
        <v>52576.25</v>
      </c>
      <c r="D19">
        <v>100016.24</v>
      </c>
      <c r="E19">
        <v>847110.61</v>
      </c>
      <c r="F19">
        <v>952398.7</v>
      </c>
      <c r="G19" t="s">
        <v>8</v>
      </c>
    </row>
    <row r="20" spans="1:7" x14ac:dyDescent="0.25">
      <c r="A20" t="s">
        <v>26</v>
      </c>
      <c r="B20">
        <v>0.02</v>
      </c>
      <c r="C20">
        <v>0.02</v>
      </c>
      <c r="D20">
        <v>3354.95</v>
      </c>
      <c r="E20">
        <v>92636.64</v>
      </c>
      <c r="F20">
        <v>0.02</v>
      </c>
      <c r="G20" t="s">
        <v>8</v>
      </c>
    </row>
    <row r="21" spans="1:7" x14ac:dyDescent="0.25">
      <c r="A21" t="s">
        <v>27</v>
      </c>
      <c r="B21">
        <v>0.01</v>
      </c>
      <c r="C21">
        <v>0.01</v>
      </c>
      <c r="D21">
        <v>619.77</v>
      </c>
      <c r="E21">
        <v>0.01</v>
      </c>
      <c r="F21">
        <v>0.01</v>
      </c>
      <c r="G21" t="s">
        <v>8</v>
      </c>
    </row>
    <row r="22" spans="1:7" x14ac:dyDescent="0.25">
      <c r="A22" t="s">
        <v>28</v>
      </c>
      <c r="B22">
        <v>0.02</v>
      </c>
      <c r="C22">
        <v>0.02</v>
      </c>
      <c r="D22">
        <v>810.47</v>
      </c>
      <c r="E22">
        <v>0.02</v>
      </c>
      <c r="F22">
        <v>0.02</v>
      </c>
      <c r="G22" t="s">
        <v>8</v>
      </c>
    </row>
    <row r="23" spans="1:7" x14ac:dyDescent="0.25">
      <c r="A23" t="s">
        <v>29</v>
      </c>
      <c r="B23">
        <v>0.02</v>
      </c>
      <c r="C23">
        <v>0.02</v>
      </c>
      <c r="D23">
        <v>69885.350000000006</v>
      </c>
      <c r="E23">
        <v>12806.46</v>
      </c>
      <c r="F23">
        <v>0.02</v>
      </c>
      <c r="G23" t="s">
        <v>8</v>
      </c>
    </row>
    <row r="24" spans="1:7" x14ac:dyDescent="0.25">
      <c r="A24" t="s">
        <v>30</v>
      </c>
      <c r="B24">
        <v>0.01</v>
      </c>
      <c r="C24">
        <v>0.01</v>
      </c>
      <c r="D24">
        <v>1613.41</v>
      </c>
      <c r="E24">
        <v>559.71</v>
      </c>
      <c r="F24">
        <v>0.01</v>
      </c>
      <c r="G24" t="s">
        <v>8</v>
      </c>
    </row>
    <row r="25" spans="1:7" x14ac:dyDescent="0.25">
      <c r="A25" t="s">
        <v>31</v>
      </c>
      <c r="B25">
        <v>0.01</v>
      </c>
      <c r="C25">
        <v>0.01</v>
      </c>
      <c r="D25">
        <v>93044.36</v>
      </c>
      <c r="E25">
        <v>79729.52</v>
      </c>
      <c r="F25">
        <v>0.01</v>
      </c>
      <c r="G25" t="s">
        <v>8</v>
      </c>
    </row>
    <row r="26" spans="1:7" x14ac:dyDescent="0.25">
      <c r="A26" t="s">
        <v>32</v>
      </c>
      <c r="B26">
        <v>0.03</v>
      </c>
      <c r="C26">
        <v>0.03</v>
      </c>
      <c r="D26">
        <v>4239.8999999999996</v>
      </c>
      <c r="E26">
        <v>68213.05</v>
      </c>
      <c r="F26">
        <v>60961.82</v>
      </c>
      <c r="G26" t="s">
        <v>8</v>
      </c>
    </row>
    <row r="27" spans="1:7" x14ac:dyDescent="0.25">
      <c r="A27" t="s">
        <v>33</v>
      </c>
      <c r="B27">
        <v>0.01</v>
      </c>
      <c r="C27">
        <v>24935.48</v>
      </c>
      <c r="D27">
        <v>6432.19</v>
      </c>
      <c r="E27">
        <v>0.01</v>
      </c>
      <c r="F27">
        <v>21536.71</v>
      </c>
      <c r="G27" t="s">
        <v>8</v>
      </c>
    </row>
    <row r="28" spans="1:7" x14ac:dyDescent="0.25">
      <c r="A28" t="s">
        <v>34</v>
      </c>
      <c r="B28">
        <v>65147.91</v>
      </c>
      <c r="C28">
        <v>409643.95</v>
      </c>
      <c r="D28">
        <v>367551.58</v>
      </c>
      <c r="E28">
        <v>1281040.6399999999</v>
      </c>
      <c r="F28">
        <v>3830537.62</v>
      </c>
      <c r="G28" t="s">
        <v>8</v>
      </c>
    </row>
    <row r="29" spans="1:7" x14ac:dyDescent="0.25">
      <c r="A29" t="s">
        <v>35</v>
      </c>
      <c r="B29">
        <v>0.03</v>
      </c>
      <c r="C29">
        <v>61102.13</v>
      </c>
      <c r="D29">
        <v>94799.43</v>
      </c>
      <c r="E29">
        <v>117031.45</v>
      </c>
      <c r="F29">
        <v>1248091.4099999999</v>
      </c>
      <c r="G29" t="s">
        <v>8</v>
      </c>
    </row>
    <row r="30" spans="1:7" x14ac:dyDescent="0.25">
      <c r="A30" t="s">
        <v>36</v>
      </c>
      <c r="B30">
        <v>0.03</v>
      </c>
      <c r="C30">
        <v>120339.07</v>
      </c>
      <c r="D30">
        <v>130149.43</v>
      </c>
      <c r="E30">
        <v>638233.18999999994</v>
      </c>
      <c r="F30">
        <v>1406724.88</v>
      </c>
      <c r="G30" t="s">
        <v>8</v>
      </c>
    </row>
    <row r="31" spans="1:7" x14ac:dyDescent="0.25">
      <c r="A31" t="s">
        <v>37</v>
      </c>
      <c r="B31">
        <v>0.02</v>
      </c>
      <c r="C31">
        <v>44027.59</v>
      </c>
      <c r="D31">
        <v>80482.62</v>
      </c>
      <c r="E31">
        <v>201476.49</v>
      </c>
      <c r="F31">
        <v>971400.72</v>
      </c>
      <c r="G31" t="s">
        <v>8</v>
      </c>
    </row>
    <row r="32" spans="1:7" x14ac:dyDescent="0.25">
      <c r="A32" t="s">
        <v>38</v>
      </c>
      <c r="B32">
        <v>0.02</v>
      </c>
      <c r="C32">
        <v>47249.120000000003</v>
      </c>
      <c r="D32">
        <v>86371.6</v>
      </c>
      <c r="E32">
        <v>216218.68</v>
      </c>
      <c r="F32">
        <v>1042478.82</v>
      </c>
      <c r="G32" t="s">
        <v>8</v>
      </c>
    </row>
    <row r="33" spans="1:7" x14ac:dyDescent="0.25">
      <c r="A33" t="s">
        <v>39</v>
      </c>
      <c r="B33">
        <v>0.02</v>
      </c>
      <c r="C33">
        <v>40358.620000000003</v>
      </c>
      <c r="D33">
        <v>73775.740000000005</v>
      </c>
      <c r="E33">
        <v>189291.17</v>
      </c>
      <c r="F33">
        <v>891789.34</v>
      </c>
      <c r="G33" t="s">
        <v>8</v>
      </c>
    </row>
    <row r="34" spans="1:7" x14ac:dyDescent="0.25">
      <c r="A34" t="s">
        <v>40</v>
      </c>
      <c r="B34">
        <v>0.02</v>
      </c>
      <c r="C34">
        <v>44027.59</v>
      </c>
      <c r="D34">
        <v>80482.62</v>
      </c>
      <c r="E34">
        <v>206499.45</v>
      </c>
      <c r="F34">
        <v>993306.52</v>
      </c>
      <c r="G34" t="s">
        <v>8</v>
      </c>
    </row>
    <row r="35" spans="1:7" x14ac:dyDescent="0.25">
      <c r="A35" t="s">
        <v>41</v>
      </c>
      <c r="B35">
        <v>0.02</v>
      </c>
      <c r="C35">
        <v>80220.2</v>
      </c>
      <c r="D35">
        <v>106299.77</v>
      </c>
      <c r="E35">
        <v>211070.61</v>
      </c>
      <c r="F35">
        <v>1926945.78</v>
      </c>
      <c r="G35" t="s">
        <v>8</v>
      </c>
    </row>
    <row r="36" spans="1:7" x14ac:dyDescent="0.25">
      <c r="A36" t="s">
        <v>42</v>
      </c>
      <c r="B36">
        <v>0.03</v>
      </c>
      <c r="C36">
        <v>60537.94</v>
      </c>
      <c r="D36">
        <v>110800.79</v>
      </c>
      <c r="E36">
        <v>333561.71999999997</v>
      </c>
      <c r="F36">
        <v>2632529.98</v>
      </c>
      <c r="G36" t="s">
        <v>8</v>
      </c>
    </row>
    <row r="37" spans="1:7" x14ac:dyDescent="0.25">
      <c r="A37" t="s">
        <v>43</v>
      </c>
      <c r="B37">
        <v>227760.91</v>
      </c>
      <c r="C37">
        <v>107482.72</v>
      </c>
      <c r="D37">
        <v>563446.28</v>
      </c>
      <c r="E37">
        <v>2759486.56</v>
      </c>
      <c r="F37">
        <v>6633167.9299999997</v>
      </c>
      <c r="G37" t="s">
        <v>8</v>
      </c>
    </row>
    <row r="38" spans="1:7" x14ac:dyDescent="0.25">
      <c r="A38" t="s">
        <v>44</v>
      </c>
      <c r="B38">
        <v>251819.35</v>
      </c>
      <c r="C38">
        <v>69498.97</v>
      </c>
      <c r="D38">
        <v>662955.37</v>
      </c>
      <c r="E38">
        <v>3332921.7</v>
      </c>
      <c r="F38">
        <v>7387990.54</v>
      </c>
      <c r="G38" t="s">
        <v>8</v>
      </c>
    </row>
    <row r="39" spans="1:7" x14ac:dyDescent="0.25">
      <c r="A39" t="s">
        <v>45</v>
      </c>
      <c r="B39">
        <v>0.02</v>
      </c>
      <c r="C39">
        <v>3491.2</v>
      </c>
      <c r="D39">
        <v>116989.93</v>
      </c>
      <c r="E39">
        <v>625066.54</v>
      </c>
      <c r="F39">
        <v>1259289.97</v>
      </c>
      <c r="G39" t="s">
        <v>8</v>
      </c>
    </row>
    <row r="40" spans="1:7" x14ac:dyDescent="0.25">
      <c r="A40" t="s">
        <v>46</v>
      </c>
      <c r="B40">
        <v>0.02</v>
      </c>
      <c r="C40">
        <v>3319.51</v>
      </c>
      <c r="D40">
        <v>111236.33</v>
      </c>
      <c r="E40">
        <v>594325.56999999995</v>
      </c>
      <c r="F40">
        <v>1197357.68</v>
      </c>
      <c r="G40" t="s">
        <v>8</v>
      </c>
    </row>
    <row r="41" spans="1:7" x14ac:dyDescent="0.25">
      <c r="A41" t="s">
        <v>47</v>
      </c>
      <c r="B41">
        <v>0.01</v>
      </c>
      <c r="C41">
        <v>0.01</v>
      </c>
      <c r="D41">
        <v>249.44</v>
      </c>
      <c r="E41">
        <v>0.01</v>
      </c>
      <c r="F41">
        <v>9614.23</v>
      </c>
      <c r="G41" t="s">
        <v>8</v>
      </c>
    </row>
    <row r="42" spans="1:7" x14ac:dyDescent="0.25">
      <c r="A42" t="s">
        <v>48</v>
      </c>
      <c r="B42">
        <v>0.02</v>
      </c>
      <c r="C42">
        <v>10437.59</v>
      </c>
      <c r="D42">
        <v>478.41</v>
      </c>
      <c r="E42">
        <v>2676.07</v>
      </c>
      <c r="F42">
        <v>87323.67</v>
      </c>
      <c r="G42" t="s">
        <v>8</v>
      </c>
    </row>
    <row r="44" spans="1:7" x14ac:dyDescent="0.25">
      <c r="A44" t="s">
        <v>49</v>
      </c>
      <c r="B44">
        <v>17698484.190000001</v>
      </c>
      <c r="C44">
        <v>6254713.8899999997</v>
      </c>
      <c r="D44">
        <v>19553887.940000001</v>
      </c>
      <c r="E44">
        <v>2310375.2200000002</v>
      </c>
      <c r="F44">
        <v>34144576.189999998</v>
      </c>
      <c r="G44" t="s">
        <v>50</v>
      </c>
    </row>
    <row r="45" spans="1:7" x14ac:dyDescent="0.25">
      <c r="A45" t="s">
        <v>51</v>
      </c>
      <c r="B45">
        <v>545393.03</v>
      </c>
      <c r="C45">
        <v>3354707.02</v>
      </c>
      <c r="D45">
        <v>2850345.56</v>
      </c>
      <c r="E45">
        <v>73387.839999999997</v>
      </c>
      <c r="F45">
        <v>0.03</v>
      </c>
      <c r="G45" t="s">
        <v>50</v>
      </c>
    </row>
    <row r="46" spans="1:7" x14ac:dyDescent="0.25">
      <c r="A46" t="s">
        <v>52</v>
      </c>
      <c r="B46">
        <v>0.01</v>
      </c>
      <c r="C46">
        <v>16.190000000000001</v>
      </c>
      <c r="D46">
        <v>66768.240000000005</v>
      </c>
      <c r="E46">
        <v>221962.02</v>
      </c>
      <c r="F46">
        <v>70317.45</v>
      </c>
      <c r="G46" t="s">
        <v>50</v>
      </c>
    </row>
    <row r="47" spans="1:7" x14ac:dyDescent="0.25">
      <c r="A47" t="s">
        <v>53</v>
      </c>
      <c r="B47">
        <v>0.06</v>
      </c>
      <c r="C47">
        <v>980087.89</v>
      </c>
      <c r="D47">
        <v>1424359.17</v>
      </c>
      <c r="E47">
        <v>0.06</v>
      </c>
      <c r="F47">
        <v>3346.78</v>
      </c>
      <c r="G47" t="s">
        <v>50</v>
      </c>
    </row>
    <row r="48" spans="1:7" x14ac:dyDescent="0.25">
      <c r="A48" t="s">
        <v>54</v>
      </c>
      <c r="B48">
        <v>21703.02</v>
      </c>
      <c r="C48">
        <v>11298.41</v>
      </c>
      <c r="D48">
        <v>63149.06</v>
      </c>
      <c r="E48">
        <v>0.01</v>
      </c>
      <c r="F48">
        <v>230419.96</v>
      </c>
      <c r="G48" t="s">
        <v>50</v>
      </c>
    </row>
    <row r="49" spans="1:7" x14ac:dyDescent="0.25">
      <c r="A49" t="s">
        <v>55</v>
      </c>
      <c r="B49">
        <v>0.04</v>
      </c>
      <c r="C49">
        <v>0.04</v>
      </c>
      <c r="D49">
        <v>0.04</v>
      </c>
      <c r="E49">
        <v>42564.97</v>
      </c>
      <c r="F49">
        <v>113949.16</v>
      </c>
      <c r="G49" t="s">
        <v>50</v>
      </c>
    </row>
    <row r="50" spans="1:7" x14ac:dyDescent="0.25">
      <c r="A50" t="s">
        <v>56</v>
      </c>
      <c r="B50">
        <v>14357.66</v>
      </c>
      <c r="C50">
        <v>21100.27</v>
      </c>
      <c r="D50">
        <v>56904.5</v>
      </c>
      <c r="E50">
        <v>328546.03000000003</v>
      </c>
      <c r="F50">
        <v>660891.9</v>
      </c>
      <c r="G50" t="s">
        <v>50</v>
      </c>
    </row>
    <row r="51" spans="1:7" x14ac:dyDescent="0.25">
      <c r="A51" t="s">
        <v>57</v>
      </c>
      <c r="B51">
        <v>722.61</v>
      </c>
      <c r="C51">
        <v>36023.360000000001</v>
      </c>
      <c r="D51">
        <v>133970.79999999999</v>
      </c>
      <c r="E51">
        <v>151648.32999999999</v>
      </c>
      <c r="F51">
        <v>28323.83</v>
      </c>
      <c r="G51" t="s">
        <v>50</v>
      </c>
    </row>
    <row r="52" spans="1:7" x14ac:dyDescent="0.25">
      <c r="A52" t="s">
        <v>58</v>
      </c>
      <c r="B52">
        <v>1026967.47</v>
      </c>
      <c r="C52">
        <v>328087.65000000002</v>
      </c>
      <c r="D52">
        <v>847067.2</v>
      </c>
      <c r="E52">
        <v>563439.62</v>
      </c>
      <c r="F52">
        <v>57474.37</v>
      </c>
      <c r="G52" t="s">
        <v>50</v>
      </c>
    </row>
    <row r="53" spans="1:7" x14ac:dyDescent="0.25">
      <c r="A53" t="s">
        <v>59</v>
      </c>
      <c r="B53">
        <v>82334.100000000006</v>
      </c>
      <c r="C53">
        <v>13573.75</v>
      </c>
      <c r="D53">
        <v>27569.5</v>
      </c>
      <c r="E53">
        <v>41811.71</v>
      </c>
      <c r="F53">
        <v>613056.26</v>
      </c>
      <c r="G53" t="s">
        <v>50</v>
      </c>
    </row>
    <row r="54" spans="1:7" x14ac:dyDescent="0.25">
      <c r="A54" t="s">
        <v>60</v>
      </c>
      <c r="B54">
        <v>2452108.66</v>
      </c>
      <c r="C54">
        <v>93651.61</v>
      </c>
      <c r="D54">
        <v>277951.90000000002</v>
      </c>
      <c r="E54">
        <v>8988.07</v>
      </c>
      <c r="F54">
        <v>232774.22</v>
      </c>
      <c r="G54" t="s">
        <v>50</v>
      </c>
    </row>
    <row r="55" spans="1:7" x14ac:dyDescent="0.25">
      <c r="A55" t="s">
        <v>61</v>
      </c>
      <c r="B55">
        <v>1055968.05</v>
      </c>
      <c r="C55">
        <v>286758.53000000003</v>
      </c>
      <c r="D55">
        <v>1894652.85</v>
      </c>
      <c r="E55">
        <v>118690.69</v>
      </c>
      <c r="F55">
        <v>11457478.33</v>
      </c>
      <c r="G55" t="s">
        <v>50</v>
      </c>
    </row>
    <row r="56" spans="1:7" x14ac:dyDescent="0.25">
      <c r="A56" t="s">
        <v>62</v>
      </c>
      <c r="B56">
        <v>69059.199999999997</v>
      </c>
      <c r="C56">
        <v>2319.4699999999998</v>
      </c>
      <c r="D56">
        <v>3321.51</v>
      </c>
      <c r="E56">
        <v>14682.05</v>
      </c>
      <c r="F56">
        <v>112534.79</v>
      </c>
      <c r="G56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topLeftCell="A13" workbookViewId="0">
      <selection activeCell="N2" sqref="N2"/>
    </sheetView>
  </sheetViews>
  <sheetFormatPr defaultRowHeight="15" x14ac:dyDescent="0.25"/>
  <cols>
    <col min="1" max="1" width="12.42578125" customWidth="1"/>
    <col min="2" max="2" width="20.7109375" customWidth="1"/>
    <col min="3" max="14" width="12" bestFit="1" customWidth="1"/>
  </cols>
  <sheetData>
    <row r="1" spans="1:14" x14ac:dyDescent="0.25">
      <c r="A1" t="s">
        <v>0</v>
      </c>
      <c r="B1" t="s">
        <v>49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</row>
    <row r="2" spans="1:14" x14ac:dyDescent="0.25">
      <c r="A2" t="s">
        <v>7</v>
      </c>
      <c r="B2">
        <f>SUMPRODUCT(ProSub!$B2:$F2, ProSub!$B$44:$F$44)</f>
        <v>46641923328000.172</v>
      </c>
      <c r="C2">
        <f>SUMPRODUCT(ProSub!$B2:$F2, ProSub!$B$45:$F$45)</f>
        <v>820072675462.21008</v>
      </c>
      <c r="D2">
        <f>SUMPRODUCT(ProSub!$B2:$F2, ProSub!$B$46:$F$46)</f>
        <v>162438919975.7811</v>
      </c>
      <c r="E2">
        <f>SUMPRODUCT(ProSub!$B2:$F2, ProSub!$B$47:$F$47)</f>
        <v>332836681720.73047</v>
      </c>
      <c r="F2">
        <f>SUMPRODUCT(ProSub!$B2:$F2, ProSub!$B$48:$F$48)</f>
        <v>295987346077.41168</v>
      </c>
      <c r="G2">
        <f>SUMPRODUCT(ProSub!$B2:$F2, ProSub!$B$49:$F$49)</f>
        <v>153201750522.2153</v>
      </c>
      <c r="H2">
        <f>SUMPRODUCT(ProSub!$B2:$F2, ProSub!$B$50:$F$50)</f>
        <v>923703881786.60217</v>
      </c>
      <c r="I2">
        <f>SUMPRODUCT(ProSub!$B2:$F2, ProSub!$B$51:$F$51)</f>
        <v>104504869666.039</v>
      </c>
      <c r="J2">
        <f>SUMPRODUCT(ProSub!$B2:$F2, ProSub!$B$52:$F$52)</f>
        <v>405225157151.74951</v>
      </c>
      <c r="K2">
        <f>SUMPRODUCT(ProSub!$B2:$F2, ProSub!$B$53:$F$53)</f>
        <v>775404323953.36926</v>
      </c>
      <c r="L2">
        <f>SUMPRODUCT(ProSub!$B2:$F2, ProSub!$B$54:$F$54)</f>
        <v>344473668860.72174</v>
      </c>
      <c r="M2">
        <f>SUMPRODUCT(ProSub!$B2:$F2, ProSub!$B$55:$F$55)</f>
        <v>14523850015514.154</v>
      </c>
      <c r="N2">
        <f>SUMPRODUCT(ProSub!$B2:$F2, ProSub!$B$56:$F$56)</f>
        <v>144083880955.74829</v>
      </c>
    </row>
    <row r="3" spans="1:14" x14ac:dyDescent="0.25">
      <c r="A3" t="s">
        <v>9</v>
      </c>
      <c r="B3">
        <f>SUMPRODUCT(ProSub!$B3:$F3, ProSub!$B$44:$F$44)</f>
        <v>49601783253342.5</v>
      </c>
      <c r="C3">
        <f>SUMPRODUCT(ProSub!$B3:$F3, ProSub!$B$45:$F$45)</f>
        <v>815048764668.13708</v>
      </c>
      <c r="D3">
        <f>SUMPRODUCT(ProSub!$B3:$F3, ProSub!$B$46:$F$46)</f>
        <v>144420555234.427</v>
      </c>
      <c r="E3">
        <f>SUMPRODUCT(ProSub!$B3:$F3, ProSub!$B$47:$F$47)</f>
        <v>320064267396.13672</v>
      </c>
      <c r="F3">
        <f>SUMPRODUCT(ProSub!$B3:$F3, ProSub!$B$48:$F$48)</f>
        <v>318605080620.16431</v>
      </c>
      <c r="G3">
        <f>SUMPRODUCT(ProSub!$B3:$F3, ProSub!$B$49:$F$49)</f>
        <v>160455731892.64001</v>
      </c>
      <c r="H3">
        <f>SUMPRODUCT(ProSub!$B3:$F3, ProSub!$B$50:$F$50)</f>
        <v>956143617067.04614</v>
      </c>
      <c r="I3">
        <f>SUMPRODUCT(ProSub!$B3:$F3, ProSub!$B$51:$F$51)</f>
        <v>88820789968.683899</v>
      </c>
      <c r="J3">
        <f>SUMPRODUCT(ProSub!$B3:$F3, ProSub!$B$52:$F$52)</f>
        <v>337824747141.88696</v>
      </c>
      <c r="K3">
        <f>SUMPRODUCT(ProSub!$B3:$F3, ProSub!$B$53:$F$53)</f>
        <v>834077176169.93176</v>
      </c>
      <c r="L3">
        <f>SUMPRODUCT(ProSub!$B3:$F3, ProSub!$B$54:$F$54)</f>
        <v>363030268488.13269</v>
      </c>
      <c r="M3">
        <f>SUMPRODUCT(ProSub!$B3:$F3, ProSub!$B$55:$F$55)</f>
        <v>15659425365670.135</v>
      </c>
      <c r="N3">
        <f>SUMPRODUCT(ProSub!$B3:$F3, ProSub!$B$56:$F$56)</f>
        <v>154142376400.46591</v>
      </c>
    </row>
    <row r="4" spans="1:14" x14ac:dyDescent="0.25">
      <c r="A4" t="s">
        <v>10</v>
      </c>
      <c r="B4">
        <f>SUMPRODUCT(ProSub!$B4:$F4, ProSub!$B$44:$F$44)</f>
        <v>22094708905858.434</v>
      </c>
      <c r="C4">
        <f>SUMPRODUCT(ProSub!$B4:$F4, ProSub!$B$45:$F$45)</f>
        <v>361015841262.4881</v>
      </c>
      <c r="D4">
        <f>SUMPRODUCT(ProSub!$B4:$F4, ProSub!$B$46:$F$46)</f>
        <v>77336011072.685303</v>
      </c>
      <c r="E4">
        <f>SUMPRODUCT(ProSub!$B4:$F4, ProSub!$B$47:$F$47)</f>
        <v>145880000724.28397</v>
      </c>
      <c r="F4">
        <f>SUMPRODUCT(ProSub!$B4:$F4, ProSub!$B$48:$F$48)</f>
        <v>140697497901.29709</v>
      </c>
      <c r="G4">
        <f>SUMPRODUCT(ProSub!$B4:$F4, ProSub!$B$49:$F$49)</f>
        <v>73127404159.505905</v>
      </c>
      <c r="H4">
        <f>SUMPRODUCT(ProSub!$B4:$F4, ProSub!$B$50:$F$50)</f>
        <v>440557088457.1875</v>
      </c>
      <c r="I4">
        <f>SUMPRODUCT(ProSub!$B4:$F4, ProSub!$B$51:$F$51)</f>
        <v>49030527407.395996</v>
      </c>
      <c r="J4">
        <f>SUMPRODUCT(ProSub!$B4:$F4, ProSub!$B$52:$F$52)</f>
        <v>187245372455.53409</v>
      </c>
      <c r="K4">
        <f>SUMPRODUCT(ProSub!$B4:$F4, ProSub!$B$53:$F$53)</f>
        <v>369640026595.47107</v>
      </c>
      <c r="L4">
        <f>SUMPRODUCT(ProSub!$B4:$F4, ProSub!$B$54:$F$54)</f>
        <v>162105796111.37589</v>
      </c>
      <c r="M4">
        <f>SUMPRODUCT(ProSub!$B4:$F4, ProSub!$B$55:$F$55)</f>
        <v>6913148412195.3311</v>
      </c>
      <c r="N4">
        <f>SUMPRODUCT(ProSub!$B4:$F4, ProSub!$B$56:$F$56)</f>
        <v>68708571937.932602</v>
      </c>
    </row>
    <row r="5" spans="1:14" x14ac:dyDescent="0.25">
      <c r="A5" t="s">
        <v>11</v>
      </c>
      <c r="B5">
        <f>SUMPRODUCT(ProSub!$B5:$F5, ProSub!$B$44:$F$44)</f>
        <v>22921620160770.879</v>
      </c>
      <c r="C5">
        <f>SUMPRODUCT(ProSub!$B5:$F5, ProSub!$B$45:$F$45)</f>
        <v>339943246453.46954</v>
      </c>
      <c r="D5">
        <f>SUMPRODUCT(ProSub!$B5:$F5, ProSub!$B$46:$F$46)</f>
        <v>66229983486.972198</v>
      </c>
      <c r="E5">
        <f>SUMPRODUCT(ProSub!$B5:$F5, ProSub!$B$47:$F$47)</f>
        <v>137547647628.31931</v>
      </c>
      <c r="F5">
        <f>SUMPRODUCT(ProSub!$B5:$F5, ProSub!$B$48:$F$48)</f>
        <v>147594482714.332</v>
      </c>
      <c r="G5">
        <f>SUMPRODUCT(ProSub!$B5:$F5, ProSub!$B$49:$F$49)</f>
        <v>74245154435.638504</v>
      </c>
      <c r="H5">
        <f>SUMPRODUCT(ProSub!$B5:$F5, ProSub!$B$50:$F$50)</f>
        <v>441944943397.82263</v>
      </c>
      <c r="I5">
        <f>SUMPRODUCT(ProSub!$B5:$F5, ProSub!$B$51:$F$51)</f>
        <v>40295335240.8302</v>
      </c>
      <c r="J5">
        <f>SUMPRODUCT(ProSub!$B5:$F5, ProSub!$B$52:$F$52)</f>
        <v>151210572974.4184</v>
      </c>
      <c r="K5">
        <f>SUMPRODUCT(ProSub!$B5:$F5, ProSub!$B$53:$F$53)</f>
        <v>386392062371.12903</v>
      </c>
      <c r="L5">
        <f>SUMPRODUCT(ProSub!$B5:$F5, ProSub!$B$54:$F$54)</f>
        <v>167277025147.49921</v>
      </c>
      <c r="M5">
        <f>SUMPRODUCT(ProSub!$B5:$F5, ProSub!$B$55:$F$55)</f>
        <v>7256597978928.9375</v>
      </c>
      <c r="N5">
        <f>SUMPRODUCT(ProSub!$B5:$F5, ProSub!$B$56:$F$56)</f>
        <v>71385915696.9319</v>
      </c>
    </row>
    <row r="6" spans="1:14" x14ac:dyDescent="0.25">
      <c r="A6" t="s">
        <v>12</v>
      </c>
      <c r="B6">
        <f>SUMPRODUCT(ProSub!$B6:$F6, ProSub!$B$44:$F$44)</f>
        <v>25532850630383.91</v>
      </c>
      <c r="C6">
        <f>SUMPRODUCT(ProSub!$B6:$F6, ProSub!$B$45:$F$45)</f>
        <v>468053400185.1687</v>
      </c>
      <c r="D6">
        <f>SUMPRODUCT(ProSub!$B6:$F6, ProSub!$B$46:$F$46)</f>
        <v>111612457638.42299</v>
      </c>
      <c r="E6">
        <f>SUMPRODUCT(ProSub!$B6:$F6, ProSub!$B$47:$F$47)</f>
        <v>185620772343.73071</v>
      </c>
      <c r="F6">
        <f>SUMPRODUCT(ProSub!$B6:$F6, ProSub!$B$48:$F$48)</f>
        <v>160286147916.32376</v>
      </c>
      <c r="G6">
        <f>SUMPRODUCT(ProSub!$B6:$F6, ProSub!$B$49:$F$49)</f>
        <v>87433912478.546707</v>
      </c>
      <c r="H6">
        <f>SUMPRODUCT(ProSub!$B6:$F6, ProSub!$B$50:$F$50)</f>
        <v>534973889102.37964</v>
      </c>
      <c r="I6">
        <f>SUMPRODUCT(ProSub!$B6:$F6, ProSub!$B$51:$F$51)</f>
        <v>72996303014.699982</v>
      </c>
      <c r="J6">
        <f>SUMPRODUCT(ProSub!$B6:$F6, ProSub!$B$52:$F$52)</f>
        <v>281553964817.01001</v>
      </c>
      <c r="K6">
        <f>SUMPRODUCT(ProSub!$B6:$F6, ProSub!$B$53:$F$53)</f>
        <v>424131106716.05481</v>
      </c>
      <c r="L6">
        <f>SUMPRODUCT(ProSub!$B6:$F6, ProSub!$B$54:$F$54)</f>
        <v>188056328157.0882</v>
      </c>
      <c r="M6">
        <f>SUMPRODUCT(ProSub!$B6:$F6, ProSub!$B$55:$F$55)</f>
        <v>7875273608313.2686</v>
      </c>
      <c r="N6">
        <f>SUMPRODUCT(ProSub!$B6:$F6, ProSub!$B$56:$F$56)</f>
        <v>79544177643.101898</v>
      </c>
    </row>
    <row r="7" spans="1:14" x14ac:dyDescent="0.25">
      <c r="A7" t="s">
        <v>13</v>
      </c>
      <c r="B7">
        <f>SUMPRODUCT(ProSub!$B7:$F7, ProSub!$B$44:$F$44)</f>
        <v>18095479616984.211</v>
      </c>
      <c r="C7">
        <f>SUMPRODUCT(ProSub!$B7:$F7, ProSub!$B$45:$F$45)</f>
        <v>252971153817.87714</v>
      </c>
      <c r="D7">
        <f>SUMPRODUCT(ProSub!$B7:$F7, ProSub!$B$46:$F$46)</f>
        <v>51588857085.605698</v>
      </c>
      <c r="E7">
        <f>SUMPRODUCT(ProSub!$B7:$F7, ProSub!$B$47:$F$47)</f>
        <v>103301917444.75641</v>
      </c>
      <c r="F7">
        <f>SUMPRODUCT(ProSub!$B7:$F7, ProSub!$B$48:$F$48)</f>
        <v>116770396768.8194</v>
      </c>
      <c r="G7">
        <f>SUMPRODUCT(ProSub!$B7:$F7, ProSub!$B$49:$F$49)</f>
        <v>58664044521.9944</v>
      </c>
      <c r="H7">
        <f>SUMPRODUCT(ProSub!$B7:$F7, ProSub!$B$50:$F$50)</f>
        <v>348775087663.71381</v>
      </c>
      <c r="I7">
        <f>SUMPRODUCT(ProSub!$B7:$F7, ProSub!$B$51:$F$51)</f>
        <v>31055917057.094101</v>
      </c>
      <c r="J7">
        <f>SUMPRODUCT(ProSub!$B7:$F7, ProSub!$B$52:$F$52)</f>
        <v>115342063723.72911</v>
      </c>
      <c r="K7">
        <f>SUMPRODUCT(ProSub!$B7:$F7, ProSub!$B$53:$F$53)</f>
        <v>305831347781.1142</v>
      </c>
      <c r="L7">
        <f>SUMPRODUCT(ProSub!$B7:$F7, ProSub!$B$54:$F$54)</f>
        <v>131700642997.04941</v>
      </c>
      <c r="M7">
        <f>SUMPRODUCT(ProSub!$B7:$F7, ProSub!$B$55:$F$55)</f>
        <v>5743581945467.0176</v>
      </c>
      <c r="N7">
        <f>SUMPRODUCT(ProSub!$B7:$F7, ProSub!$B$56:$F$56)</f>
        <v>56481898755.417</v>
      </c>
    </row>
    <row r="8" spans="1:14" x14ac:dyDescent="0.25">
      <c r="A8" t="s">
        <v>14</v>
      </c>
      <c r="B8">
        <f>SUMPRODUCT(ProSub!$B8:$F8, ProSub!$B$44:$F$44)</f>
        <v>9047739896984.5254</v>
      </c>
      <c r="C8">
        <f>SUMPRODUCT(ProSub!$B8:$F8, ProSub!$B$45:$F$45)</f>
        <v>126485579635.90372</v>
      </c>
      <c r="D8">
        <f>SUMPRODUCT(ProSub!$B8:$F8, ProSub!$B$46:$F$46)</f>
        <v>25794428542.802902</v>
      </c>
      <c r="E8">
        <f>SUMPRODUCT(ProSub!$B8:$F8, ProSub!$B$47:$F$47)</f>
        <v>51650958722.378502</v>
      </c>
      <c r="F8">
        <f>SUMPRODUCT(ProSub!$B8:$F8, ProSub!$B$48:$F$48)</f>
        <v>58385198492.924797</v>
      </c>
      <c r="G8">
        <f>SUMPRODUCT(ProSub!$B8:$F8, ProSub!$B$49:$F$49)</f>
        <v>29332022260.997402</v>
      </c>
      <c r="H8">
        <f>SUMPRODUCT(ProSub!$B8:$F8, ProSub!$B$50:$F$50)</f>
        <v>174387543903.6452</v>
      </c>
      <c r="I8">
        <f>SUMPRODUCT(ProSub!$B8:$F8, ProSub!$B$51:$F$51)</f>
        <v>15527958532.160099</v>
      </c>
      <c r="J8">
        <f>SUMPRODUCT(ProSub!$B8:$F8, ProSub!$B$52:$F$52)</f>
        <v>57671036996.701897</v>
      </c>
      <c r="K8">
        <f>SUMPRODUCT(ProSub!$B8:$F8, ProSub!$B$53:$F$53)</f>
        <v>152915674302.2276</v>
      </c>
      <c r="L8">
        <f>SUMPRODUCT(ProSub!$B8:$F8, ProSub!$B$54:$F$54)</f>
        <v>65850333759.068001</v>
      </c>
      <c r="M8">
        <f>SUMPRODUCT(ProSub!$B8:$F8, ProSub!$B$55:$F$55)</f>
        <v>2871790978013.3486</v>
      </c>
      <c r="N8">
        <f>SUMPRODUCT(ProSub!$B8:$F8, ProSub!$B$56:$F$56)</f>
        <v>28240949723.004498</v>
      </c>
    </row>
    <row r="9" spans="1:14" x14ac:dyDescent="0.25">
      <c r="A9" t="s">
        <v>15</v>
      </c>
      <c r="B9">
        <f>SUMPRODUCT(ProSub!$B9:$F9, ProSub!$B$44:$F$44)</f>
        <v>23899690441464.102</v>
      </c>
      <c r="C9">
        <f>SUMPRODUCT(ProSub!$B9:$F9, ProSub!$B$45:$F$45)</f>
        <v>334112855609.04431</v>
      </c>
      <c r="D9">
        <f>SUMPRODUCT(ProSub!$B9:$F9, ProSub!$B$46:$F$46)</f>
        <v>68136227110.687302</v>
      </c>
      <c r="E9">
        <f>SUMPRODUCT(ProSub!$B9:$F9, ProSub!$B$47:$F$47)</f>
        <v>136436500998.07631</v>
      </c>
      <c r="F9">
        <f>SUMPRODUCT(ProSub!$B9:$F9, ProSub!$B$48:$F$48)</f>
        <v>154225053881.74539</v>
      </c>
      <c r="G9">
        <f>SUMPRODUCT(ProSub!$B9:$F9, ProSub!$B$49:$F$49)</f>
        <v>77480814014.112</v>
      </c>
      <c r="H9">
        <f>SUMPRODUCT(ProSub!$B9:$F9, ProSub!$B$50:$F$50)</f>
        <v>460646345480.53723</v>
      </c>
      <c r="I9">
        <f>SUMPRODUCT(ProSub!$B9:$F9, ProSub!$B$51:$F$51)</f>
        <v>41017249870.485504</v>
      </c>
      <c r="J9">
        <f>SUMPRODUCT(ProSub!$B9:$F9, ProSub!$B$52:$F$52)</f>
        <v>152338586629.9201</v>
      </c>
      <c r="K9">
        <f>SUMPRODUCT(ProSub!$B9:$F9, ProSub!$B$53:$F$53)</f>
        <v>403928198543.53162</v>
      </c>
      <c r="L9">
        <f>SUMPRODUCT(ProSub!$B9:$F9, ProSub!$B$54:$F$54)</f>
        <v>173944264720.8024</v>
      </c>
      <c r="M9">
        <f>SUMPRODUCT(ProSub!$B9:$F9, ProSub!$B$55:$F$55)</f>
        <v>7585863015881.6895</v>
      </c>
      <c r="N9">
        <f>SUMPRODUCT(ProSub!$B9:$F9, ProSub!$B$56:$F$56)</f>
        <v>74598735177.142792</v>
      </c>
    </row>
    <row r="10" spans="1:14" x14ac:dyDescent="0.25">
      <c r="A10" t="s">
        <v>16</v>
      </c>
      <c r="B10">
        <f>SUMPRODUCT(ProSub!$B10:$F10, ProSub!$B$44:$F$44)</f>
        <v>33333778447335.547</v>
      </c>
      <c r="C10">
        <f>SUMPRODUCT(ProSub!$B10:$F10, ProSub!$B$45:$F$45)</f>
        <v>465999501184.52301</v>
      </c>
      <c r="D10">
        <f>SUMPRODUCT(ProSub!$B10:$F10, ProSub!$B$46:$F$46)</f>
        <v>95032106489.294891</v>
      </c>
      <c r="E10">
        <f>SUMPRODUCT(ProSub!$B10:$F10, ProSub!$B$47:$F$47)</f>
        <v>190293005351.63519</v>
      </c>
      <c r="F10">
        <f>SUMPRODUCT(ProSub!$B10:$F10, ProSub!$B$48:$F$48)</f>
        <v>215103362665.59641</v>
      </c>
      <c r="G10">
        <f>SUMPRODUCT(ProSub!$B10:$F10, ProSub!$B$49:$F$49)</f>
        <v>108065345440.92679</v>
      </c>
      <c r="H10">
        <f>SUMPRODUCT(ProSub!$B10:$F10, ProSub!$B$50:$F$50)</f>
        <v>642480426847.2688</v>
      </c>
      <c r="I10">
        <f>SUMPRODUCT(ProSub!$B10:$F10, ProSub!$B$51:$F$51)</f>
        <v>57208269126.111496</v>
      </c>
      <c r="J10">
        <f>SUMPRODUCT(ProSub!$B10:$F10, ProSub!$B$52:$F$52)</f>
        <v>212472237552.44873</v>
      </c>
      <c r="K10">
        <f>SUMPRODUCT(ProSub!$B10:$F10, ProSub!$B$53:$F$53)</f>
        <v>563373536588.94678</v>
      </c>
      <c r="L10">
        <f>SUMPRODUCT(ProSub!$B10:$F10, ProSub!$B$54:$F$54)</f>
        <v>242606475881.74722</v>
      </c>
      <c r="M10">
        <f>SUMPRODUCT(ProSub!$B10:$F10, ProSub!$B$55:$F$55)</f>
        <v>10580282542407.557</v>
      </c>
      <c r="N10">
        <f>SUMPRODUCT(ProSub!$B10:$F10, ProSub!$B$56:$F$56)</f>
        <v>104045603861.8118</v>
      </c>
    </row>
    <row r="11" spans="1:14" x14ac:dyDescent="0.25">
      <c r="A11" t="s">
        <v>17</v>
      </c>
      <c r="B11">
        <f>SUMPRODUCT(ProSub!$B11:$F11, ProSub!$B$44:$F$44)</f>
        <v>20430380319427.609</v>
      </c>
      <c r="C11">
        <f>SUMPRODUCT(ProSub!$B11:$F11, ProSub!$B$45:$F$45)</f>
        <v>285612599451.54962</v>
      </c>
      <c r="D11">
        <f>SUMPRODUCT(ProSub!$B11:$F11, ProSub!$B$46:$F$46)</f>
        <v>58245484258.216301</v>
      </c>
      <c r="E11">
        <f>SUMPRODUCT(ProSub!$B11:$F11, ProSub!$B$47:$F$47)</f>
        <v>116631200803.04878</v>
      </c>
      <c r="F11">
        <f>SUMPRODUCT(ProSub!$B11:$F11, ProSub!$B$48:$F$48)</f>
        <v>131837544334.98859</v>
      </c>
      <c r="G11">
        <f>SUMPRODUCT(ProSub!$B11:$F11, ProSub!$B$49:$F$49)</f>
        <v>66233598281.424698</v>
      </c>
      <c r="H11">
        <f>SUMPRODUCT(ProSub!$B11:$F11, ProSub!$B$50:$F$50)</f>
        <v>393778323101.85663</v>
      </c>
      <c r="I11">
        <f>SUMPRODUCT(ProSub!$B11:$F11, ProSub!$B$51:$F$51)</f>
        <v>35063132886.095299</v>
      </c>
      <c r="J11">
        <f>SUMPRODUCT(ProSub!$B11:$F11, ProSub!$B$52:$F$52)</f>
        <v>130224923556.02649</v>
      </c>
      <c r="K11">
        <f>SUMPRODUCT(ProSub!$B11:$F11, ProSub!$B$53:$F$53)</f>
        <v>345293455677.9118</v>
      </c>
      <c r="L11">
        <f>SUMPRODUCT(ProSub!$B11:$F11, ProSub!$B$54:$F$54)</f>
        <v>148694295953.53799</v>
      </c>
      <c r="M11">
        <f>SUMPRODUCT(ProSub!$B11:$F11, ProSub!$B$55:$F$55)</f>
        <v>6484689267493.7578</v>
      </c>
      <c r="N11">
        <f>SUMPRODUCT(ProSub!$B11:$F11, ProSub!$B$56:$F$56)</f>
        <v>63769885889.633293</v>
      </c>
    </row>
    <row r="12" spans="1:14" x14ac:dyDescent="0.25">
      <c r="A12" t="s">
        <v>18</v>
      </c>
      <c r="B12">
        <f>SUMPRODUCT(ProSub!$B12:$F12, ProSub!$B$44:$F$44)</f>
        <v>8104931142221.373</v>
      </c>
      <c r="C12">
        <f>SUMPRODUCT(ProSub!$B12:$F12, ProSub!$B$45:$F$45)</f>
        <v>112075851694.9693</v>
      </c>
      <c r="D12">
        <f>SUMPRODUCT(ProSub!$B12:$F12, ProSub!$B$46:$F$46)</f>
        <v>23036940183.2024</v>
      </c>
      <c r="E12">
        <f>SUMPRODUCT(ProSub!$B12:$F12, ProSub!$B$47:$F$47)</f>
        <v>45775300637.039093</v>
      </c>
      <c r="F12">
        <f>SUMPRODUCT(ProSub!$B12:$F12, ProSub!$B$48:$F$48)</f>
        <v>52327214020.760902</v>
      </c>
      <c r="G12">
        <f>SUMPRODUCT(ProSub!$B12:$F12, ProSub!$B$49:$F$49)</f>
        <v>26283898809.780201</v>
      </c>
      <c r="H12">
        <f>SUMPRODUCT(ProSub!$B12:$F12, ProSub!$B$50:$F$50)</f>
        <v>156222870990.3967</v>
      </c>
      <c r="I12">
        <f>SUMPRODUCT(ProSub!$B12:$F12, ProSub!$B$51:$F$51)</f>
        <v>13831905151.423899</v>
      </c>
      <c r="J12">
        <f>SUMPRODUCT(ProSub!$B12:$F12, ProSub!$B$52:$F$52)</f>
        <v>51248961603.209206</v>
      </c>
      <c r="K12">
        <f>SUMPRODUCT(ProSub!$B12:$F12, ProSub!$B$53:$F$53)</f>
        <v>137073952901.2495</v>
      </c>
      <c r="L12">
        <f>SUMPRODUCT(ProSub!$B12:$F12, ProSub!$B$54:$F$54)</f>
        <v>58947958483.884903</v>
      </c>
      <c r="M12">
        <f>SUMPRODUCT(ProSub!$B12:$F12, ProSub!$B$55:$F$55)</f>
        <v>2574135996239.8804</v>
      </c>
      <c r="N12">
        <f>SUMPRODUCT(ProSub!$B12:$F12, ProSub!$B$56:$F$56)</f>
        <v>25313482738.908497</v>
      </c>
    </row>
    <row r="13" spans="1:14" x14ac:dyDescent="0.25">
      <c r="A13" t="s">
        <v>19</v>
      </c>
      <c r="B13">
        <f>SUMPRODUCT(ProSub!$B13:$F13, ProSub!$B$44:$F$44)</f>
        <v>27877770485422.59</v>
      </c>
      <c r="C13">
        <f>SUMPRODUCT(ProSub!$B13:$F13, ProSub!$B$45:$F$45)</f>
        <v>396106899761.93872</v>
      </c>
      <c r="D13">
        <f>SUMPRODUCT(ProSub!$B13:$F13, ProSub!$B$46:$F$46)</f>
        <v>89338078817.625183</v>
      </c>
      <c r="E13">
        <f>SUMPRODUCT(ProSub!$B13:$F13, ProSub!$B$47:$F$47)</f>
        <v>163134302806.2764</v>
      </c>
      <c r="F13">
        <f>SUMPRODUCT(ProSub!$B13:$F13, ProSub!$B$48:$F$48)</f>
        <v>178949682963.0184</v>
      </c>
      <c r="G13">
        <f>SUMPRODUCT(ProSub!$B13:$F13, ProSub!$B$49:$F$49)</f>
        <v>91662111429.203598</v>
      </c>
      <c r="H13">
        <f>SUMPRODUCT(ProSub!$B13:$F13, ProSub!$B$50:$F$50)</f>
        <v>548633802727.47723</v>
      </c>
      <c r="I13">
        <f>SUMPRODUCT(ProSub!$B13:$F13, ProSub!$B$51:$F$51)</f>
        <v>55023065385.477196</v>
      </c>
      <c r="J13">
        <f>SUMPRODUCT(ProSub!$B13:$F13, ProSub!$B$52:$F$52)</f>
        <v>205767673471.00079</v>
      </c>
      <c r="K13">
        <f>SUMPRODUCT(ProSub!$B13:$F13, ProSub!$B$53:$F$53)</f>
        <v>469830379723.72522</v>
      </c>
      <c r="L13">
        <f>SUMPRODUCT(ProSub!$B13:$F13, ProSub!$B$54:$F$54)</f>
        <v>203173445731.05399</v>
      </c>
      <c r="M13">
        <f>SUMPRODUCT(ProSub!$B13:$F13, ProSub!$B$55:$F$55)</f>
        <v>8801221033427.4453</v>
      </c>
      <c r="N13">
        <f>SUMPRODUCT(ProSub!$B13:$F13, ProSub!$B$56:$F$56)</f>
        <v>87074916196.001404</v>
      </c>
    </row>
    <row r="14" spans="1:14" x14ac:dyDescent="0.25">
      <c r="A14" t="s">
        <v>20</v>
      </c>
      <c r="B14">
        <f>SUMPRODUCT(ProSub!$B14:$F14, ProSub!$B$44:$F$44)</f>
        <v>26488962825718.141</v>
      </c>
      <c r="C14">
        <f>SUMPRODUCT(ProSub!$B14:$F14, ProSub!$B$45:$F$45)</f>
        <v>372627557194.31024</v>
      </c>
      <c r="D14">
        <f>SUMPRODUCT(ProSub!$B14:$F14, ProSub!$B$46:$F$46)</f>
        <v>84372306387.594406</v>
      </c>
      <c r="E14">
        <f>SUMPRODUCT(ProSub!$B14:$F14, ProSub!$B$47:$F$47)</f>
        <v>150996017108.96881</v>
      </c>
      <c r="F14">
        <f>SUMPRODUCT(ProSub!$B14:$F14, ProSub!$B$48:$F$48)</f>
        <v>170305564152.3045</v>
      </c>
      <c r="G14">
        <f>SUMPRODUCT(ProSub!$B14:$F14, ProSub!$B$49:$F$49)</f>
        <v>87301081758.104111</v>
      </c>
      <c r="H14">
        <f>SUMPRODUCT(ProSub!$B14:$F14, ProSub!$B$50:$F$50)</f>
        <v>522146914871.39117</v>
      </c>
      <c r="I14">
        <f>SUMPRODUCT(ProSub!$B14:$F14, ProSub!$B$51:$F$51)</f>
        <v>51555048846.748299</v>
      </c>
      <c r="J14">
        <f>SUMPRODUCT(ProSub!$B14:$F14, ProSub!$B$52:$F$52)</f>
        <v>191570209338.41638</v>
      </c>
      <c r="K14">
        <f>SUMPRODUCT(ProSub!$B14:$F14, ProSub!$B$53:$F$53)</f>
        <v>447729166416.24152</v>
      </c>
      <c r="L14">
        <f>SUMPRODUCT(ProSub!$B14:$F14, ProSub!$B$54:$F$54)</f>
        <v>192500635356.04431</v>
      </c>
      <c r="M14">
        <f>SUMPRODUCT(ProSub!$B14:$F14, ProSub!$B$55:$F$55)</f>
        <v>8381397102568.1201</v>
      </c>
      <c r="N14">
        <f>SUMPRODUCT(ProSub!$B14:$F14, ProSub!$B$56:$F$56)</f>
        <v>82973654330.395096</v>
      </c>
    </row>
    <row r="15" spans="1:14" x14ac:dyDescent="0.25">
      <c r="A15" t="s">
        <v>21</v>
      </c>
      <c r="B15">
        <f>SUMPRODUCT(ProSub!$B15:$F15, ProSub!$B$44:$F$44)</f>
        <v>84982908226106.75</v>
      </c>
      <c r="C15">
        <f>SUMPRODUCT(ProSub!$B15:$F15, ProSub!$B$45:$F$45)</f>
        <v>1119007103306.9109</v>
      </c>
      <c r="D15">
        <f>SUMPRODUCT(ProSub!$B15:$F15, ProSub!$B$46:$F$46)</f>
        <v>266611426536.7547</v>
      </c>
      <c r="E15">
        <f>SUMPRODUCT(ProSub!$B15:$F15, ProSub!$B$47:$F$47)</f>
        <v>442670492392.28766</v>
      </c>
      <c r="F15">
        <f>SUMPRODUCT(ProSub!$B15:$F15, ProSub!$B$48:$F$48)</f>
        <v>543236808379.96222</v>
      </c>
      <c r="G15">
        <f>SUMPRODUCT(ProSub!$B15:$F15, ProSub!$B$49:$F$49)</f>
        <v>278286234118.4903</v>
      </c>
      <c r="H15">
        <f>SUMPRODUCT(ProSub!$B15:$F15, ProSub!$B$50:$F$50)</f>
        <v>1663389707613.4851</v>
      </c>
      <c r="I15">
        <f>SUMPRODUCT(ProSub!$B15:$F15, ProSub!$B$51:$F$51)</f>
        <v>160678967726.05371</v>
      </c>
      <c r="J15">
        <f>SUMPRODUCT(ProSub!$B15:$F15, ProSub!$B$52:$F$52)</f>
        <v>641049401682.05896</v>
      </c>
      <c r="K15">
        <f>SUMPRODUCT(ProSub!$B15:$F15, ProSub!$B$53:$F$53)</f>
        <v>1431899157396.8123</v>
      </c>
      <c r="L15">
        <f>SUMPRODUCT(ProSub!$B15:$F15, ProSub!$B$54:$F$54)</f>
        <v>734631971027.46399</v>
      </c>
      <c r="M15">
        <f>SUMPRODUCT(ProSub!$B15:$F15, ProSub!$B$55:$F$55)</f>
        <v>26758859857256.344</v>
      </c>
      <c r="N15">
        <f>SUMPRODUCT(ProSub!$B15:$F15, ProSub!$B$56:$F$56)</f>
        <v>268132769614.6275</v>
      </c>
    </row>
    <row r="16" spans="1:14" x14ac:dyDescent="0.25">
      <c r="A16" t="s">
        <v>22</v>
      </c>
      <c r="B16">
        <f>SUMPRODUCT(ProSub!$B16:$F16, ProSub!$B$44:$F$44)</f>
        <v>744207630199.54224</v>
      </c>
      <c r="C16">
        <f>SUMPRODUCT(ProSub!$B16:$F16, ProSub!$B$45:$F$45)</f>
        <v>50429790937.900505</v>
      </c>
      <c r="D16">
        <f>SUMPRODUCT(ProSub!$B16:$F16, ProSub!$B$46:$F$46)</f>
        <v>3308803891.1350002</v>
      </c>
      <c r="E16">
        <f>SUMPRODUCT(ProSub!$B16:$F16, ProSub!$B$47:$F$47)</f>
        <v>23461877677.112301</v>
      </c>
      <c r="F16">
        <f>SUMPRODUCT(ProSub!$B16:$F16, ProSub!$B$48:$F$48)</f>
        <v>3826031915.658</v>
      </c>
      <c r="G16">
        <f>SUMPRODUCT(ProSub!$B16:$F16, ProSub!$B$49:$F$49)</f>
        <v>1689994722.5529001</v>
      </c>
      <c r="H16">
        <f>SUMPRODUCT(ProSub!$B16:$F16, ProSub!$B$50:$F$50)</f>
        <v>11227394311.166401</v>
      </c>
      <c r="I16">
        <f>SUMPRODUCT(ProSub!$B16:$F16, ProSub!$B$51:$F$51)</f>
        <v>3413865197.9565997</v>
      </c>
      <c r="J16">
        <f>SUMPRODUCT(ProSub!$B16:$F16, ProSub!$B$52:$F$52)</f>
        <v>17732860011.605801</v>
      </c>
      <c r="K16">
        <f>SUMPRODUCT(ProSub!$B16:$F16, ProSub!$B$53:$F$53)</f>
        <v>8319074228.2368011</v>
      </c>
      <c r="L16">
        <f>SUMPRODUCT(ProSub!$B16:$F16, ProSub!$B$54:$F$54)</f>
        <v>7300570439.6558008</v>
      </c>
      <c r="M16">
        <f>SUMPRODUCT(ProSub!$B16:$F16, ProSub!$B$55:$F$55)</f>
        <v>171828150661.84091</v>
      </c>
      <c r="N16">
        <f>SUMPRODUCT(ProSub!$B16:$F16, ProSub!$B$56:$F$56)</f>
        <v>1546215781.263</v>
      </c>
    </row>
    <row r="17" spans="1:14" x14ac:dyDescent="0.25">
      <c r="A17" t="s">
        <v>23</v>
      </c>
      <c r="B17">
        <f>SUMPRODUCT(ProSub!$B17:$F17, ProSub!$B$44:$F$44)</f>
        <v>938846884828.7605</v>
      </c>
      <c r="C17">
        <f>SUMPRODUCT(ProSub!$B17:$F17, ProSub!$B$45:$F$45)</f>
        <v>63619119288.863907</v>
      </c>
      <c r="D17">
        <f>SUMPRODUCT(ProSub!$B17:$F17, ProSub!$B$46:$F$46)</f>
        <v>4174183519.5360003</v>
      </c>
      <c r="E17">
        <f>SUMPRODUCT(ProSub!$B17:$F17, ProSub!$B$47:$F$47)</f>
        <v>29598056921.3521</v>
      </c>
      <c r="F17">
        <f>SUMPRODUCT(ProSub!$B17:$F17, ProSub!$B$48:$F$48)</f>
        <v>4826688206.3237</v>
      </c>
      <c r="G17">
        <f>SUMPRODUCT(ProSub!$B17:$F17, ProSub!$B$49:$F$49)</f>
        <v>2131994245.2278001</v>
      </c>
      <c r="H17">
        <f>SUMPRODUCT(ProSub!$B17:$F17, ProSub!$B$50:$F$50)</f>
        <v>14163794836.122501</v>
      </c>
      <c r="I17">
        <f>SUMPRODUCT(ProSub!$B17:$F17, ProSub!$B$51:$F$51)</f>
        <v>4306721887.6338997</v>
      </c>
      <c r="J17">
        <f>SUMPRODUCT(ProSub!$B17:$F17, ProSub!$B$52:$F$52)</f>
        <v>22370689650.6534</v>
      </c>
      <c r="K17">
        <f>SUMPRODUCT(ProSub!$B17:$F17, ProSub!$B$53:$F$53)</f>
        <v>10494837592.7425</v>
      </c>
      <c r="L17">
        <f>SUMPRODUCT(ProSub!$B17:$F17, ProSub!$B$54:$F$54)</f>
        <v>9209969391.1219006</v>
      </c>
      <c r="M17">
        <f>SUMPRODUCT(ProSub!$B17:$F17, ProSub!$B$55:$F$55)</f>
        <v>216767914394.26642</v>
      </c>
      <c r="N17">
        <f>SUMPRODUCT(ProSub!$B17:$F17, ProSub!$B$56:$F$56)</f>
        <v>1950612086.7638001</v>
      </c>
    </row>
    <row r="18" spans="1:14" x14ac:dyDescent="0.25">
      <c r="A18" t="s">
        <v>24</v>
      </c>
      <c r="B18">
        <f>SUMPRODUCT(ProSub!$B18:$F18, ProSub!$B$44:$F$44)</f>
        <v>4031337161134.0391</v>
      </c>
      <c r="C18">
        <f>SUMPRODUCT(ProSub!$B18:$F18, ProSub!$B$45:$F$45)</f>
        <v>544803474348.36859</v>
      </c>
      <c r="D18">
        <f>SUMPRODUCT(ProSub!$B18:$F18, ProSub!$B$46:$F$46)</f>
        <v>86328058335.775406</v>
      </c>
      <c r="E18">
        <f>SUMPRODUCT(ProSub!$B18:$F18, ProSub!$B$47:$F$47)</f>
        <v>246364567083.55441</v>
      </c>
      <c r="F18">
        <f>SUMPRODUCT(ProSub!$B18:$F18, ProSub!$B$48:$F$48)</f>
        <v>10304707657.756498</v>
      </c>
      <c r="G18">
        <f>SUMPRODUCT(ProSub!$B18:$F18, ProSub!$B$49:$F$49)</f>
        <v>14509480782.755301</v>
      </c>
      <c r="H18">
        <f>SUMPRODUCT(ProSub!$B18:$F18, ProSub!$B$50:$F$50)</f>
        <v>121489741206.79971</v>
      </c>
      <c r="I18">
        <f>SUMPRODUCT(ProSub!$B18:$F18, ProSub!$B$51:$F$51)</f>
        <v>73786685896.347687</v>
      </c>
      <c r="J18">
        <f>SUMPRODUCT(ProSub!$B18:$F18, ProSub!$B$52:$F$52)</f>
        <v>333681626435.88837</v>
      </c>
      <c r="K18">
        <f>SUMPRODUCT(ProSub!$B18:$F18, ProSub!$B$53:$F$53)</f>
        <v>18917569740.566097</v>
      </c>
      <c r="L18">
        <f>SUMPRODUCT(ProSub!$B18:$F18, ProSub!$B$54:$F$54)</f>
        <v>49264242785.636108</v>
      </c>
      <c r="M18">
        <f>SUMPRODUCT(ProSub!$B18:$F18, ProSub!$B$55:$F$55)</f>
        <v>348626187277.33777</v>
      </c>
      <c r="N18">
        <f>SUMPRODUCT(ProSub!$B18:$F18, ProSub!$B$56:$F$56)</f>
        <v>5579951719.0494003</v>
      </c>
    </row>
    <row r="19" spans="1:14" x14ac:dyDescent="0.25">
      <c r="A19" t="s">
        <v>25</v>
      </c>
      <c r="B19">
        <f>SUMPRODUCT(ProSub!$B19:$F19, ProSub!$B$44:$F$44)</f>
        <v>36760949441618.977</v>
      </c>
      <c r="C19">
        <f>SUMPRODUCT(ProSub!$B19:$F19, ProSub!$B$45:$F$45)</f>
        <v>523626417960.97345</v>
      </c>
      <c r="D19">
        <f>SUMPRODUCT(ProSub!$B19:$F19, ProSub!$B$46:$F$46)</f>
        <v>261675389652.05249</v>
      </c>
      <c r="E19">
        <f>SUMPRODUCT(ProSub!$B19:$F19, ProSub!$B$47:$F$47)</f>
        <v>197175914267.35712</v>
      </c>
      <c r="F19">
        <f>SUMPRODUCT(ProSub!$B19:$F19, ProSub!$B$48:$F$48)</f>
        <v>226361638832.71536</v>
      </c>
      <c r="G19">
        <f>SUMPRODUCT(ProSub!$B19:$F19, ProSub!$B$49:$F$49)</f>
        <v>144582275655.12408</v>
      </c>
      <c r="H19">
        <f>SUMPRODUCT(ProSub!$B19:$F19, ProSub!$B$50:$F$50)</f>
        <v>914548161773.729</v>
      </c>
      <c r="I19">
        <f>SUMPRODUCT(ProSub!$B19:$F19, ProSub!$B$51:$F$51)</f>
        <v>170731717084.24649</v>
      </c>
      <c r="J19">
        <f>SUMPRODUCT(ProSub!$B19:$F19, ProSub!$B$52:$F$52)</f>
        <v>634004310686.677</v>
      </c>
      <c r="K19">
        <f>SUMPRODUCT(ProSub!$B19:$F19, ProSub!$B$53:$F$53)</f>
        <v>622764184462.90454</v>
      </c>
      <c r="L19">
        <f>SUMPRODUCT(ProSub!$B19:$F19, ProSub!$B$54:$F$54)</f>
        <v>262031357423.22839</v>
      </c>
      <c r="M19">
        <f>SUMPRODUCT(ProSub!$B19:$F19, ProSub!$B$55:$F$55)</f>
        <v>11217204373021.949</v>
      </c>
      <c r="N19">
        <f>SUMPRODUCT(ProSub!$B19:$F19, ProSub!$B$56:$F$56)</f>
        <v>120069463389.41739</v>
      </c>
    </row>
    <row r="20" spans="1:14" x14ac:dyDescent="0.25">
      <c r="A20" t="s">
        <v>26</v>
      </c>
      <c r="B20">
        <f>SUMPRODUCT(ProSub!$B20:$F20, ProSub!$B$44:$F$44)</f>
        <v>279628875819.84924</v>
      </c>
      <c r="C20">
        <f>SUMPRODUCT(ProSub!$B20:$F20, ProSub!$B$45:$F$45)</f>
        <v>16361247752.981199</v>
      </c>
      <c r="D20">
        <f>SUMPRODUCT(ProSub!$B20:$F20, ProSub!$B$46:$F$46)</f>
        <v>20785821253.873798</v>
      </c>
      <c r="E20">
        <f>SUMPRODUCT(ProSub!$B20:$F20, ProSub!$B$47:$F$47)</f>
        <v>4778679024.2844992</v>
      </c>
      <c r="F20">
        <f>SUMPRODUCT(ProSub!$B20:$F20, ProSub!$B$48:$F$48)</f>
        <v>211868133.64119998</v>
      </c>
      <c r="G20">
        <f>SUMPRODUCT(ProSub!$B20:$F20, ProSub!$B$49:$F$49)</f>
        <v>3943078215.6836004</v>
      </c>
      <c r="H20">
        <f>SUMPRODUCT(ProSub!$B20:$F20, ProSub!$B$50:$F$50)</f>
        <v>30626325983.810806</v>
      </c>
      <c r="I20">
        <f>SUMPRODUCT(ProSub!$B20:$F20, ProSub!$B$51:$F$51)</f>
        <v>14497658389.6672</v>
      </c>
      <c r="J20">
        <f>SUMPRODUCT(ProSub!$B20:$F20, ProSub!$B$52:$F$52)</f>
        <v>55037049592.906593</v>
      </c>
      <c r="K20">
        <f>SUMPRODUCT(ProSub!$B20:$F20, ProSub!$B$53:$F$53)</f>
        <v>3965804800.3615999</v>
      </c>
      <c r="L20">
        <f>SUMPRODUCT(ProSub!$B20:$F20, ProSub!$B$54:$F$54)</f>
        <v>1765194902.4796</v>
      </c>
      <c r="M20">
        <f>SUMPRODUCT(ProSub!$B20:$F20, ProSub!$B$55:$F$55)</f>
        <v>17351828304.087299</v>
      </c>
      <c r="N20">
        <f>SUMPRODUCT(ProSub!$B20:$F20, ProSub!$B$56:$F$56)</f>
        <v>1371242958.5557001</v>
      </c>
    </row>
    <row r="21" spans="1:14" x14ac:dyDescent="0.25">
      <c r="A21" t="s">
        <v>27</v>
      </c>
      <c r="B21">
        <f>SUMPRODUCT(ProSub!$B21:$F21, ProSub!$B$44:$F$44)</f>
        <v>12119517210.068701</v>
      </c>
      <c r="C21">
        <f>SUMPRODUCT(ProSub!$B21:$F21, ProSub!$B$45:$F$45)</f>
        <v>1766598402.6004</v>
      </c>
      <c r="D21">
        <f>SUMPRODUCT(ProSub!$B21:$F21, ProSub!$B$46:$F$46)</f>
        <v>41383875.061500005</v>
      </c>
      <c r="E21">
        <f>SUMPRODUCT(ProSub!$B21:$F21, ProSub!$B$47:$F$47)</f>
        <v>882784917.13879991</v>
      </c>
      <c r="F21">
        <f>SUMPRODUCT(ProSub!$B21:$F21, ProSub!$B$48:$F$48)</f>
        <v>39140527.130200006</v>
      </c>
      <c r="G21">
        <f>SUMPRODUCT(ProSub!$B21:$F21, ProSub!$B$49:$F$49)</f>
        <v>1589.9329</v>
      </c>
      <c r="H21">
        <f>SUMPRODUCT(ProSub!$B21:$F21, ProSub!$B$50:$F$50)</f>
        <v>35277950.923599996</v>
      </c>
      <c r="I21">
        <f>SUMPRODUCT(ProSub!$B21:$F21, ProSub!$B$51:$F$51)</f>
        <v>83033249.89729999</v>
      </c>
      <c r="J21">
        <f>SUMPRODUCT(ProSub!$B21:$F21, ProSub!$B$52:$F$52)</f>
        <v>525006598.23509997</v>
      </c>
      <c r="K21">
        <f>SUMPRODUCT(ProSub!$B21:$F21, ProSub!$B$53:$F$53)</f>
        <v>17094256.773200002</v>
      </c>
      <c r="L21">
        <f>SUMPRODUCT(ProSub!$B21:$F21, ProSub!$B$54:$F$54)</f>
        <v>172294124.2886</v>
      </c>
      <c r="M21">
        <f>SUMPRODUCT(ProSub!$B21:$F21, ProSub!$B$55:$F$55)</f>
        <v>1174378185.8004999</v>
      </c>
      <c r="N21">
        <f>SUMPRODUCT(ProSub!$B21:$F21, ProSub!$B$56:$F$56)</f>
        <v>2060558.2078</v>
      </c>
    </row>
    <row r="22" spans="1:14" x14ac:dyDescent="0.25">
      <c r="A22" t="s">
        <v>28</v>
      </c>
      <c r="B22">
        <f>SUMPRODUCT(ProSub!$B22:$F22, ProSub!$B$44:$F$44)</f>
        <v>15849047721.721601</v>
      </c>
      <c r="C22">
        <f>SUMPRODUCT(ProSub!$B22:$F22, ProSub!$B$45:$F$45)</f>
        <v>2310199035.7716002</v>
      </c>
      <c r="D22">
        <f>SUMPRODUCT(ProSub!$B22:$F22, ProSub!$B$46:$F$46)</f>
        <v>54119501.386200011</v>
      </c>
      <c r="E22">
        <f>SUMPRODUCT(ProSub!$B22:$F22, ProSub!$B$47:$F$47)</f>
        <v>1154420045.2057002</v>
      </c>
      <c r="F22">
        <f>SUMPRODUCT(ProSub!$B22:$F22, ProSub!$B$48:$F$48)</f>
        <v>51185687.086200006</v>
      </c>
      <c r="G22">
        <f>SUMPRODUCT(ProSub!$B22:$F22, ProSub!$B$49:$F$49)</f>
        <v>3162.703</v>
      </c>
      <c r="H22">
        <f>SUMPRODUCT(ProSub!$B22:$F22, ProSub!$B$50:$F$50)</f>
        <v>46139888.032200001</v>
      </c>
      <c r="I22">
        <f>SUMPRODUCT(ProSub!$B22:$F22, ProSub!$B$51:$F$51)</f>
        <v>108583648.63860001</v>
      </c>
      <c r="J22">
        <f>SUMPRODUCT(ProSub!$B22:$F22, ProSub!$B$52:$F$52)</f>
        <v>686562072.96619999</v>
      </c>
      <c r="K22">
        <f>SUMPRODUCT(ProSub!$B22:$F22, ProSub!$B$53:$F$53)</f>
        <v>22359268.181400001</v>
      </c>
      <c r="L22">
        <f>SUMPRODUCT(ProSub!$B22:$F22, ProSub!$B$54:$F$54)</f>
        <v>225327426.84420004</v>
      </c>
      <c r="M22">
        <f>SUMPRODUCT(ProSub!$B22:$F22, ProSub!$B$55:$F$55)</f>
        <v>1535817673.2515004</v>
      </c>
      <c r="N22">
        <f>SUMPRODUCT(ProSub!$B22:$F22, ProSub!$B$56:$F$56)</f>
        <v>2695956.1199000003</v>
      </c>
    </row>
    <row r="23" spans="1:14" x14ac:dyDescent="0.25">
      <c r="A23" t="s">
        <v>29</v>
      </c>
      <c r="B23">
        <f>SUMPRODUCT(ProSub!$B23:$F23, ProSub!$B$44:$F$44)</f>
        <v>1396119192343.0857</v>
      </c>
      <c r="C23">
        <f>SUMPRODUCT(ProSub!$B23:$F23, ProSub!$B$45:$F$45)</f>
        <v>200137313520.99405</v>
      </c>
      <c r="D23">
        <f>SUMPRODUCT(ProSub!$B23:$F23, ProSub!$B$46:$F$46)</f>
        <v>7508670958.6062002</v>
      </c>
      <c r="E23">
        <f>SUMPRODUCT(ProSub!$B23:$F23, ProSub!$B$47:$F$47)</f>
        <v>99541859558.241699</v>
      </c>
      <c r="F23">
        <f>SUMPRODUCT(ProSub!$B23:$F23, ProSub!$B$48:$F$48)</f>
        <v>4413199556.7634001</v>
      </c>
      <c r="G23">
        <f>SUMPRODUCT(ProSub!$B23:$F23, ProSub!$B$49:$F$49)</f>
        <v>545111660.1049999</v>
      </c>
      <c r="H23">
        <f>SUMPRODUCT(ProSub!$B23:$F23, ProSub!$B$50:$F$50)</f>
        <v>8184316417.4254007</v>
      </c>
      <c r="I23">
        <f>SUMPRODUCT(ProSub!$B23:$F23, ProSub!$B$51:$F$51)</f>
        <v>11304675821.3878</v>
      </c>
      <c r="J23">
        <f>SUMPRODUCT(ProSub!$B23:$F23, ProSub!$B$52:$F$52)</f>
        <v>66413282952.055</v>
      </c>
      <c r="K23">
        <f>SUMPRODUCT(ProSub!$B23:$F23, ProSub!$B$53:$F$53)</f>
        <v>2462178327.7537999</v>
      </c>
      <c r="L23">
        <f>SUMPRODUCT(ProSub!$B23:$F23, ProSub!$B$54:$F$54)</f>
        <v>19539926744.287006</v>
      </c>
      <c r="M23">
        <f>SUMPRODUCT(ProSub!$B23:$F23, ProSub!$B$55:$F$55)</f>
        <v>133928741128.70312</v>
      </c>
      <c r="N23">
        <f>SUMPRODUCT(ProSub!$B23:$F23, ProSub!$B$56:$F$56)</f>
        <v>420153653.19069999</v>
      </c>
    </row>
    <row r="24" spans="1:14" x14ac:dyDescent="0.25">
      <c r="A24" t="s">
        <v>30</v>
      </c>
      <c r="B24">
        <f>SUMPRODUCT(ProSub!$B24:$F24, ProSub!$B$44:$F$44)</f>
        <v>32842159433.404305</v>
      </c>
      <c r="C24">
        <f>SUMPRODUCT(ProSub!$B24:$F24, ProSub!$B$45:$F$45)</f>
        <v>4639890938.8868008</v>
      </c>
      <c r="D24">
        <f>SUMPRODUCT(ProSub!$B24:$F24, ProSub!$B$46:$F$46)</f>
        <v>231959611.64910001</v>
      </c>
      <c r="E24">
        <f>SUMPRODUCT(ProSub!$B24:$F24, ProSub!$B$47:$F$47)</f>
        <v>2298085196.3996</v>
      </c>
      <c r="F24">
        <f>SUMPRODUCT(ProSub!$B24:$F24, ProSub!$B$48:$F$48)</f>
        <v>101887964.70560001</v>
      </c>
      <c r="G24">
        <f>SUMPRODUCT(ProSub!$B24:$F24, ProSub!$B$49:$F$49)</f>
        <v>23825243.387500003</v>
      </c>
      <c r="H24">
        <f>SUMPRODUCT(ProSub!$B24:$F24, ProSub!$B$50:$F$50)</f>
        <v>275707751.29460007</v>
      </c>
      <c r="I24">
        <f>SUMPRODUCT(ProSub!$B24:$F24, ProSub!$B$51:$F$51)</f>
        <v>301029565.91030002</v>
      </c>
      <c r="J24">
        <f>SUMPRODUCT(ProSub!$B24:$F24, ProSub!$B$52:$F$52)</f>
        <v>1682043606.1571</v>
      </c>
      <c r="K24">
        <f>SUMPRODUCT(ProSub!$B24:$F24, ProSub!$B$53:$F$53)</f>
        <v>67890428.840200007</v>
      </c>
      <c r="L24">
        <f>SUMPRODUCT(ProSub!$B24:$F24, ProSub!$B$54:$F$54)</f>
        <v>453508872.98360002</v>
      </c>
      <c r="M24">
        <f>SUMPRODUCT(ProSub!$B24:$F24, ProSub!$B$55:$F$55)</f>
        <v>3123412222.8674998</v>
      </c>
      <c r="N24">
        <f>SUMPRODUCT(ProSub!$B24:$F24, ProSub!$B$56:$F$56)</f>
        <v>13578486.7892</v>
      </c>
    </row>
    <row r="25" spans="1:14" x14ac:dyDescent="0.25">
      <c r="A25" t="s">
        <v>31</v>
      </c>
      <c r="B25">
        <f>SUMPRODUCT(ProSub!$B25:$F25, ProSub!$B$44:$F$44)</f>
        <v>2003584677177.2556</v>
      </c>
      <c r="C25">
        <f>SUMPRODUCT(ProSub!$B25:$F25, ProSub!$B$45:$F$45)</f>
        <v>271059794667.07919</v>
      </c>
      <c r="D25">
        <f>SUMPRODUCT(ProSub!$B25:$F25, ProSub!$B$46:$F$46)</f>
        <v>23909334175.293297</v>
      </c>
      <c r="E25">
        <f>SUMPRODUCT(ProSub!$B25:$F25, ProSub!$B$47:$F$47)</f>
        <v>132528602000.89969</v>
      </c>
      <c r="F25">
        <f>SUMPRODUCT(ProSub!$B25:$F25, ProSub!$B$48:$F$48)</f>
        <v>5875667303.8107004</v>
      </c>
      <c r="G25">
        <f>SUMPRODUCT(ProSub!$B25:$F25, ProSub!$B$49:$F$49)</f>
        <v>3393689488.1812</v>
      </c>
      <c r="H25">
        <f>SUMPRODUCT(ProSub!$B25:$F25, ProSub!$B$50:$F$50)</f>
        <v>31489467016.923901</v>
      </c>
      <c r="I25">
        <f>SUMPRODUCT(ProSub!$B25:$F25, ProSub!$B$51:$F$51)</f>
        <v>24556076555.087597</v>
      </c>
      <c r="J25">
        <f>SUMPRODUCT(ProSub!$B25:$F25, ProSub!$B$52:$F$52)</f>
        <v>123737610077.86928</v>
      </c>
      <c r="K25">
        <f>SUMPRODUCT(ProSub!$B25:$F25, ProSub!$B$53:$F$53)</f>
        <v>5898821141.3403006</v>
      </c>
      <c r="L25">
        <f>SUMPRODUCT(ProSub!$B25:$F25, ProSub!$B$54:$F$54)</f>
        <v>26578498938.455303</v>
      </c>
      <c r="M25">
        <f>SUMPRODUCT(ProSub!$B25:$F25, ProSub!$B$55:$F$55)</f>
        <v>185750041594.64389</v>
      </c>
      <c r="N25">
        <f>SUMPRODUCT(ProSub!$B25:$F25, ProSub!$B$56:$F$56)</f>
        <v>1479642410.4341998</v>
      </c>
    </row>
    <row r="26" spans="1:14" x14ac:dyDescent="0.25">
      <c r="A26" t="s">
        <v>32</v>
      </c>
      <c r="B26">
        <f>SUMPRODUCT(ProSub!$B26:$F26, ProSub!$B$44:$F$44)</f>
        <v>2322020496144.4351</v>
      </c>
      <c r="C26">
        <f>SUMPRODUCT(ProSub!$B26:$F26, ProSub!$B$45:$F$45)</f>
        <v>17091307371.0121</v>
      </c>
      <c r="D26">
        <f>SUMPRODUCT(ProSub!$B26:$F26, ProSub!$B$46:$F$46)</f>
        <v>19710476759.382</v>
      </c>
      <c r="E26">
        <f>SUMPRODUCT(ProSub!$B26:$F26, ProSub!$B$47:$F$47)</f>
        <v>6243199740.2440996</v>
      </c>
      <c r="F26">
        <f>SUMPRODUCT(ProSub!$B26:$F26, ProSub!$B$48:$F$48)</f>
        <v>14314567497.594601</v>
      </c>
      <c r="G26">
        <f>SUMPRODUCT(ProSub!$B26:$F26, ProSub!$B$49:$F$49)</f>
        <v>9850034777.528101</v>
      </c>
      <c r="H26">
        <f>SUMPRODUCT(ProSub!$B26:$F26, ProSub!$B$50:$F$50)</f>
        <v>62941570272.237404</v>
      </c>
      <c r="I26">
        <f>SUMPRODUCT(ProSub!$B26:$F26, ProSub!$B$51:$F$51)</f>
        <v>12639091240.176201</v>
      </c>
      <c r="J26">
        <f>SUMPRODUCT(ProSub!$B26:$F26, ProSub!$B$52:$F$52)</f>
        <v>45529198042.528</v>
      </c>
      <c r="K26">
        <f>SUMPRODUCT(ProSub!$B26:$F26, ProSub!$B$53:$F$53)</f>
        <v>40342024437.0942</v>
      </c>
      <c r="L26">
        <f>SUMPRODUCT(ProSub!$B26:$F26, ProSub!$B$54:$F$54)</f>
        <v>15982008402.212</v>
      </c>
      <c r="M26">
        <f>SUMPRODUCT(ProSub!$B26:$F26, ProSub!$B$55:$F$55)</f>
        <v>714598164479.37744</v>
      </c>
      <c r="N26">
        <f>SUMPRODUCT(ProSub!$B26:$F26, ProSub!$B$56:$F$56)</f>
        <v>7875918034.0793991</v>
      </c>
    </row>
    <row r="27" spans="1:14" x14ac:dyDescent="0.25">
      <c r="A27" t="s">
        <v>33</v>
      </c>
      <c r="B27">
        <f>SUMPRODUCT(ProSub!$B27:$F27, ProSub!$B$44:$F$44)</f>
        <v>1017100651144.1348</v>
      </c>
      <c r="C27">
        <f>SUMPRODUCT(ProSub!$B27:$F27, ProSub!$B$45:$F$45)</f>
        <v>101985200844.556</v>
      </c>
      <c r="D27">
        <f>SUMPRODUCT(ProSub!$B27:$F27, ProSub!$B$46:$F$46)</f>
        <v>1944278459.2765999</v>
      </c>
      <c r="E27">
        <f>SUMPRODUCT(ProSub!$B27:$F27, ProSub!$B$47:$F$47)</f>
        <v>33672789419.314495</v>
      </c>
      <c r="F27">
        <f>SUMPRODUCT(ProSub!$B27:$F27, ProSub!$B$48:$F$48)</f>
        <v>5650406102.5900993</v>
      </c>
      <c r="G27">
        <f>SUMPRODUCT(ProSub!$B27:$F27, ProSub!$B$49:$F$49)</f>
        <v>2454091694.0205002</v>
      </c>
      <c r="H27">
        <f>SUMPRODUCT(ProSub!$B27:$F27, ProSub!$B$50:$F$50)</f>
        <v>15125606537.120501</v>
      </c>
      <c r="I27">
        <f>SUMPRODUCT(ProSub!$B27:$F27, ProSub!$B$51:$F$51)</f>
        <v>2369989049.3734999</v>
      </c>
      <c r="J27">
        <f>SUMPRODUCT(ProSub!$B27:$F27, ProSub!$B$52:$F$52)</f>
        <v>14867344951.183599</v>
      </c>
      <c r="K27">
        <f>SUMPRODUCT(ProSub!$B27:$F27, ProSub!$B$53:$F$53)</f>
        <v>13719016360.617701</v>
      </c>
      <c r="L27">
        <f>SUMPRODUCT(ProSub!$B27:$F27, ProSub!$B$54:$F$54)</f>
        <v>9136302762.3672981</v>
      </c>
      <c r="M27">
        <f>SUMPRODUCT(ProSub!$B27:$F27, ProSub!$B$55:$F$55)</f>
        <v>266093628575.96759</v>
      </c>
      <c r="N27">
        <f>SUMPRODUCT(ProSub!$B27:$F27, ProSub!$B$56:$F$56)</f>
        <v>2502831655.7558994</v>
      </c>
    </row>
    <row r="28" spans="1:14" x14ac:dyDescent="0.25">
      <c r="A28" t="s">
        <v>34</v>
      </c>
      <c r="B28">
        <f>SUMPRODUCT(ProSub!$B28:$F28, ProSub!$B$44:$F$44)</f>
        <v>144654055531876.16</v>
      </c>
      <c r="C28">
        <f>SUMPRODUCT(ProSub!$B28:$F28, ProSub!$B$45:$F$45)</f>
        <v>2551428585360.5269</v>
      </c>
      <c r="D28">
        <f>SUMPRODUCT(ProSub!$B28:$F28, ProSub!$B$46:$F$46)</f>
        <v>578243410616.81055</v>
      </c>
      <c r="E28">
        <f>SUMPRODUCT(ProSub!$B28:$F28, ProSub!$B$47:$F$47)</f>
        <v>937832585494.93066</v>
      </c>
      <c r="F28">
        <f>SUMPRODUCT(ProSub!$B28:$F28, ProSub!$B$48:$F$48)</f>
        <v>911885106462.62402</v>
      </c>
      <c r="G28">
        <f>SUMPRODUCT(ProSub!$B28:$F28, ProSub!$B$49:$F$49)</f>
        <v>491014034251.51764</v>
      </c>
      <c r="H28">
        <f>SUMPRODUCT(ProSub!$B28:$F28, ProSub!$B$50:$F$50)</f>
        <v>2982946410618.4048</v>
      </c>
      <c r="I28">
        <f>SUMPRODUCT(ProSub!$B28:$F28, ProSub!$B$51:$F$51)</f>
        <v>366808177303.39685</v>
      </c>
      <c r="J28">
        <f>SUMPRODUCT(ProSub!$B28:$F28, ProSub!$B$52:$F$52)</f>
        <v>1454591580803.8374</v>
      </c>
      <c r="K28">
        <f>SUMPRODUCT(ProSub!$B28:$F28, ProSub!$B$53:$F$53)</f>
        <v>2422955079232.2495</v>
      </c>
      <c r="L28">
        <f>SUMPRODUCT(ProSub!$B28:$F28, ProSub!$B$54:$F$54)</f>
        <v>1203439719366.4834</v>
      </c>
      <c r="M28">
        <f>SUMPRODUCT(ProSub!$B28:$F28, ProSub!$B$55:$F$55)</f>
        <v>44922995027858.086</v>
      </c>
      <c r="N28">
        <f>SUMPRODUCT(ProSub!$B28:$F28, ProSub!$B$56:$F$56)</f>
        <v>456547095029.77612</v>
      </c>
    </row>
    <row r="29" spans="1:14" x14ac:dyDescent="0.25">
      <c r="A29" t="s">
        <v>35</v>
      </c>
      <c r="B29">
        <f>SUMPRODUCT(ProSub!$B29:$F29, ProSub!$B$44:$F$44)</f>
        <v>45121813106040.18</v>
      </c>
      <c r="C29">
        <f>SUMPRODUCT(ProSub!$B29:$F29, ProSub!$B$45:$F$45)</f>
        <v>483779617971.08459</v>
      </c>
      <c r="D29">
        <f>SUMPRODUCT(ProSub!$B29:$F29, ProSub!$B$46:$F$46)</f>
        <v>120069722701.22169</v>
      </c>
      <c r="E29">
        <f>SUMPRODUCT(ProSub!$B29:$F29, ProSub!$B$47:$F$47)</f>
        <v>199090989488.52737</v>
      </c>
      <c r="F29">
        <f>SUMPRODUCT(ProSub!$B29:$F29, ProSub!$B$48:$F$48)</f>
        <v>294262026399.59778</v>
      </c>
      <c r="G29">
        <f>SUMPRODUCT(ProSub!$B29:$F29, ProSub!$B$49:$F$49)</f>
        <v>147200414167.08569</v>
      </c>
      <c r="H29">
        <f>SUMPRODUCT(ProSub!$B29:$F29, ProSub!$B$50:$F$50)</f>
        <v>869987507646.9624</v>
      </c>
      <c r="I29">
        <f>SUMPRODUCT(ProSub!$B29:$F29, ProSub!$B$51:$F$51)</f>
        <v>67999812395.357895</v>
      </c>
      <c r="J29">
        <f>SUMPRODUCT(ProSub!$B29:$F29, ProSub!$B$52:$F$52)</f>
        <v>238021795990.62524</v>
      </c>
      <c r="K29">
        <f>SUMPRODUCT(ProSub!$B29:$F29, ProSub!$B$53:$F$53)</f>
        <v>773486497393.50159</v>
      </c>
      <c r="L29">
        <f>SUMPRODUCT(ProSub!$B29:$F29, ProSub!$B$54:$F$54)</f>
        <v>323647459415.85779</v>
      </c>
      <c r="M29">
        <f>SUMPRODUCT(ProSub!$B29:$F29, ProSub!$B$55:$F$55)</f>
        <v>14511004426371.932</v>
      </c>
      <c r="N29">
        <f>SUMPRODUCT(ProSub!$B29:$F29, ProSub!$B$56:$F$56)</f>
        <v>142628570209.61276</v>
      </c>
    </row>
    <row r="30" spans="1:14" x14ac:dyDescent="0.25">
      <c r="A30" t="s">
        <v>36</v>
      </c>
      <c r="B30">
        <f>SUMPRODUCT(ProSub!$B30:$F30, ProSub!$B$44:$F$44)</f>
        <v>52804197343554.234</v>
      </c>
      <c r="C30">
        <f>SUMPRODUCT(ProSub!$B30:$F30, ProSub!$B$45:$F$45)</f>
        <v>821511786640.24902</v>
      </c>
      <c r="D30">
        <f>SUMPRODUCT(ProSub!$B30:$F30, ProSub!$B$46:$F$46)</f>
        <v>249272631164.24658</v>
      </c>
      <c r="E30">
        <f>SUMPRODUCT(ProSub!$B30:$F30, ProSub!$B$47:$F$47)</f>
        <v>308030436279.51501</v>
      </c>
      <c r="F30">
        <f>SUMPRODUCT(ProSub!$B30:$F30, ProSub!$B$48:$F$48)</f>
        <v>333715951929.94171</v>
      </c>
      <c r="G30">
        <f>SUMPRODUCT(ProSub!$B30:$F30, ProSub!$B$49:$F$49)</f>
        <v>187461505031.99631</v>
      </c>
      <c r="H30">
        <f>SUMPRODUCT(ProSub!$B30:$F30, ProSub!$B$50:$F$50)</f>
        <v>1149327335047.9214</v>
      </c>
      <c r="I30">
        <f>SUMPRODUCT(ProSub!$B30:$F30, ProSub!$B$51:$F$51)</f>
        <v>158402074690.96057</v>
      </c>
      <c r="J30">
        <f>SUMPRODUCT(ProSub!$B30:$F30, ProSub!$B$52:$F$52)</f>
        <v>590183599026.51892</v>
      </c>
      <c r="K30">
        <f>SUMPRODUCT(ProSub!$B30:$F30, ProSub!$B$53:$F$53)</f>
        <v>894308724466.22412</v>
      </c>
      <c r="L30">
        <f>SUMPRODUCT(ProSub!$B30:$F30, ProSub!$B$54:$F$54)</f>
        <v>380631073851.71637</v>
      </c>
      <c r="M30">
        <f>SUMPRODUCT(ProSub!$B30:$F30, ProSub!$B$55:$F$55)</f>
        <v>16474368441543.035</v>
      </c>
      <c r="N30">
        <f>SUMPRODUCT(ProSub!$B30:$F30, ProSub!$B$56:$F$56)</f>
        <v>168387478133.52286</v>
      </c>
    </row>
    <row r="31" spans="1:14" x14ac:dyDescent="0.25">
      <c r="A31" t="s">
        <v>37</v>
      </c>
      <c r="B31">
        <f>SUMPRODUCT(ProSub!$B31:$F31, ProSub!$B$44:$F$44)</f>
        <v>35482680650252.945</v>
      </c>
      <c r="C31">
        <f>SUMPRODUCT(ProSub!$B31:$F31, ProSub!$B$45:$F$45)</f>
        <v>391888908282.61279</v>
      </c>
      <c r="D31">
        <f>SUMPRODUCT(ProSub!$B31:$F31, ProSub!$B$46:$F$46)</f>
        <v>118400945956.1449</v>
      </c>
      <c r="E31">
        <f>SUMPRODUCT(ProSub!$B31:$F31, ProSub!$B$47:$F$47)</f>
        <v>161038142197.78265</v>
      </c>
      <c r="F31">
        <f>SUMPRODUCT(ProSub!$B31:$F31, ProSub!$B$48:$F$48)</f>
        <v>229409961057.66559</v>
      </c>
      <c r="G31">
        <f>SUMPRODUCT(ProSub!$B31:$F31, ProSub!$B$49:$F$49)</f>
        <v>119266141800.3597</v>
      </c>
      <c r="H31">
        <f>SUMPRODUCT(ProSub!$B31:$F31, ProSub!$B$50:$F$50)</f>
        <v>713693986003.39514</v>
      </c>
      <c r="I31">
        <f>SUMPRODUCT(ProSub!$B31:$F31, ProSub!$B$51:$F$51)</f>
        <v>70435704824.369904</v>
      </c>
      <c r="J31">
        <f>SUMPRODUCT(ProSub!$B31:$F31, ProSub!$B$52:$F$52)</f>
        <v>251969598013.75708</v>
      </c>
      <c r="K31">
        <f>SUMPRODUCT(ProSub!$B31:$F31, ProSub!$B$53:$F$53)</f>
        <v>606763855674.73962</v>
      </c>
      <c r="L31">
        <f>SUMPRODUCT(ProSub!$B31:$F31, ProSub!$B$54:$F$54)</f>
        <v>254421530576.9838</v>
      </c>
      <c r="M31">
        <f>SUMPRODUCT(ProSub!$B31:$F31, ProSub!$B$55:$F$55)</f>
        <v>11318828016228.945</v>
      </c>
      <c r="N31">
        <f>SUMPRODUCT(ProSub!$B31:$F31, ProSub!$B$56:$F$56)</f>
        <v>112643909813.5708</v>
      </c>
    </row>
    <row r="32" spans="1:14" x14ac:dyDescent="0.25">
      <c r="A32" t="s">
        <v>38</v>
      </c>
      <c r="B32">
        <f>SUMPRODUCT(ProSub!$B32:$F32, ProSub!$B$44:$F$44)</f>
        <v>38078974445046.859</v>
      </c>
      <c r="C32">
        <f>SUMPRODUCT(ProSub!$B32:$F32, ProSub!$B$45:$F$45)</f>
        <v>420563725197.99487</v>
      </c>
      <c r="D32">
        <f>SUMPRODUCT(ProSub!$B32:$F32, ProSub!$B$46:$F$46)</f>
        <v>127064431957.1796</v>
      </c>
      <c r="E32">
        <f>SUMPRODUCT(ProSub!$B32:$F32, ProSub!$B$47:$F$47)</f>
        <v>172821431051.05042</v>
      </c>
      <c r="F32">
        <f>SUMPRODUCT(ProSub!$B32:$F32, ProSub!$B$48:$F$48)</f>
        <v>246196055882.0896</v>
      </c>
      <c r="G32">
        <f>SUMPRODUCT(ProSub!$B32:$F32, ProSub!$B$49:$F$49)</f>
        <v>127992932829.26041</v>
      </c>
      <c r="H32">
        <f>SUMPRODUCT(ProSub!$B32:$F32, ProSub!$B$50:$F$50)</f>
        <v>765915499174.01404</v>
      </c>
      <c r="I32">
        <f>SUMPRODUCT(ProSub!$B32:$F32, ProSub!$B$51:$F$51)</f>
        <v>75589539036.260406</v>
      </c>
      <c r="J32">
        <f>SUMPRODUCT(ProSub!$B32:$F32, ProSub!$B$52:$F$52)</f>
        <v>270406406970.18237</v>
      </c>
      <c r="K32">
        <f>SUMPRODUCT(ProSub!$B32:$F32, ProSub!$B$53:$F$53)</f>
        <v>651161210478.63806</v>
      </c>
      <c r="L32">
        <f>SUMPRODUCT(ProSub!$B32:$F32, ProSub!$B$54:$F$54)</f>
        <v>273037738350.46439</v>
      </c>
      <c r="M32">
        <f>SUMPRODUCT(ProSub!$B32:$F32, ProSub!$B$55:$F$55)</f>
        <v>12147034941367.475</v>
      </c>
      <c r="N32">
        <f>SUMPRODUCT(ProSub!$B32:$F32, ProSub!$B$56:$F$56)</f>
        <v>120886146989.50818</v>
      </c>
    </row>
    <row r="33" spans="1:14" x14ac:dyDescent="0.25">
      <c r="A33" t="s">
        <v>39</v>
      </c>
      <c r="B33">
        <f>SUMPRODUCT(ProSub!$B33:$F33, ProSub!$B$44:$F$44)</f>
        <v>32582137221308.109</v>
      </c>
      <c r="C33">
        <f>SUMPRODUCT(ProSub!$B33:$F33, ProSub!$B$45:$F$45)</f>
        <v>359569406535.14038</v>
      </c>
      <c r="D33">
        <f>SUMPRODUCT(ProSub!$B33:$F33, ProSub!$B$46:$F$46)</f>
        <v>109650332507.90201</v>
      </c>
      <c r="E33">
        <f>SUMPRODUCT(ProSub!$B33:$F33, ProSub!$B$47:$F$47)</f>
        <v>147622780596.44421</v>
      </c>
      <c r="F33">
        <f>SUMPRODUCT(ProSub!$B33:$F33, ProSub!$B$48:$F$48)</f>
        <v>210600923245.79709</v>
      </c>
      <c r="G33">
        <f>SUMPRODUCT(ProSub!$B33:$F33, ProSub!$B$49:$F$49)</f>
        <v>109675823727.6445</v>
      </c>
      <c r="H33">
        <f>SUMPRODUCT(ProSub!$B33:$F33, ProSub!$B$50:$F$50)</f>
        <v>656616963392.71167</v>
      </c>
      <c r="I33">
        <f>SUMPRODUCT(ProSub!$B33:$F33, ProSub!$B$51:$F$51)</f>
        <v>65302227496.425705</v>
      </c>
      <c r="J33">
        <f>SUMPRODUCT(ProSub!$B33:$F33, ProSub!$B$52:$F$52)</f>
        <v>233643370225.49161</v>
      </c>
      <c r="K33">
        <f>SUMPRODUCT(ProSub!$B33:$F33, ProSub!$B$53:$F$53)</f>
        <v>557213404722.70605</v>
      </c>
      <c r="L33">
        <f>SUMPRODUCT(ProSub!$B33:$F33, ProSub!$B$54:$F$54)</f>
        <v>233572736198.61407</v>
      </c>
      <c r="M33">
        <f>SUMPRODUCT(ProSub!$B33:$F33, ProSub!$B$55:$F$55)</f>
        <v>10391476753268.457</v>
      </c>
      <c r="N33">
        <f>SUMPRODUCT(ProSub!$B33:$F33, ProSub!$B$56:$F$56)</f>
        <v>103475167371.3199</v>
      </c>
    </row>
    <row r="34" spans="1:14" x14ac:dyDescent="0.25">
      <c r="A34" t="s">
        <v>40</v>
      </c>
      <c r="B34">
        <f>SUMPRODUCT(ProSub!$B34:$F34, ProSub!$B$44:$F$44)</f>
        <v>36242249829670.898</v>
      </c>
      <c r="C34">
        <f>SUMPRODUCT(ProSub!$B34:$F34, ProSub!$B$45:$F$45)</f>
        <v>392257533124.5932</v>
      </c>
      <c r="D34">
        <f>SUMPRODUCT(ProSub!$B34:$F34, ProSub!$B$46:$F$46)</f>
        <v>121056212300.33411</v>
      </c>
      <c r="E34">
        <f>SUMPRODUCT(ProSub!$B34:$F34, ProSub!$B$47:$F$47)</f>
        <v>161111456392.48428</v>
      </c>
      <c r="F34">
        <f>SUMPRODUCT(ProSub!$B34:$F34, ProSub!$B$48:$F$48)</f>
        <v>234457494667.66318</v>
      </c>
      <c r="G34">
        <f>SUMPRODUCT(ProSub!$B34:$F34, ProSub!$B$49:$F$49)</f>
        <v>121976091451.19891</v>
      </c>
      <c r="H34">
        <f>SUMPRODUCT(ProSub!$B34:$F34, ProSub!$B$50:$F$50)</f>
        <v>729821625353.26404</v>
      </c>
      <c r="I34">
        <f>SUMPRODUCT(ProSub!$B34:$F34, ProSub!$B$51:$F$51)</f>
        <v>71817884475.240692</v>
      </c>
      <c r="J34">
        <f>SUMPRODUCT(ProSub!$B34:$F34, ProSub!$B$52:$F$52)</f>
        <v>256058754741.77829</v>
      </c>
      <c r="K34">
        <f>SUMPRODUCT(ProSub!$B34:$F34, ProSub!$B$53:$F$53)</f>
        <v>620403362041.90918</v>
      </c>
      <c r="L34">
        <f>SUMPRODUCT(ProSub!$B34:$F34, ProSub!$B$54:$F$54)</f>
        <v>259565782801.547</v>
      </c>
      <c r="M34">
        <f>SUMPRODUCT(ProSub!$B34:$F34, ProSub!$B$55:$F$55)</f>
        <v>11570409423618.502</v>
      </c>
      <c r="N34">
        <f>SUMPRODUCT(ProSub!$B34:$F34, ProSub!$B$56:$F$56)</f>
        <v>115182821766.22079</v>
      </c>
    </row>
    <row r="35" spans="1:14" x14ac:dyDescent="0.25">
      <c r="A35" t="s">
        <v>41</v>
      </c>
      <c r="B35">
        <f>SUMPRODUCT(ProSub!$B35:$F35, ProSub!$B$44:$F$44)</f>
        <v>68862727850019.297</v>
      </c>
      <c r="C35">
        <f>SUMPRODUCT(ProSub!$B35:$F35, ProSub!$B$45:$F$45)</f>
        <v>587596430405.94165</v>
      </c>
      <c r="D35">
        <f>SUMPRODUCT(ProSub!$B35:$F35, ProSub!$B$46:$F$46)</f>
        <v>189446319816.43619</v>
      </c>
      <c r="E35">
        <f>SUMPRODUCT(ProSub!$B35:$F35, ProSub!$B$47:$F$47)</f>
        <v>236480974983.59509</v>
      </c>
      <c r="F35">
        <f>SUMPRODUCT(ProSub!$B35:$F35, ProSub!$B$48:$F$48)</f>
        <v>451625863358.13348</v>
      </c>
      <c r="G35">
        <f>SUMPRODUCT(ProSub!$B35:$F35, ProSub!$B$49:$F$49)</f>
        <v>228558074639.8761</v>
      </c>
      <c r="H35">
        <f>SUMPRODUCT(ProSub!$B35:$F35, ProSub!$B$50:$F$50)</f>
        <v>1350590872134.9326</v>
      </c>
      <c r="I35">
        <f>SUMPRODUCT(ProSub!$B35:$F35, ProSub!$B$51:$F$51)</f>
        <v>103717856595.5589</v>
      </c>
      <c r="J35">
        <f>SUMPRODUCT(ProSub!$B35:$F35, ProSub!$B$52:$F$52)</f>
        <v>346037864995.65015</v>
      </c>
      <c r="K35">
        <f>SUMPRODUCT(ProSub!$B35:$F35, ProSub!$B$53:$F$53)</f>
        <v>1194170918339.8728</v>
      </c>
      <c r="L35">
        <f>SUMPRODUCT(ProSub!$B35:$F35, ProSub!$B$54:$F$54)</f>
        <v>487499441307.17255</v>
      </c>
      <c r="M35">
        <f>SUMPRODUCT(ProSub!$B35:$F35, ProSub!$B$55:$F$55)</f>
        <v>22327396643707.082</v>
      </c>
      <c r="N35">
        <f>SUMPRODUCT(ProSub!$B35:$F35, ProSub!$B$56:$F$56)</f>
        <v>220486533420.7674</v>
      </c>
    </row>
    <row r="36" spans="1:14" x14ac:dyDescent="0.25">
      <c r="A36" t="s">
        <v>42</v>
      </c>
      <c r="B36">
        <f>SUMPRODUCT(ProSub!$B36:$F36, ProSub!$B$44:$F$44)</f>
        <v>93202507463265.734</v>
      </c>
      <c r="C36">
        <f>SUMPRODUCT(ProSub!$B36:$F36, ProSub!$B$45:$F$45)</f>
        <v>543387061590.50629</v>
      </c>
      <c r="D36">
        <f>SUMPRODUCT(ProSub!$B36:$F36, ProSub!$B$46:$F$46)</f>
        <v>266549782256.1839</v>
      </c>
      <c r="E36">
        <f>SUMPRODUCT(ProSub!$B36:$F36, ProSub!$B$47:$F$47)</f>
        <v>225963141859.46027</v>
      </c>
      <c r="F36">
        <f>SUMPRODUCT(ProSub!$B36:$F36, ProSub!$B$48:$F$48)</f>
        <v>614268404879.54138</v>
      </c>
      <c r="G36">
        <f>SUMPRODUCT(ProSub!$B36:$F36, ProSub!$B$49:$F$49)</f>
        <v>314172631354.31561</v>
      </c>
      <c r="H36">
        <f>SUMPRODUCT(ProSub!$B36:$F36, ProSub!$B$50:$F$50)</f>
        <v>1856990550019.6624</v>
      </c>
      <c r="I36">
        <f>SUMPRODUCT(ProSub!$B36:$F36, ProSub!$B$51:$F$51)</f>
        <v>142172259918.23969</v>
      </c>
      <c r="J36">
        <f>SUMPRODUCT(ProSub!$B36:$F36, ProSub!$B$52:$F$52)</f>
        <v>452962387092.51208</v>
      </c>
      <c r="K36">
        <f>SUMPRODUCT(ProSub!$B36:$F36, ProSub!$B$53:$F$53)</f>
        <v>1631712221493.4189</v>
      </c>
      <c r="L36">
        <f>SUMPRODUCT(ProSub!$B36:$F36, ProSub!$B$54:$F$54)</f>
        <v>652250028022.14014</v>
      </c>
      <c r="M36">
        <f>SUMPRODUCT(ProSub!$B36:$F36, ProSub!$B$55:$F$55)</f>
        <v>30429034704548.141</v>
      </c>
      <c r="N36">
        <f>SUMPRODUCT(ProSub!$B36:$F36, ProSub!$B$56:$F$56)</f>
        <v>301657022258.59088</v>
      </c>
    </row>
    <row r="37" spans="1:14" x14ac:dyDescent="0.25">
      <c r="A37" t="s">
        <v>43</v>
      </c>
      <c r="B37">
        <f>SUMPRODUCT(ProSub!$B37:$F37, ProSub!$B$44:$F$44)</f>
        <v>248583019080880.47</v>
      </c>
      <c r="C37">
        <f>SUMPRODUCT(ProSub!$B37:$F37, ProSub!$B$45:$F$45)</f>
        <v>2293321807772.1367</v>
      </c>
      <c r="D37">
        <f>SUMPRODUCT(ProSub!$B37:$F37, ProSub!$B$46:$F$46)</f>
        <v>1116550724152.8228</v>
      </c>
      <c r="E37">
        <f>SUMPRODUCT(ProSub!$B37:$F37, ProSub!$B$47:$F$47)</f>
        <v>930092320976.26196</v>
      </c>
      <c r="F37">
        <f>SUMPRODUCT(ProSub!$B37:$F37, ProSub!$B$48:$F$48)</f>
        <v>1570152903064.6685</v>
      </c>
      <c r="G37">
        <f>SUMPRODUCT(ProSub!$B37:$F37, ProSub!$B$49:$F$49)</f>
        <v>873301412351.8385</v>
      </c>
      <c r="H37">
        <f>SUMPRODUCT(ProSub!$B37:$F37, ProSub!$B$50:$F$50)</f>
        <v>5328025967362.7891</v>
      </c>
      <c r="I37">
        <f>SUMPRODUCT(ProSub!$B37:$F37, ProSub!$B$51:$F$51)</f>
        <v>685870069208.35498</v>
      </c>
      <c r="J37">
        <f>SUMPRODUCT(ProSub!$B37:$F37, ProSub!$B$52:$F$52)</f>
        <v>2682484867920.4834</v>
      </c>
      <c r="K37">
        <f>SUMPRODUCT(ProSub!$B37:$F37, ProSub!$B$53:$F$53)</f>
        <v>4217629340240.4502</v>
      </c>
      <c r="L37">
        <f>SUMPRODUCT(ProSub!$B37:$F37, ProSub!$B$54:$F$54)</f>
        <v>2294004343069.6958</v>
      </c>
      <c r="M37">
        <f>SUMPRODUCT(ProSub!$B37:$F37, ProSub!$B$55:$F$55)</f>
        <v>77665768112088.5</v>
      </c>
      <c r="N37">
        <f>SUMPRODUCT(ProSub!$B37:$F37, ProSub!$B$56:$F$56)</f>
        <v>804826861319.44592</v>
      </c>
    </row>
    <row r="38" spans="1:14" x14ac:dyDescent="0.25">
      <c r="A38" t="s">
        <v>44</v>
      </c>
      <c r="B38">
        <f>SUMPRODUCT(ProSub!$B38:$F38, ProSub!$B$44:$F$44)</f>
        <v>277814977561821.5</v>
      </c>
      <c r="C38">
        <f>SUMPRODUCT(ProSub!$B38:$F38, ProSub!$B$45:$F$45)</f>
        <v>2504737242300.4014</v>
      </c>
      <c r="D38">
        <f>SUMPRODUCT(ProSub!$B38:$F38, ProSub!$B$46:$F$46)</f>
        <v>1303552179390.7236</v>
      </c>
      <c r="E38">
        <f>SUMPRODUCT(ProSub!$B38:$F38, ProSub!$B$47:$F$47)</f>
        <v>1037127853488.6403</v>
      </c>
      <c r="F38">
        <f>SUMPRODUCT(ProSub!$B38:$F38, ProSub!$B$48:$F$48)</f>
        <v>1750455994720.9224</v>
      </c>
      <c r="G38">
        <f>SUMPRODUCT(ProSub!$B38:$F38, ProSub!$B$49:$F$49)</f>
        <v>983721067664.74304</v>
      </c>
      <c r="H38">
        <f>SUMPRODUCT(ProSub!$B38:$F38, ProSub!$B$50:$F$50)</f>
        <v>6020488425491.085</v>
      </c>
      <c r="I38">
        <f>SUMPRODUCT(ProSub!$B38:$F38, ProSub!$B$51:$F$51)</f>
        <v>806190412801.9679</v>
      </c>
      <c r="J38">
        <f>SUMPRODUCT(ProSub!$B38:$F38, ProSub!$B$52:$F$52)</f>
        <v>3145500021492.3433</v>
      </c>
      <c r="K38">
        <f>SUMPRODUCT(ProSub!$B38:$F38, ProSub!$B$53:$F$53)</f>
        <v>4708563034202.9746</v>
      </c>
      <c r="L38">
        <f>SUMPRODUCT(ProSub!$B38:$F38, ProSub!$B$54:$F$54)</f>
        <v>2557957072891.1138</v>
      </c>
      <c r="M38">
        <f>SUMPRODUCT(ProSub!$B38:$F38, ProSub!$B$55:$F$55)</f>
        <v>86585241182222.766</v>
      </c>
      <c r="N38">
        <f>SUMPRODUCT(ProSub!$B38:$F38, ProSub!$B$56:$F$56)</f>
        <v>900093743508.84619</v>
      </c>
    </row>
    <row r="39" spans="1:14" x14ac:dyDescent="0.25">
      <c r="A39" t="s">
        <v>45</v>
      </c>
      <c r="B39">
        <f>SUMPRODUCT(ProSub!$B39:$F39, ProSub!$B$44:$F$44)</f>
        <v>46751505363265.844</v>
      </c>
      <c r="C39">
        <f>SUMPRODUCT(ProSub!$B39:$F39, ProSub!$B$45:$F$45)</f>
        <v>391046012601.8681</v>
      </c>
      <c r="D39">
        <f>SUMPRODUCT(ProSub!$B39:$F39, ProSub!$B$46:$F$46)</f>
        <v>235102359600.1387</v>
      </c>
      <c r="E39">
        <f>SUMPRODUCT(ProSub!$B39:$F39, ProSub!$B$47:$F$47)</f>
        <v>174271966424.5163</v>
      </c>
      <c r="F39">
        <f>SUMPRODUCT(ProSub!$B39:$F39, ProSub!$B$48:$F$48)</f>
        <v>297592800318.4848</v>
      </c>
      <c r="G39">
        <f>SUMPRODUCT(ProSub!$B39:$F39, ProSub!$B$49:$F$49)</f>
        <v>170100977620.27499</v>
      </c>
      <c r="H39">
        <f>SUMPRODUCT(ProSub!$B39:$F39, ProSub!$B$50:$F$50)</f>
        <v>1044348590148.5415</v>
      </c>
      <c r="I39">
        <f>SUMPRODUCT(ProSub!$B39:$F39, ProSub!$B$51:$F$51)</f>
        <v>146257211243.7915</v>
      </c>
      <c r="J39">
        <f>SUMPRODUCT(ProSub!$B39:$F39, ProSub!$B$52:$F$52)</f>
        <v>524807924021.70911</v>
      </c>
      <c r="K39">
        <f>SUMPRODUCT(ProSub!$B39:$F39, ProSub!$B$53:$F$53)</f>
        <v>801423444362.71252</v>
      </c>
      <c r="L39">
        <f>SUMPRODUCT(ProSub!$B39:$F39, ProSub!$B$54:$F$54)</f>
        <v>331592961204.12341</v>
      </c>
      <c r="M39">
        <f>SUMPRODUCT(ProSub!$B39:$F39, ProSub!$B$55:$F$55)</f>
        <v>14725133578184.959</v>
      </c>
      <c r="N39">
        <f>SUMPRODUCT(ProSub!$B39:$F39, ProSub!$B$56:$F$56)</f>
        <v>151287872853.90558</v>
      </c>
    </row>
    <row r="40" spans="1:14" x14ac:dyDescent="0.25">
      <c r="A40" t="s">
        <v>46</v>
      </c>
      <c r="B40">
        <f>SUMPRODUCT(ProSub!$B40:$F40, ProSub!$B$44:$F$44)</f>
        <v>44452251271933.547</v>
      </c>
      <c r="C40">
        <f>SUMPRODUCT(ProSub!$B40:$F40, ProSub!$B$45:$F$45)</f>
        <v>371814279493.81482</v>
      </c>
      <c r="D40">
        <f>SUMPRODUCT(ProSub!$B40:$F40, ProSub!$B$46:$F$46)</f>
        <v>223539950571.39368</v>
      </c>
      <c r="E40">
        <f>SUMPRODUCT(ProSub!$B40:$F40, ProSub!$B$47:$F$47)</f>
        <v>165701226620.18579</v>
      </c>
      <c r="F40">
        <f>SUMPRODUCT(ProSub!$B40:$F40, ProSub!$B$48:$F$48)</f>
        <v>282957089970.93781</v>
      </c>
      <c r="G40">
        <f>SUMPRODUCT(ProSub!$B40:$F40, ProSub!$B$49:$F$49)</f>
        <v>161735356495.0661</v>
      </c>
      <c r="H40">
        <f>SUMPRODUCT(ProSub!$B40:$F40, ProSub!$B$50:$F$50)</f>
        <v>992987189250.68506</v>
      </c>
      <c r="I40">
        <f>SUMPRODUCT(ProSub!$B40:$F40, ProSub!$B$51:$F$51)</f>
        <v>139064235581.68228</v>
      </c>
      <c r="J40">
        <f>SUMPRODUCT(ProSub!$B40:$F40, ProSub!$B$52:$F$52)</f>
        <v>498997709005.52185</v>
      </c>
      <c r="K40">
        <f>SUMPRODUCT(ProSub!$B40:$F40, ProSub!$B$53:$F$53)</f>
        <v>762009179406.98096</v>
      </c>
      <c r="L40">
        <f>SUMPRODUCT(ProSub!$B40:$F40, ProSub!$B$54:$F$54)</f>
        <v>315285115619.5708</v>
      </c>
      <c r="M40">
        <f>SUMPRODUCT(ProSub!$B40:$F40, ProSub!$B$55:$F$55)</f>
        <v>14000946732432.34</v>
      </c>
      <c r="N40">
        <f>SUMPRODUCT(ProSub!$B40:$F40, ProSub!$B$56:$F$56)</f>
        <v>143847486276.20767</v>
      </c>
    </row>
    <row r="41" spans="1:14" x14ac:dyDescent="0.25">
      <c r="A41" t="s">
        <v>47</v>
      </c>
      <c r="B41">
        <f>SUMPRODUCT(ProSub!$B41:$F41, ProSub!$B$44:$F$44)</f>
        <v>333151593186.67023</v>
      </c>
      <c r="C41">
        <f>SUMPRODUCT(ProSub!$B41:$F41, ProSub!$B$45:$F$45)</f>
        <v>711030219.79219997</v>
      </c>
      <c r="D41">
        <f>SUMPRODUCT(ProSub!$B41:$F41, ProSub!$B$46:$F$46)</f>
        <v>692705026.88129997</v>
      </c>
      <c r="E41">
        <f>SUMPRODUCT(ProSub!$B41:$F41, ProSub!$B$47:$F$47)</f>
        <v>387478664.92429996</v>
      </c>
      <c r="F41">
        <f>SUMPRODUCT(ProSub!$B41:$F41, ProSub!$B$48:$F$48)</f>
        <v>2231062723.5716</v>
      </c>
      <c r="G41">
        <f>SUMPRODUCT(ProSub!$B41:$F41, ProSub!$B$49:$F$49)</f>
        <v>1095533868.1748998</v>
      </c>
      <c r="H41">
        <f>SUMPRODUCT(ProSub!$B41:$F41, ProSub!$B$50:$F$50)</f>
        <v>6368164630.2565994</v>
      </c>
      <c r="I41">
        <f>SUMPRODUCT(ProSub!$B41:$F41, ProSub!$B$51:$F$51)</f>
        <v>305731376.39590001</v>
      </c>
      <c r="J41">
        <f>SUMPRODUCT(ProSub!$B41:$F41, ProSub!$B$52:$F$52)</f>
        <v>763883439.60049999</v>
      </c>
      <c r="K41">
        <f>SUMPRODUCT(ProSub!$B41:$F41, ProSub!$B$53:$F$53)</f>
        <v>5900942199.8554001</v>
      </c>
      <c r="L41">
        <f>SUMPRODUCT(ProSub!$B41:$F41, ProSub!$B$54:$F$54)</f>
        <v>2307302758.5700002</v>
      </c>
      <c r="M41">
        <f>SUMPRODUCT(ProSub!$B41:$F41, ProSub!$B$55:$F$55)</f>
        <v>110627448705.7126</v>
      </c>
      <c r="N41">
        <f>SUMPRODUCT(ProSub!$B41:$F41, ProSub!$B$56:$F$56)</f>
        <v>1082764732.1232998</v>
      </c>
    </row>
    <row r="42" spans="1:14" x14ac:dyDescent="0.25">
      <c r="A42" t="s">
        <v>48</v>
      </c>
      <c r="B42">
        <f>SUMPRODUCT(ProSub!$B42:$F42, ProSub!$B$44:$F$44)</f>
        <v>3062451697970.5869</v>
      </c>
      <c r="C42">
        <f>SUMPRODUCT(ProSub!$B42:$F42, ProSub!$B$45:$F$45)</f>
        <v>36575094788.800903</v>
      </c>
      <c r="D42">
        <f>SUMPRODUCT(ProSub!$B42:$F42, ProSub!$B$46:$F$46)</f>
        <v>6766475280.1836004</v>
      </c>
      <c r="E42">
        <f>SUMPRODUCT(ProSub!$B42:$F42, ProSub!$B$47:$F$47)</f>
        <v>11203436503.1528</v>
      </c>
      <c r="F42">
        <f>SUMPRODUCT(ProSub!$B42:$F42, ProSub!$B$48:$F$48)</f>
        <v>20269256322.300797</v>
      </c>
      <c r="G42">
        <f>SUMPRODUCT(ProSub!$B42:$F42, ProSub!$B$49:$F$49)</f>
        <v>10064366120.525902</v>
      </c>
      <c r="H42">
        <f>SUMPRODUCT(ProSub!$B42:$F42, ProSub!$B$50:$F$50)</f>
        <v>58838178291.9226</v>
      </c>
      <c r="I42">
        <f>SUMPRODUCT(ProSub!$B42:$F42, ProSub!$B$51:$F$51)</f>
        <v>3319252377.5017996</v>
      </c>
      <c r="J42">
        <f>SUMPRODUCT(ProSub!$B42:$F42, ProSub!$B$52:$F$52)</f>
        <v>10356387116.496201</v>
      </c>
      <c r="K42">
        <f>SUMPRODUCT(ProSub!$B42:$F42, ProSub!$B$53:$F$53)</f>
        <v>53801082010.893402</v>
      </c>
      <c r="L42">
        <f>SUMPRODUCT(ProSub!$B42:$F42, ProSub!$B$54:$F$54)</f>
        <v>21461272994.944401</v>
      </c>
      <c r="M42">
        <f>SUMPRODUCT(ProSub!$B42:$F42, ProSub!$B$55:$F$55)</f>
        <v>1004726191270.3315</v>
      </c>
      <c r="N42">
        <f>SUMPRODUCT(ProSub!$B42:$F42, ProSub!$B$56:$F$56)</f>
        <v>9892041160.6831989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tabSelected="1" workbookViewId="0">
      <selection activeCell="D7" sqref="D7"/>
    </sheetView>
  </sheetViews>
  <sheetFormatPr defaultRowHeight="15" x14ac:dyDescent="0.25"/>
  <cols>
    <col min="1" max="1" width="15.7109375" customWidth="1"/>
    <col min="2" max="2" width="10" style="1" bestFit="1" customWidth="1"/>
    <col min="3" max="5" width="9.28515625" style="1" bestFit="1" customWidth="1"/>
    <col min="6" max="7" width="11.5703125" style="1" customWidth="1"/>
    <col min="8" max="8" width="9.85546875" style="1" customWidth="1"/>
    <col min="9" max="9" width="11" style="1" customWidth="1"/>
    <col min="10" max="10" width="9.7109375" style="1" customWidth="1"/>
    <col min="11" max="12" width="9.28515625" style="1" bestFit="1" customWidth="1"/>
    <col min="13" max="13" width="11.7109375" style="1" customWidth="1"/>
    <col min="14" max="14" width="14.28515625" style="1" customWidth="1"/>
  </cols>
  <sheetData>
    <row r="1" spans="1:14" s="5" customFormat="1" ht="15.75" x14ac:dyDescent="0.25">
      <c r="A1" s="2" t="s">
        <v>63</v>
      </c>
      <c r="B1" s="3" t="s">
        <v>49</v>
      </c>
      <c r="C1" s="4" t="s">
        <v>51</v>
      </c>
      <c r="D1" s="3" t="s">
        <v>52</v>
      </c>
      <c r="E1" s="3" t="s">
        <v>53</v>
      </c>
      <c r="F1" s="3" t="s">
        <v>54</v>
      </c>
      <c r="G1" s="3" t="s">
        <v>55</v>
      </c>
      <c r="H1" s="3" t="s">
        <v>56</v>
      </c>
      <c r="I1" s="3" t="s">
        <v>57</v>
      </c>
      <c r="J1" s="3" t="s">
        <v>58</v>
      </c>
      <c r="K1" s="3" t="s">
        <v>59</v>
      </c>
      <c r="L1" s="3" t="s">
        <v>60</v>
      </c>
      <c r="M1" s="3" t="s">
        <v>61</v>
      </c>
      <c r="N1" s="3" t="s">
        <v>62</v>
      </c>
    </row>
    <row r="2" spans="1:14" x14ac:dyDescent="0.25">
      <c r="A2" t="s">
        <v>34</v>
      </c>
      <c r="B2" s="1">
        <f>'Dot Product'!B28/1000000</f>
        <v>144654055.53187615</v>
      </c>
      <c r="C2" s="1">
        <f>'Dot Product'!C28/1000000</f>
        <v>2551428.585360527</v>
      </c>
      <c r="D2" s="1">
        <f>'Dot Product'!D28/1000000</f>
        <v>578243.41061681055</v>
      </c>
      <c r="E2" s="1">
        <f>'Dot Product'!E28/1000000</f>
        <v>937832.58549493062</v>
      </c>
      <c r="F2" s="1">
        <f>'Dot Product'!F28/1000000</f>
        <v>911885.10646262404</v>
      </c>
      <c r="G2" s="1">
        <f>'Dot Product'!G28/1000000</f>
        <v>491014.03425151762</v>
      </c>
      <c r="H2" s="1">
        <f>'Dot Product'!H28/1000000</f>
        <v>2982946.4106184049</v>
      </c>
      <c r="I2" s="1">
        <f>'Dot Product'!I28/1000000</f>
        <v>366808.17730339686</v>
      </c>
      <c r="J2" s="1">
        <f>'Dot Product'!J28/1000000</f>
        <v>1454591.5808038374</v>
      </c>
      <c r="K2" s="1">
        <f>'Dot Product'!K28/1000000</f>
        <v>2422955.0792322494</v>
      </c>
      <c r="L2" s="1">
        <f>'Dot Product'!L28/1000000</f>
        <v>1203439.7193664834</v>
      </c>
      <c r="M2" s="1">
        <f>'Dot Product'!M28/1000000</f>
        <v>44922995.027858086</v>
      </c>
      <c r="N2" s="1">
        <f>'Dot Product'!N28/1000000</f>
        <v>456547.0950297761</v>
      </c>
    </row>
    <row r="3" spans="1:14" x14ac:dyDescent="0.25">
      <c r="A3" t="s">
        <v>44</v>
      </c>
      <c r="B3" s="1">
        <f>'Dot Product'!B38/1000000</f>
        <v>277814977.56182152</v>
      </c>
      <c r="C3" s="1">
        <f>'Dot Product'!C38/1000000</f>
        <v>2504737.2423004014</v>
      </c>
      <c r="D3" s="1">
        <f>'Dot Product'!D38/1000000</f>
        <v>1303552.1793907236</v>
      </c>
      <c r="E3" s="1">
        <f>'Dot Product'!E38/1000000</f>
        <v>1037127.8534886403</v>
      </c>
      <c r="F3" s="1">
        <f>'Dot Product'!F38/1000000</f>
        <v>1750455.9947209223</v>
      </c>
      <c r="G3" s="1">
        <f>'Dot Product'!G38/1000000</f>
        <v>983721.06766474305</v>
      </c>
      <c r="H3" s="1">
        <f>'Dot Product'!H38/1000000</f>
        <v>6020488.4254910853</v>
      </c>
      <c r="I3" s="1">
        <f>'Dot Product'!I38/1000000</f>
        <v>806190.41280196793</v>
      </c>
      <c r="J3" s="1">
        <f>'Dot Product'!J38/1000000</f>
        <v>3145500.0214923434</v>
      </c>
      <c r="K3" s="1">
        <f>'Dot Product'!K38/1000000</f>
        <v>4708563.0342029743</v>
      </c>
      <c r="L3" s="1">
        <f>'Dot Product'!L38/1000000</f>
        <v>2557957.0728911138</v>
      </c>
      <c r="M3" s="1">
        <f>'Dot Product'!M38/1000000</f>
        <v>86585241.182222769</v>
      </c>
      <c r="N3" s="1">
        <f>'Dot Product'!N38/1000000</f>
        <v>900093.74350884615</v>
      </c>
    </row>
    <row r="4" spans="1:14" x14ac:dyDescent="0.25">
      <c r="A4" t="s">
        <v>43</v>
      </c>
      <c r="B4" s="1">
        <f>'Dot Product'!B37/1000000</f>
        <v>248583019.08088046</v>
      </c>
      <c r="C4" s="1">
        <f>'Dot Product'!C37/1000000</f>
        <v>2293321.8077721368</v>
      </c>
      <c r="D4" s="1">
        <f>'Dot Product'!D37/1000000</f>
        <v>1116550.7241528227</v>
      </c>
      <c r="E4" s="1">
        <f>'Dot Product'!E37/1000000</f>
        <v>930092.32097626198</v>
      </c>
      <c r="F4" s="1">
        <f>'Dot Product'!F37/1000000</f>
        <v>1570152.9030646684</v>
      </c>
      <c r="G4" s="1">
        <f>'Dot Product'!G37/1000000</f>
        <v>873301.41235183855</v>
      </c>
      <c r="H4" s="1">
        <f>'Dot Product'!H37/1000000</f>
        <v>5328025.9673627894</v>
      </c>
      <c r="I4" s="1">
        <f>'Dot Product'!I37/1000000</f>
        <v>685870.06920835504</v>
      </c>
      <c r="J4" s="1">
        <f>'Dot Product'!J37/1000000</f>
        <v>2682484.8679204835</v>
      </c>
      <c r="K4" s="1">
        <f>'Dot Product'!K37/1000000</f>
        <v>4217629.3402404506</v>
      </c>
      <c r="L4" s="1">
        <f>'Dot Product'!L37/1000000</f>
        <v>2294004.3430696959</v>
      </c>
      <c r="M4" s="1">
        <f>'Dot Product'!M37/1000000</f>
        <v>77665768.112088501</v>
      </c>
      <c r="N4" s="1">
        <f>'Dot Product'!N37/1000000</f>
        <v>804826.86131944589</v>
      </c>
    </row>
    <row r="5" spans="1:14" x14ac:dyDescent="0.25">
      <c r="A5" t="s">
        <v>21</v>
      </c>
      <c r="B5" s="1">
        <f>'Dot Product'!B15/1000000</f>
        <v>84982908.226106748</v>
      </c>
      <c r="C5" s="1">
        <f>'Dot Product'!C15/1000000</f>
        <v>1119007.103306911</v>
      </c>
      <c r="D5" s="1">
        <f>'Dot Product'!D15/1000000</f>
        <v>266611.42653675471</v>
      </c>
      <c r="E5" s="1">
        <f>'Dot Product'!E15/1000000</f>
        <v>442670.49239228765</v>
      </c>
      <c r="F5" s="1">
        <f>'Dot Product'!F15/1000000</f>
        <v>543236.80837996223</v>
      </c>
      <c r="G5" s="1">
        <f>'Dot Product'!G15/1000000</f>
        <v>278286.23411849031</v>
      </c>
      <c r="H5" s="1">
        <f>'Dot Product'!H15/1000000</f>
        <v>1663389.7076134852</v>
      </c>
      <c r="I5" s="1">
        <f>'Dot Product'!I15/1000000</f>
        <v>160678.9677260537</v>
      </c>
      <c r="J5" s="1">
        <f>'Dot Product'!J15/1000000</f>
        <v>641049.40168205893</v>
      </c>
      <c r="K5" s="1">
        <f>'Dot Product'!K15/1000000</f>
        <v>1431899.1573968122</v>
      </c>
      <c r="L5" s="1">
        <f>'Dot Product'!L15/1000000</f>
        <v>734631.97102746402</v>
      </c>
      <c r="M5" s="1">
        <f>'Dot Product'!M15/1000000</f>
        <v>26758859.857256345</v>
      </c>
      <c r="N5" s="1">
        <f>'Dot Product'!N15/1000000</f>
        <v>268132.76961462753</v>
      </c>
    </row>
    <row r="6" spans="1:14" x14ac:dyDescent="0.25">
      <c r="A6" t="s">
        <v>36</v>
      </c>
      <c r="B6" s="1">
        <f>'Dot Product'!B30/1000000</f>
        <v>52804197.343554236</v>
      </c>
      <c r="C6" s="1">
        <f>'Dot Product'!C30/1000000</f>
        <v>821511.78664024908</v>
      </c>
      <c r="D6" s="1">
        <f>'Dot Product'!D30/1000000</f>
        <v>249272.63116424659</v>
      </c>
      <c r="E6" s="1">
        <f>'Dot Product'!E30/1000000</f>
        <v>308030.43627951504</v>
      </c>
      <c r="F6" s="1">
        <f>'Dot Product'!F30/1000000</f>
        <v>333715.95192994172</v>
      </c>
      <c r="G6" s="1">
        <f>'Dot Product'!G30/1000000</f>
        <v>187461.50503199632</v>
      </c>
      <c r="H6" s="1">
        <f>'Dot Product'!H30/1000000</f>
        <v>1149327.3350479214</v>
      </c>
      <c r="I6" s="1">
        <f>'Dot Product'!I30/1000000</f>
        <v>158402.07469096058</v>
      </c>
      <c r="J6" s="1">
        <f>'Dot Product'!J30/1000000</f>
        <v>590183.59902651887</v>
      </c>
      <c r="K6" s="1">
        <f>'Dot Product'!K30/1000000</f>
        <v>894308.72446622408</v>
      </c>
      <c r="L6" s="1">
        <f>'Dot Product'!L30/1000000</f>
        <v>380631.07385171636</v>
      </c>
      <c r="M6" s="1">
        <f>'Dot Product'!M30/1000000</f>
        <v>16474368.441543035</v>
      </c>
      <c r="N6" s="1">
        <f>'Dot Product'!N30/1000000</f>
        <v>168387.47813352285</v>
      </c>
    </row>
    <row r="7" spans="1:14" x14ac:dyDescent="0.25">
      <c r="A7" t="s">
        <v>9</v>
      </c>
      <c r="B7" s="1">
        <f>'Dot Product'!B3/1000000</f>
        <v>49601783.253342502</v>
      </c>
      <c r="C7" s="1">
        <f>'Dot Product'!C3/1000000</f>
        <v>815048.76466813707</v>
      </c>
      <c r="D7" s="1">
        <f>'Dot Product'!D3/1000000</f>
        <v>144420.55523442701</v>
      </c>
      <c r="E7" s="1">
        <f>'Dot Product'!E3/1000000</f>
        <v>320064.26739613671</v>
      </c>
      <c r="F7" s="1">
        <f>'Dot Product'!F3/1000000</f>
        <v>318605.08062016428</v>
      </c>
      <c r="G7" s="1">
        <f>'Dot Product'!G3/1000000</f>
        <v>160455.73189264</v>
      </c>
      <c r="H7" s="1">
        <f>'Dot Product'!H3/1000000</f>
        <v>956143.61706704611</v>
      </c>
      <c r="I7" s="1">
        <f>'Dot Product'!I3/1000000</f>
        <v>88820.789968683894</v>
      </c>
      <c r="J7" s="1">
        <f>'Dot Product'!J3/1000000</f>
        <v>337824.74714188697</v>
      </c>
      <c r="K7" s="1">
        <f>'Dot Product'!K3/1000000</f>
        <v>834077.17616993177</v>
      </c>
      <c r="L7" s="1">
        <f>'Dot Product'!L3/1000000</f>
        <v>363030.26848813269</v>
      </c>
      <c r="M7" s="1">
        <f>'Dot Product'!M3/1000000</f>
        <v>15659425.365670135</v>
      </c>
      <c r="N7" s="1">
        <f>'Dot Product'!N3/1000000</f>
        <v>154142.3764004659</v>
      </c>
    </row>
    <row r="8" spans="1:14" x14ac:dyDescent="0.25">
      <c r="A8" t="s">
        <v>41</v>
      </c>
      <c r="B8" s="1">
        <f>'Dot Product'!B35/1000000</f>
        <v>68862727.850019291</v>
      </c>
      <c r="C8" s="1">
        <f>'Dot Product'!C35/1000000</f>
        <v>587596.43040594168</v>
      </c>
      <c r="D8" s="1">
        <f>'Dot Product'!D35/1000000</f>
        <v>189446.31981643618</v>
      </c>
      <c r="E8" s="1">
        <f>'Dot Product'!E35/1000000</f>
        <v>236480.97498359508</v>
      </c>
      <c r="F8" s="1">
        <f>'Dot Product'!F35/1000000</f>
        <v>451625.86335813347</v>
      </c>
      <c r="G8" s="1">
        <f>'Dot Product'!G35/1000000</f>
        <v>228558.07463987611</v>
      </c>
      <c r="H8" s="1">
        <f>'Dot Product'!H35/1000000</f>
        <v>1350590.8721349325</v>
      </c>
      <c r="I8" s="1">
        <f>'Dot Product'!I35/1000000</f>
        <v>103717.8565955589</v>
      </c>
      <c r="J8" s="1">
        <f>'Dot Product'!J35/1000000</f>
        <v>346037.86499565013</v>
      </c>
      <c r="K8" s="1">
        <f>'Dot Product'!K35/1000000</f>
        <v>1194170.9183398727</v>
      </c>
      <c r="L8" s="1">
        <f>'Dot Product'!L35/1000000</f>
        <v>487499.44130717253</v>
      </c>
      <c r="M8" s="1">
        <f>'Dot Product'!M35/1000000</f>
        <v>22327396.643707082</v>
      </c>
      <c r="N8" s="1">
        <f>'Dot Product'!N35/1000000</f>
        <v>220486.5334207674</v>
      </c>
    </row>
    <row r="9" spans="1:14" x14ac:dyDescent="0.25">
      <c r="A9" t="s">
        <v>24</v>
      </c>
      <c r="B9" s="1">
        <f>'Dot Product'!B18/1000000</f>
        <v>4031337.1611340391</v>
      </c>
      <c r="C9" s="1">
        <f>'Dot Product'!C18/1000000</f>
        <v>544803.47434836859</v>
      </c>
      <c r="D9" s="1">
        <f>'Dot Product'!D18/1000000</f>
        <v>86328.058335775408</v>
      </c>
      <c r="E9" s="1">
        <f>'Dot Product'!E18/1000000</f>
        <v>246364.5670835544</v>
      </c>
      <c r="F9" s="1">
        <f>'Dot Product'!F18/1000000</f>
        <v>10304.707657756499</v>
      </c>
      <c r="G9" s="1">
        <f>'Dot Product'!G18/1000000</f>
        <v>14509.480782755301</v>
      </c>
      <c r="H9" s="1">
        <f>'Dot Product'!H18/1000000</f>
        <v>121489.74120679971</v>
      </c>
      <c r="I9" s="1">
        <f>'Dot Product'!I18/1000000</f>
        <v>73786.685896347684</v>
      </c>
      <c r="J9" s="1">
        <f>'Dot Product'!J18/1000000</f>
        <v>333681.62643588835</v>
      </c>
      <c r="K9" s="1">
        <f>'Dot Product'!K18/1000000</f>
        <v>18917.569740566098</v>
      </c>
      <c r="L9" s="1">
        <f>'Dot Product'!L18/1000000</f>
        <v>49264.24278563611</v>
      </c>
      <c r="M9" s="1">
        <f>'Dot Product'!M18/1000000</f>
        <v>348626.18727733777</v>
      </c>
      <c r="N9" s="1">
        <f>'Dot Product'!N18/1000000</f>
        <v>5579.9517190494007</v>
      </c>
    </row>
    <row r="10" spans="1:14" x14ac:dyDescent="0.25">
      <c r="A10" t="s">
        <v>42</v>
      </c>
      <c r="B10" s="1">
        <f>'Dot Product'!B36/1000000</f>
        <v>93202507.463265732</v>
      </c>
      <c r="C10" s="1">
        <f>'Dot Product'!C36/1000000</f>
        <v>543387.06159050623</v>
      </c>
      <c r="D10" s="1">
        <f>'Dot Product'!D36/1000000</f>
        <v>266549.78225618391</v>
      </c>
      <c r="E10" s="1">
        <f>'Dot Product'!E36/1000000</f>
        <v>225963.14185946027</v>
      </c>
      <c r="F10" s="1">
        <f>'Dot Product'!F36/1000000</f>
        <v>614268.40487954137</v>
      </c>
      <c r="G10" s="1">
        <f>'Dot Product'!G36/1000000</f>
        <v>314172.63135431561</v>
      </c>
      <c r="H10" s="1">
        <f>'Dot Product'!H36/1000000</f>
        <v>1856990.5500196624</v>
      </c>
      <c r="I10" s="1">
        <f>'Dot Product'!I36/1000000</f>
        <v>142172.2599182397</v>
      </c>
      <c r="J10" s="1">
        <f>'Dot Product'!J36/1000000</f>
        <v>452962.3870925121</v>
      </c>
      <c r="K10" s="1">
        <f>'Dot Product'!K36/1000000</f>
        <v>1631712.221493419</v>
      </c>
      <c r="L10" s="1">
        <f>'Dot Product'!L36/1000000</f>
        <v>652250.02802214015</v>
      </c>
      <c r="M10" s="1">
        <f>'Dot Product'!M36/1000000</f>
        <v>30429034.704548139</v>
      </c>
      <c r="N10" s="1">
        <f>'Dot Product'!N36/1000000</f>
        <v>301657.02225859091</v>
      </c>
    </row>
    <row r="11" spans="1:14" x14ac:dyDescent="0.25">
      <c r="A11" t="s">
        <v>25</v>
      </c>
      <c r="B11" s="1">
        <f>'Dot Product'!B19/1000000</f>
        <v>36760949.441618979</v>
      </c>
      <c r="C11" s="1">
        <f>'Dot Product'!C19/1000000</f>
        <v>523626.41796097346</v>
      </c>
      <c r="D11" s="1">
        <f>'Dot Product'!D19/1000000</f>
        <v>261675.38965205249</v>
      </c>
      <c r="E11" s="1">
        <f>'Dot Product'!E19/1000000</f>
        <v>197175.91426735712</v>
      </c>
      <c r="F11" s="1">
        <f>'Dot Product'!F19/1000000</f>
        <v>226361.63883271537</v>
      </c>
      <c r="G11" s="1">
        <f>'Dot Product'!G19/1000000</f>
        <v>144582.27565512407</v>
      </c>
      <c r="H11" s="1">
        <f>'Dot Product'!H19/1000000</f>
        <v>914548.16177372902</v>
      </c>
      <c r="I11" s="1">
        <f>'Dot Product'!I19/1000000</f>
        <v>170731.71708424648</v>
      </c>
      <c r="J11" s="1">
        <f>'Dot Product'!J19/1000000</f>
        <v>634004.310686677</v>
      </c>
      <c r="K11" s="1">
        <f>'Dot Product'!K19/1000000</f>
        <v>622764.18446290458</v>
      </c>
      <c r="L11" s="1">
        <f>'Dot Product'!L19/1000000</f>
        <v>262031.35742322839</v>
      </c>
      <c r="M11" s="1">
        <f>'Dot Product'!M19/1000000</f>
        <v>11217204.373021949</v>
      </c>
      <c r="N11" s="1">
        <f>'Dot Product'!N19/1000000</f>
        <v>120069.46338941739</v>
      </c>
    </row>
    <row r="12" spans="1:14" x14ac:dyDescent="0.25">
      <c r="A12" t="s">
        <v>35</v>
      </c>
      <c r="B12" s="1">
        <f>'Dot Product'!B29/1000000</f>
        <v>45121813.10604018</v>
      </c>
      <c r="C12" s="1">
        <f>'Dot Product'!C29/1000000</f>
        <v>483779.6179710846</v>
      </c>
      <c r="D12" s="1">
        <f>'Dot Product'!D29/1000000</f>
        <v>120069.72270122169</v>
      </c>
      <c r="E12" s="1">
        <f>'Dot Product'!E29/1000000</f>
        <v>199090.98948852738</v>
      </c>
      <c r="F12" s="1">
        <f>'Dot Product'!F29/1000000</f>
        <v>294262.02639959776</v>
      </c>
      <c r="G12" s="1">
        <f>'Dot Product'!G29/1000000</f>
        <v>147200.41416708569</v>
      </c>
      <c r="H12" s="1">
        <f>'Dot Product'!H29/1000000</f>
        <v>869987.50764696242</v>
      </c>
      <c r="I12" s="1">
        <f>'Dot Product'!I29/1000000</f>
        <v>67999.812395357891</v>
      </c>
      <c r="J12" s="1">
        <f>'Dot Product'!J29/1000000</f>
        <v>238021.79599062525</v>
      </c>
      <c r="K12" s="1">
        <f>'Dot Product'!K29/1000000</f>
        <v>773486.49739350157</v>
      </c>
      <c r="L12" s="1">
        <f>'Dot Product'!L29/1000000</f>
        <v>323647.4594158578</v>
      </c>
      <c r="M12" s="1">
        <f>'Dot Product'!M29/1000000</f>
        <v>14511004.426371932</v>
      </c>
      <c r="N12" s="1">
        <f>'Dot Product'!N29/1000000</f>
        <v>142628.57020961275</v>
      </c>
    </row>
    <row r="13" spans="1:14" x14ac:dyDescent="0.25">
      <c r="A13" t="s">
        <v>12</v>
      </c>
      <c r="B13" s="1">
        <f>'Dot Product'!B6/1000000</f>
        <v>25532850.630383909</v>
      </c>
      <c r="C13" s="1">
        <f>'Dot Product'!C6/1000000</f>
        <v>468053.40018516872</v>
      </c>
      <c r="D13" s="1">
        <f>'Dot Product'!D6/1000000</f>
        <v>111612.45763842299</v>
      </c>
      <c r="E13" s="1">
        <f>'Dot Product'!E6/1000000</f>
        <v>185620.7723437307</v>
      </c>
      <c r="F13" s="1">
        <f>'Dot Product'!F6/1000000</f>
        <v>160286.14791632377</v>
      </c>
      <c r="G13" s="1">
        <f>'Dot Product'!G6/1000000</f>
        <v>87433.912478546714</v>
      </c>
      <c r="H13" s="1">
        <f>'Dot Product'!H6/1000000</f>
        <v>534973.88910237968</v>
      </c>
      <c r="I13" s="1">
        <f>'Dot Product'!I6/1000000</f>
        <v>72996.303014699981</v>
      </c>
      <c r="J13" s="1">
        <f>'Dot Product'!J6/1000000</f>
        <v>281553.96481700998</v>
      </c>
      <c r="K13" s="1">
        <f>'Dot Product'!K6/1000000</f>
        <v>424131.10671605478</v>
      </c>
      <c r="L13" s="1">
        <f>'Dot Product'!L6/1000000</f>
        <v>188056.3281570882</v>
      </c>
      <c r="M13" s="1">
        <f>'Dot Product'!M6/1000000</f>
        <v>7875273.608313269</v>
      </c>
      <c r="N13" s="1">
        <f>'Dot Product'!N6/1000000</f>
        <v>79544.177643101895</v>
      </c>
    </row>
    <row r="14" spans="1:14" x14ac:dyDescent="0.25">
      <c r="A14" t="s">
        <v>16</v>
      </c>
      <c r="B14" s="1">
        <f>'Dot Product'!B10/1000000</f>
        <v>33333778.447335549</v>
      </c>
      <c r="C14" s="1">
        <f>'Dot Product'!C10/1000000</f>
        <v>465999.50118452299</v>
      </c>
      <c r="D14" s="1">
        <f>'Dot Product'!D10/1000000</f>
        <v>95032.106489294893</v>
      </c>
      <c r="E14" s="1">
        <f>'Dot Product'!E10/1000000</f>
        <v>190293.00535163519</v>
      </c>
      <c r="F14" s="1">
        <f>'Dot Product'!F10/1000000</f>
        <v>215103.36266559642</v>
      </c>
      <c r="G14" s="1">
        <f>'Dot Product'!G10/1000000</f>
        <v>108065.34544092679</v>
      </c>
      <c r="H14" s="1">
        <f>'Dot Product'!H10/1000000</f>
        <v>642480.42684726883</v>
      </c>
      <c r="I14" s="1">
        <f>'Dot Product'!I10/1000000</f>
        <v>57208.269126111496</v>
      </c>
      <c r="J14" s="1">
        <f>'Dot Product'!J10/1000000</f>
        <v>212472.23755244873</v>
      </c>
      <c r="K14" s="1">
        <f>'Dot Product'!K10/1000000</f>
        <v>563373.53658894682</v>
      </c>
      <c r="L14" s="1">
        <f>'Dot Product'!L10/1000000</f>
        <v>242606.47588174723</v>
      </c>
      <c r="M14" s="1">
        <f>'Dot Product'!M10/1000000</f>
        <v>10580282.542407557</v>
      </c>
      <c r="N14" s="1">
        <f>'Dot Product'!N10/1000000</f>
        <v>104045.6038618118</v>
      </c>
    </row>
    <row r="15" spans="1:14" x14ac:dyDescent="0.25">
      <c r="A15" t="s">
        <v>38</v>
      </c>
      <c r="B15" s="1">
        <f>'Dot Product'!B32/1000000</f>
        <v>38078974.445046857</v>
      </c>
      <c r="C15" s="1">
        <f>'Dot Product'!C32/1000000</f>
        <v>420563.72519799485</v>
      </c>
      <c r="D15" s="1">
        <f>'Dot Product'!D32/1000000</f>
        <v>127064.43195717959</v>
      </c>
      <c r="E15" s="1">
        <f>'Dot Product'!E32/1000000</f>
        <v>172821.43105105043</v>
      </c>
      <c r="F15" s="1">
        <f>'Dot Product'!F32/1000000</f>
        <v>246196.0558820896</v>
      </c>
      <c r="G15" s="1">
        <f>'Dot Product'!G32/1000000</f>
        <v>127992.9328292604</v>
      </c>
      <c r="H15" s="1">
        <f>'Dot Product'!H32/1000000</f>
        <v>765915.49917401408</v>
      </c>
      <c r="I15" s="1">
        <f>'Dot Product'!I32/1000000</f>
        <v>75589.539036260408</v>
      </c>
      <c r="J15" s="1">
        <f>'Dot Product'!J32/1000000</f>
        <v>270406.40697018238</v>
      </c>
      <c r="K15" s="1">
        <f>'Dot Product'!K32/1000000</f>
        <v>651161.21047863807</v>
      </c>
      <c r="L15" s="1">
        <f>'Dot Product'!L32/1000000</f>
        <v>273037.73835046438</v>
      </c>
      <c r="M15" s="1">
        <f>'Dot Product'!M32/1000000</f>
        <v>12147034.941367475</v>
      </c>
      <c r="N15" s="1">
        <f>'Dot Product'!N32/1000000</f>
        <v>120886.14698950818</v>
      </c>
    </row>
    <row r="16" spans="1:14" x14ac:dyDescent="0.25">
      <c r="A16" t="s">
        <v>19</v>
      </c>
      <c r="B16" s="1">
        <f>'Dot Product'!B13/1000000</f>
        <v>27877770.485422589</v>
      </c>
      <c r="C16" s="1">
        <f>'Dot Product'!C13/1000000</f>
        <v>396106.89976193872</v>
      </c>
      <c r="D16" s="1">
        <f>'Dot Product'!D13/1000000</f>
        <v>89338.078817625181</v>
      </c>
      <c r="E16" s="1">
        <f>'Dot Product'!E13/1000000</f>
        <v>163134.30280627639</v>
      </c>
      <c r="F16" s="1">
        <f>'Dot Product'!F13/1000000</f>
        <v>178949.68296301839</v>
      </c>
      <c r="G16" s="1">
        <f>'Dot Product'!G13/1000000</f>
        <v>91662.111429203593</v>
      </c>
      <c r="H16" s="1">
        <f>'Dot Product'!H13/1000000</f>
        <v>548633.80272747728</v>
      </c>
      <c r="I16" s="1">
        <f>'Dot Product'!I13/1000000</f>
        <v>55023.065385477195</v>
      </c>
      <c r="J16" s="1">
        <f>'Dot Product'!J13/1000000</f>
        <v>205767.6734710008</v>
      </c>
      <c r="K16" s="1">
        <f>'Dot Product'!K13/1000000</f>
        <v>469830.3797237252</v>
      </c>
      <c r="L16" s="1">
        <f>'Dot Product'!L13/1000000</f>
        <v>203173.44573105397</v>
      </c>
      <c r="M16" s="1">
        <f>'Dot Product'!M13/1000000</f>
        <v>8801221.0334274452</v>
      </c>
      <c r="N16" s="1">
        <f>'Dot Product'!N13/1000000</f>
        <v>87074.916196001403</v>
      </c>
    </row>
    <row r="17" spans="1:14" x14ac:dyDescent="0.25">
      <c r="A17" t="s">
        <v>40</v>
      </c>
      <c r="B17" s="1">
        <f>'Dot Product'!B34/1000000</f>
        <v>36242249.829670899</v>
      </c>
      <c r="C17" s="1">
        <f>'Dot Product'!C34/1000000</f>
        <v>392257.5331245932</v>
      </c>
      <c r="D17" s="1">
        <f>'Dot Product'!D34/1000000</f>
        <v>121056.21230033411</v>
      </c>
      <c r="E17" s="1">
        <f>'Dot Product'!E34/1000000</f>
        <v>161111.45639248428</v>
      </c>
      <c r="F17" s="1">
        <f>'Dot Product'!F34/1000000</f>
        <v>234457.49466766318</v>
      </c>
      <c r="G17" s="1">
        <f>'Dot Product'!G34/1000000</f>
        <v>121976.09145119891</v>
      </c>
      <c r="H17" s="1">
        <f>'Dot Product'!H34/1000000</f>
        <v>729821.62535326404</v>
      </c>
      <c r="I17" s="1">
        <f>'Dot Product'!I34/1000000</f>
        <v>71817.884475240688</v>
      </c>
      <c r="J17" s="1">
        <f>'Dot Product'!J34/1000000</f>
        <v>256058.75474177828</v>
      </c>
      <c r="K17" s="1">
        <f>'Dot Product'!K34/1000000</f>
        <v>620403.36204190913</v>
      </c>
      <c r="L17" s="1">
        <f>'Dot Product'!L34/1000000</f>
        <v>259565.782801547</v>
      </c>
      <c r="M17" s="1">
        <f>'Dot Product'!M34/1000000</f>
        <v>11570409.423618501</v>
      </c>
      <c r="N17" s="1">
        <f>'Dot Product'!N34/1000000</f>
        <v>115182.82176622079</v>
      </c>
    </row>
    <row r="18" spans="1:14" x14ac:dyDescent="0.25">
      <c r="A18" t="s">
        <v>37</v>
      </c>
      <c r="B18" s="1">
        <f>'Dot Product'!B31/1000000</f>
        <v>35482680.650252946</v>
      </c>
      <c r="C18" s="1">
        <f>'Dot Product'!C31/1000000</f>
        <v>391888.9082826128</v>
      </c>
      <c r="D18" s="1">
        <f>'Dot Product'!D31/1000000</f>
        <v>118400.9459561449</v>
      </c>
      <c r="E18" s="1">
        <f>'Dot Product'!E31/1000000</f>
        <v>161038.14219778264</v>
      </c>
      <c r="F18" s="1">
        <f>'Dot Product'!F31/1000000</f>
        <v>229409.96105766558</v>
      </c>
      <c r="G18" s="1">
        <f>'Dot Product'!G31/1000000</f>
        <v>119266.14180035969</v>
      </c>
      <c r="H18" s="1">
        <f>'Dot Product'!H31/1000000</f>
        <v>713693.98600339517</v>
      </c>
      <c r="I18" s="1">
        <f>'Dot Product'!I31/1000000</f>
        <v>70435.70482436991</v>
      </c>
      <c r="J18" s="1">
        <f>'Dot Product'!J31/1000000</f>
        <v>251969.59801375709</v>
      </c>
      <c r="K18" s="1">
        <f>'Dot Product'!K31/1000000</f>
        <v>606763.85567473958</v>
      </c>
      <c r="L18" s="1">
        <f>'Dot Product'!L31/1000000</f>
        <v>254421.53057698379</v>
      </c>
      <c r="M18" s="1">
        <f>'Dot Product'!M31/1000000</f>
        <v>11318828.016228946</v>
      </c>
      <c r="N18" s="1">
        <f>'Dot Product'!N31/1000000</f>
        <v>112643.9098135708</v>
      </c>
    </row>
    <row r="19" spans="1:14" x14ac:dyDescent="0.25">
      <c r="A19" t="s">
        <v>45</v>
      </c>
      <c r="B19" s="1">
        <f>'Dot Product'!B39/1000000</f>
        <v>46751505.363265842</v>
      </c>
      <c r="C19" s="1">
        <f>'Dot Product'!C39/1000000</f>
        <v>391046.01260186807</v>
      </c>
      <c r="D19" s="1">
        <f>'Dot Product'!D39/1000000</f>
        <v>235102.3596001387</v>
      </c>
      <c r="E19" s="1">
        <f>'Dot Product'!E39/1000000</f>
        <v>174271.96642451629</v>
      </c>
      <c r="F19" s="1">
        <f>'Dot Product'!F39/1000000</f>
        <v>297592.80031848478</v>
      </c>
      <c r="G19" s="1">
        <f>'Dot Product'!G39/1000000</f>
        <v>170100.97762027499</v>
      </c>
      <c r="H19" s="1">
        <f>'Dot Product'!H39/1000000</f>
        <v>1044348.5901485415</v>
      </c>
      <c r="I19" s="1">
        <f>'Dot Product'!I39/1000000</f>
        <v>146257.21124379151</v>
      </c>
      <c r="J19" s="1">
        <f>'Dot Product'!J39/1000000</f>
        <v>524807.92402170913</v>
      </c>
      <c r="K19" s="1">
        <f>'Dot Product'!K39/1000000</f>
        <v>801423.44436271256</v>
      </c>
      <c r="L19" s="1">
        <f>'Dot Product'!L39/1000000</f>
        <v>331592.96120412339</v>
      </c>
      <c r="M19" s="1">
        <f>'Dot Product'!M39/1000000</f>
        <v>14725133.578184959</v>
      </c>
      <c r="N19" s="1">
        <f>'Dot Product'!N39/1000000</f>
        <v>151287.87285390557</v>
      </c>
    </row>
    <row r="20" spans="1:14" x14ac:dyDescent="0.25">
      <c r="A20" t="s">
        <v>20</v>
      </c>
      <c r="B20" s="1">
        <f>'Dot Product'!B14/1000000</f>
        <v>26488962.825718142</v>
      </c>
      <c r="C20" s="1">
        <f>'Dot Product'!C14/1000000</f>
        <v>372627.55719431024</v>
      </c>
      <c r="D20" s="1">
        <f>'Dot Product'!D14/1000000</f>
        <v>84372.306387594406</v>
      </c>
      <c r="E20" s="1">
        <f>'Dot Product'!E14/1000000</f>
        <v>150996.01710896881</v>
      </c>
      <c r="F20" s="1">
        <f>'Dot Product'!F14/1000000</f>
        <v>170305.56415230449</v>
      </c>
      <c r="G20" s="1">
        <f>'Dot Product'!G14/1000000</f>
        <v>87301.081758104105</v>
      </c>
      <c r="H20" s="1">
        <f>'Dot Product'!H14/1000000</f>
        <v>522146.9148713912</v>
      </c>
      <c r="I20" s="1">
        <f>'Dot Product'!I14/1000000</f>
        <v>51555.048846748301</v>
      </c>
      <c r="J20" s="1">
        <f>'Dot Product'!J14/1000000</f>
        <v>191570.20933841637</v>
      </c>
      <c r="K20" s="1">
        <f>'Dot Product'!K14/1000000</f>
        <v>447729.1664162415</v>
      </c>
      <c r="L20" s="1">
        <f>'Dot Product'!L14/1000000</f>
        <v>192500.63535604431</v>
      </c>
      <c r="M20" s="1">
        <f>'Dot Product'!M14/1000000</f>
        <v>8381397.1025681198</v>
      </c>
      <c r="N20" s="1">
        <f>'Dot Product'!N14/1000000</f>
        <v>82973.654330395089</v>
      </c>
    </row>
    <row r="21" spans="1:14" x14ac:dyDescent="0.25">
      <c r="A21" t="s">
        <v>46</v>
      </c>
      <c r="B21" s="1">
        <f>'Dot Product'!B40/1000000</f>
        <v>44452251.271933548</v>
      </c>
      <c r="C21" s="1">
        <f>'Dot Product'!C40/1000000</f>
        <v>371814.2794938148</v>
      </c>
      <c r="D21" s="1">
        <f>'Dot Product'!D40/1000000</f>
        <v>223539.95057139368</v>
      </c>
      <c r="E21" s="1">
        <f>'Dot Product'!E40/1000000</f>
        <v>165701.2266201858</v>
      </c>
      <c r="F21" s="1">
        <f>'Dot Product'!F40/1000000</f>
        <v>282957.08997093781</v>
      </c>
      <c r="G21" s="1">
        <f>'Dot Product'!G40/1000000</f>
        <v>161735.35649506611</v>
      </c>
      <c r="H21" s="1">
        <f>'Dot Product'!H40/1000000</f>
        <v>992987.18925068504</v>
      </c>
      <c r="I21" s="1">
        <f>'Dot Product'!I40/1000000</f>
        <v>139064.23558168227</v>
      </c>
      <c r="J21" s="1">
        <f>'Dot Product'!J40/1000000</f>
        <v>498997.70900552184</v>
      </c>
      <c r="K21" s="1">
        <f>'Dot Product'!K40/1000000</f>
        <v>762009.17940698098</v>
      </c>
      <c r="L21" s="1">
        <f>'Dot Product'!L40/1000000</f>
        <v>315285.11561957077</v>
      </c>
      <c r="M21" s="1">
        <f>'Dot Product'!M40/1000000</f>
        <v>14000946.732432339</v>
      </c>
      <c r="N21" s="1">
        <f>'Dot Product'!N40/1000000</f>
        <v>143847.48627620767</v>
      </c>
    </row>
    <row r="22" spans="1:14" x14ac:dyDescent="0.25">
      <c r="A22" t="s">
        <v>10</v>
      </c>
      <c r="B22" s="1">
        <f>'Dot Product'!B4/1000000</f>
        <v>22094708.905858435</v>
      </c>
      <c r="C22" s="1">
        <f>'Dot Product'!C4/1000000</f>
        <v>361015.8412624881</v>
      </c>
      <c r="D22" s="1">
        <f>'Dot Product'!D4/1000000</f>
        <v>77336.011072685302</v>
      </c>
      <c r="E22" s="1">
        <f>'Dot Product'!E4/1000000</f>
        <v>145880.00072428398</v>
      </c>
      <c r="F22" s="1">
        <f>'Dot Product'!F4/1000000</f>
        <v>140697.49790129709</v>
      </c>
      <c r="G22" s="1">
        <f>'Dot Product'!G4/1000000</f>
        <v>73127.40415950591</v>
      </c>
      <c r="H22" s="1">
        <f>'Dot Product'!H4/1000000</f>
        <v>440557.08845718752</v>
      </c>
      <c r="I22" s="1">
        <f>'Dot Product'!I4/1000000</f>
        <v>49030.527407395995</v>
      </c>
      <c r="J22" s="1">
        <f>'Dot Product'!J4/1000000</f>
        <v>187245.37245553409</v>
      </c>
      <c r="K22" s="1">
        <f>'Dot Product'!K4/1000000</f>
        <v>369640.02659547108</v>
      </c>
      <c r="L22" s="1">
        <f>'Dot Product'!L4/1000000</f>
        <v>162105.79611137588</v>
      </c>
      <c r="M22" s="1">
        <f>'Dot Product'!M4/1000000</f>
        <v>6913148.4121953314</v>
      </c>
      <c r="N22" s="1">
        <f>'Dot Product'!N4/1000000</f>
        <v>68708.571937932604</v>
      </c>
    </row>
    <row r="23" spans="1:14" x14ac:dyDescent="0.25">
      <c r="A23" t="s">
        <v>39</v>
      </c>
      <c r="B23" s="1">
        <f>'Dot Product'!B33/1000000</f>
        <v>32582137.221308108</v>
      </c>
      <c r="C23" s="1">
        <f>'Dot Product'!C33/1000000</f>
        <v>359569.40653514036</v>
      </c>
      <c r="D23" s="1">
        <f>'Dot Product'!D33/1000000</f>
        <v>109650.33250790201</v>
      </c>
      <c r="E23" s="1">
        <f>'Dot Product'!E33/1000000</f>
        <v>147622.78059644421</v>
      </c>
      <c r="F23" s="1">
        <f>'Dot Product'!F33/1000000</f>
        <v>210600.92324579708</v>
      </c>
      <c r="G23" s="1">
        <f>'Dot Product'!G33/1000000</f>
        <v>109675.8237276445</v>
      </c>
      <c r="H23" s="1">
        <f>'Dot Product'!H33/1000000</f>
        <v>656616.96339271171</v>
      </c>
      <c r="I23" s="1">
        <f>'Dot Product'!I33/1000000</f>
        <v>65302.227496425709</v>
      </c>
      <c r="J23" s="1">
        <f>'Dot Product'!J33/1000000</f>
        <v>233643.37022549161</v>
      </c>
      <c r="K23" s="1">
        <f>'Dot Product'!K33/1000000</f>
        <v>557213.40472270607</v>
      </c>
      <c r="L23" s="1">
        <f>'Dot Product'!L33/1000000</f>
        <v>233572.73619861406</v>
      </c>
      <c r="M23" s="1">
        <f>'Dot Product'!M33/1000000</f>
        <v>10391476.753268458</v>
      </c>
      <c r="N23" s="1">
        <f>'Dot Product'!N33/1000000</f>
        <v>103475.1673713199</v>
      </c>
    </row>
    <row r="24" spans="1:14" x14ac:dyDescent="0.25">
      <c r="A24" t="s">
        <v>11</v>
      </c>
      <c r="B24" s="1">
        <f>'Dot Product'!B5/1000000</f>
        <v>22921620.160770878</v>
      </c>
      <c r="C24" s="1">
        <f>'Dot Product'!C5/1000000</f>
        <v>339943.24645346956</v>
      </c>
      <c r="D24" s="1">
        <f>'Dot Product'!D5/1000000</f>
        <v>66229.983486972196</v>
      </c>
      <c r="E24" s="1">
        <f>'Dot Product'!E5/1000000</f>
        <v>137547.6476283193</v>
      </c>
      <c r="F24" s="1">
        <f>'Dot Product'!F5/1000000</f>
        <v>147594.482714332</v>
      </c>
      <c r="G24" s="1">
        <f>'Dot Product'!G5/1000000</f>
        <v>74245.154435638498</v>
      </c>
      <c r="H24" s="1">
        <f>'Dot Product'!H5/1000000</f>
        <v>441944.94339782262</v>
      </c>
      <c r="I24" s="1">
        <f>'Dot Product'!I5/1000000</f>
        <v>40295.335240830202</v>
      </c>
      <c r="J24" s="1">
        <f>'Dot Product'!J5/1000000</f>
        <v>151210.57297441841</v>
      </c>
      <c r="K24" s="1">
        <f>'Dot Product'!K5/1000000</f>
        <v>386392.06237112905</v>
      </c>
      <c r="L24" s="1">
        <f>'Dot Product'!L5/1000000</f>
        <v>167277.0251474992</v>
      </c>
      <c r="M24" s="1">
        <f>'Dot Product'!M5/1000000</f>
        <v>7256597.9789289376</v>
      </c>
      <c r="N24" s="1">
        <f>'Dot Product'!N5/1000000</f>
        <v>71385.915696931901</v>
      </c>
    </row>
    <row r="25" spans="1:14" x14ac:dyDescent="0.25">
      <c r="A25" t="s">
        <v>15</v>
      </c>
      <c r="B25" s="1">
        <f>'Dot Product'!B9/1000000</f>
        <v>23899690.4414641</v>
      </c>
      <c r="C25" s="1">
        <f>'Dot Product'!C9/1000000</f>
        <v>334112.85560904432</v>
      </c>
      <c r="D25" s="1">
        <f>'Dot Product'!D9/1000000</f>
        <v>68136.227110687309</v>
      </c>
      <c r="E25" s="1">
        <f>'Dot Product'!E9/1000000</f>
        <v>136436.50099807631</v>
      </c>
      <c r="F25" s="1">
        <f>'Dot Product'!F9/1000000</f>
        <v>154225.05388174538</v>
      </c>
      <c r="G25" s="1">
        <f>'Dot Product'!G9/1000000</f>
        <v>77480.814014111995</v>
      </c>
      <c r="H25" s="1">
        <f>'Dot Product'!H9/1000000</f>
        <v>460646.34548053722</v>
      </c>
      <c r="I25" s="1">
        <f>'Dot Product'!I9/1000000</f>
        <v>41017.249870485502</v>
      </c>
      <c r="J25" s="1">
        <f>'Dot Product'!J9/1000000</f>
        <v>152338.58662992012</v>
      </c>
      <c r="K25" s="1">
        <f>'Dot Product'!K9/1000000</f>
        <v>403928.19854353159</v>
      </c>
      <c r="L25" s="1">
        <f>'Dot Product'!L9/1000000</f>
        <v>173944.2647208024</v>
      </c>
      <c r="M25" s="1">
        <f>'Dot Product'!M9/1000000</f>
        <v>7585863.0158816893</v>
      </c>
      <c r="N25" s="1">
        <f>'Dot Product'!N9/1000000</f>
        <v>74598.735177142793</v>
      </c>
    </row>
    <row r="26" spans="1:14" x14ac:dyDescent="0.25">
      <c r="A26" t="s">
        <v>17</v>
      </c>
      <c r="B26" s="1">
        <f>'Dot Product'!B11/1000000</f>
        <v>20430380.319427609</v>
      </c>
      <c r="C26" s="1">
        <f>'Dot Product'!C11/1000000</f>
        <v>285612.59945154964</v>
      </c>
      <c r="D26" s="1">
        <f>'Dot Product'!D11/1000000</f>
        <v>58245.484258216304</v>
      </c>
      <c r="E26" s="1">
        <f>'Dot Product'!E11/1000000</f>
        <v>116631.20080304878</v>
      </c>
      <c r="F26" s="1">
        <f>'Dot Product'!F11/1000000</f>
        <v>131837.54433498858</v>
      </c>
      <c r="G26" s="1">
        <f>'Dot Product'!G11/1000000</f>
        <v>66233.598281424696</v>
      </c>
      <c r="H26" s="1">
        <f>'Dot Product'!H11/1000000</f>
        <v>393778.32310185663</v>
      </c>
      <c r="I26" s="1">
        <f>'Dot Product'!I11/1000000</f>
        <v>35063.1328860953</v>
      </c>
      <c r="J26" s="1">
        <f>'Dot Product'!J11/1000000</f>
        <v>130224.92355602649</v>
      </c>
      <c r="K26" s="1">
        <f>'Dot Product'!K11/1000000</f>
        <v>345293.45567791181</v>
      </c>
      <c r="L26" s="1">
        <f>'Dot Product'!L11/1000000</f>
        <v>148694.29595353801</v>
      </c>
      <c r="M26" s="1">
        <f>'Dot Product'!M11/1000000</f>
        <v>6484689.2674937574</v>
      </c>
      <c r="N26" s="1">
        <f>'Dot Product'!N11/1000000</f>
        <v>63769.885889633297</v>
      </c>
    </row>
    <row r="27" spans="1:14" x14ac:dyDescent="0.25">
      <c r="A27" t="s">
        <v>31</v>
      </c>
      <c r="B27" s="1">
        <f>'Dot Product'!B25/1000000</f>
        <v>2003584.6771772555</v>
      </c>
      <c r="C27" s="1">
        <f>'Dot Product'!C25/1000000</f>
        <v>271059.79466707917</v>
      </c>
      <c r="D27" s="1">
        <f>'Dot Product'!D25/1000000</f>
        <v>23909.334175293297</v>
      </c>
      <c r="E27" s="1">
        <f>'Dot Product'!E25/1000000</f>
        <v>132528.6020008997</v>
      </c>
      <c r="F27" s="1">
        <f>'Dot Product'!F25/1000000</f>
        <v>5875.6673038107001</v>
      </c>
      <c r="G27" s="1">
        <f>'Dot Product'!G25/1000000</f>
        <v>3393.6894881812</v>
      </c>
      <c r="H27" s="1">
        <f>'Dot Product'!H25/1000000</f>
        <v>31489.4670169239</v>
      </c>
      <c r="I27" s="1">
        <f>'Dot Product'!I25/1000000</f>
        <v>24556.076555087599</v>
      </c>
      <c r="J27" s="1">
        <f>'Dot Product'!J25/1000000</f>
        <v>123737.61007786928</v>
      </c>
      <c r="K27" s="1">
        <f>'Dot Product'!K25/1000000</f>
        <v>5898.8211413403005</v>
      </c>
      <c r="L27" s="1">
        <f>'Dot Product'!L25/1000000</f>
        <v>26578.498938455305</v>
      </c>
      <c r="M27" s="1">
        <f>'Dot Product'!M25/1000000</f>
        <v>185750.0415946439</v>
      </c>
      <c r="N27" s="1">
        <f>'Dot Product'!N25/1000000</f>
        <v>1479.6424104341997</v>
      </c>
    </row>
    <row r="28" spans="1:14" x14ac:dyDescent="0.25">
      <c r="A28" t="s">
        <v>13</v>
      </c>
      <c r="B28" s="1">
        <f>'Dot Product'!B7/1000000</f>
        <v>18095479.616984211</v>
      </c>
      <c r="C28" s="1">
        <f>'Dot Product'!C7/1000000</f>
        <v>252971.15381787714</v>
      </c>
      <c r="D28" s="1">
        <f>'Dot Product'!D7/1000000</f>
        <v>51588.857085605698</v>
      </c>
      <c r="E28" s="1">
        <f>'Dot Product'!E7/1000000</f>
        <v>103301.91744475641</v>
      </c>
      <c r="F28" s="1">
        <f>'Dot Product'!F7/1000000</f>
        <v>116770.3967688194</v>
      </c>
      <c r="G28" s="1">
        <f>'Dot Product'!G7/1000000</f>
        <v>58664.044521994401</v>
      </c>
      <c r="H28" s="1">
        <f>'Dot Product'!H7/1000000</f>
        <v>348775.08766371378</v>
      </c>
      <c r="I28" s="1">
        <f>'Dot Product'!I7/1000000</f>
        <v>31055.917057094102</v>
      </c>
      <c r="J28" s="1">
        <f>'Dot Product'!J7/1000000</f>
        <v>115342.06372372911</v>
      </c>
      <c r="K28" s="1">
        <f>'Dot Product'!K7/1000000</f>
        <v>305831.34778111422</v>
      </c>
      <c r="L28" s="1">
        <f>'Dot Product'!L7/1000000</f>
        <v>131700.64299704941</v>
      </c>
      <c r="M28" s="1">
        <f>'Dot Product'!M7/1000000</f>
        <v>5743581.9454670176</v>
      </c>
      <c r="N28" s="1">
        <f>'Dot Product'!N7/1000000</f>
        <v>56481.898755417002</v>
      </c>
    </row>
    <row r="29" spans="1:14" x14ac:dyDescent="0.25">
      <c r="A29" t="s">
        <v>29</v>
      </c>
      <c r="B29" s="1">
        <f>'Dot Product'!B23/1000000</f>
        <v>1396119.1923430858</v>
      </c>
      <c r="C29" s="1">
        <f>'Dot Product'!C23/1000000</f>
        <v>200137.31352099404</v>
      </c>
      <c r="D29" s="1">
        <f>'Dot Product'!D23/1000000</f>
        <v>7508.6709586062007</v>
      </c>
      <c r="E29" s="1">
        <f>'Dot Product'!E23/1000000</f>
        <v>99541.859558241704</v>
      </c>
      <c r="F29" s="1">
        <f>'Dot Product'!F23/1000000</f>
        <v>4413.1995567634003</v>
      </c>
      <c r="G29" s="1">
        <f>'Dot Product'!G23/1000000</f>
        <v>545.11166010499994</v>
      </c>
      <c r="H29" s="1">
        <f>'Dot Product'!H23/1000000</f>
        <v>8184.3164174254007</v>
      </c>
      <c r="I29" s="1">
        <f>'Dot Product'!I23/1000000</f>
        <v>11304.6758213878</v>
      </c>
      <c r="J29" s="1">
        <f>'Dot Product'!J23/1000000</f>
        <v>66413.282952055</v>
      </c>
      <c r="K29" s="1">
        <f>'Dot Product'!K23/1000000</f>
        <v>2462.1783277537997</v>
      </c>
      <c r="L29" s="1">
        <f>'Dot Product'!L23/1000000</f>
        <v>19539.926744287008</v>
      </c>
      <c r="M29" s="1">
        <f>'Dot Product'!M23/1000000</f>
        <v>133928.74112870311</v>
      </c>
      <c r="N29" s="1">
        <f>'Dot Product'!N23/1000000</f>
        <v>420.15365319069997</v>
      </c>
    </row>
    <row r="30" spans="1:14" x14ac:dyDescent="0.25">
      <c r="A30" t="s">
        <v>14</v>
      </c>
      <c r="B30" s="1">
        <f>'Dot Product'!B8/1000000</f>
        <v>9047739.896984525</v>
      </c>
      <c r="C30" s="1">
        <f>'Dot Product'!C8/1000000</f>
        <v>126485.57963590372</v>
      </c>
      <c r="D30" s="1">
        <f>'Dot Product'!D8/1000000</f>
        <v>25794.428542802903</v>
      </c>
      <c r="E30" s="1">
        <f>'Dot Product'!E8/1000000</f>
        <v>51650.958722378498</v>
      </c>
      <c r="F30" s="1">
        <f>'Dot Product'!F8/1000000</f>
        <v>58385.198492924799</v>
      </c>
      <c r="G30" s="1">
        <f>'Dot Product'!G8/1000000</f>
        <v>29332.022260997401</v>
      </c>
      <c r="H30" s="1">
        <f>'Dot Product'!H8/1000000</f>
        <v>174387.54390364522</v>
      </c>
      <c r="I30" s="1">
        <f>'Dot Product'!I8/1000000</f>
        <v>15527.958532160099</v>
      </c>
      <c r="J30" s="1">
        <f>'Dot Product'!J8/1000000</f>
        <v>57671.0369967019</v>
      </c>
      <c r="K30" s="1">
        <f>'Dot Product'!K8/1000000</f>
        <v>152915.67430222759</v>
      </c>
      <c r="L30" s="1">
        <f>'Dot Product'!L8/1000000</f>
        <v>65850.333759068002</v>
      </c>
      <c r="M30" s="1">
        <f>'Dot Product'!M8/1000000</f>
        <v>2871790.9780133488</v>
      </c>
      <c r="N30" s="1">
        <f>'Dot Product'!N8/1000000</f>
        <v>28240.949723004498</v>
      </c>
    </row>
    <row r="31" spans="1:14" x14ac:dyDescent="0.25">
      <c r="A31" t="s">
        <v>18</v>
      </c>
      <c r="B31" s="1">
        <f>'Dot Product'!B12/1000000</f>
        <v>8104931.1422213735</v>
      </c>
      <c r="C31" s="1">
        <f>'Dot Product'!C12/1000000</f>
        <v>112075.8516949693</v>
      </c>
      <c r="D31" s="1">
        <f>'Dot Product'!D12/1000000</f>
        <v>23036.940183202401</v>
      </c>
      <c r="E31" s="1">
        <f>'Dot Product'!E12/1000000</f>
        <v>45775.300637039094</v>
      </c>
      <c r="F31" s="1">
        <f>'Dot Product'!F12/1000000</f>
        <v>52327.214020760905</v>
      </c>
      <c r="G31" s="1">
        <f>'Dot Product'!G12/1000000</f>
        <v>26283.898809780199</v>
      </c>
      <c r="H31" s="1">
        <f>'Dot Product'!H12/1000000</f>
        <v>156222.87099039671</v>
      </c>
      <c r="I31" s="1">
        <f>'Dot Product'!I12/1000000</f>
        <v>13831.905151423898</v>
      </c>
      <c r="J31" s="1">
        <f>'Dot Product'!J12/1000000</f>
        <v>51248.961603209209</v>
      </c>
      <c r="K31" s="1">
        <f>'Dot Product'!K12/1000000</f>
        <v>137073.95290124949</v>
      </c>
      <c r="L31" s="1">
        <f>'Dot Product'!L12/1000000</f>
        <v>58947.958483884904</v>
      </c>
      <c r="M31" s="1">
        <f>'Dot Product'!M12/1000000</f>
        <v>2574135.9962398806</v>
      </c>
      <c r="N31" s="1">
        <f>'Dot Product'!N12/1000000</f>
        <v>25313.482738908497</v>
      </c>
    </row>
    <row r="32" spans="1:14" x14ac:dyDescent="0.25">
      <c r="A32" t="s">
        <v>33</v>
      </c>
      <c r="B32" s="1">
        <f>'Dot Product'!B27/1000000</f>
        <v>1017100.6511441348</v>
      </c>
      <c r="C32" s="1">
        <f>'Dot Product'!C27/1000000</f>
        <v>101985.20084455601</v>
      </c>
      <c r="D32" s="1">
        <f>'Dot Product'!D27/1000000</f>
        <v>1944.2784592766</v>
      </c>
      <c r="E32" s="1">
        <f>'Dot Product'!E27/1000000</f>
        <v>33672.789419314497</v>
      </c>
      <c r="F32" s="1">
        <f>'Dot Product'!F27/1000000</f>
        <v>5650.4061025900992</v>
      </c>
      <c r="G32" s="1">
        <f>'Dot Product'!G27/1000000</f>
        <v>2454.0916940205002</v>
      </c>
      <c r="H32" s="1">
        <f>'Dot Product'!H27/1000000</f>
        <v>15125.6065371205</v>
      </c>
      <c r="I32" s="1">
        <f>'Dot Product'!I27/1000000</f>
        <v>2369.9890493734997</v>
      </c>
      <c r="J32" s="1">
        <f>'Dot Product'!J27/1000000</f>
        <v>14867.344951183599</v>
      </c>
      <c r="K32" s="1">
        <f>'Dot Product'!K27/1000000</f>
        <v>13719.016360617701</v>
      </c>
      <c r="L32" s="1">
        <f>'Dot Product'!L27/1000000</f>
        <v>9136.3027623672988</v>
      </c>
      <c r="M32" s="1">
        <f>'Dot Product'!M27/1000000</f>
        <v>266093.62857596757</v>
      </c>
      <c r="N32" s="1">
        <f>'Dot Product'!N27/1000000</f>
        <v>2502.8316557558996</v>
      </c>
    </row>
    <row r="33" spans="1:14" x14ac:dyDescent="0.25">
      <c r="A33" t="s">
        <v>23</v>
      </c>
      <c r="B33" s="1">
        <f>'Dot Product'!B17/1000000</f>
        <v>938846.88482876052</v>
      </c>
      <c r="C33" s="1">
        <f>'Dot Product'!C17/1000000</f>
        <v>63619.119288863905</v>
      </c>
      <c r="D33" s="1">
        <f>'Dot Product'!D17/1000000</f>
        <v>4174.1835195359999</v>
      </c>
      <c r="E33" s="1">
        <f>'Dot Product'!E17/1000000</f>
        <v>29598.056921352101</v>
      </c>
      <c r="F33" s="1">
        <f>'Dot Product'!F17/1000000</f>
        <v>4826.6882063236999</v>
      </c>
      <c r="G33" s="1">
        <f>'Dot Product'!G17/1000000</f>
        <v>2131.9942452278001</v>
      </c>
      <c r="H33" s="1">
        <f>'Dot Product'!H17/1000000</f>
        <v>14163.794836122501</v>
      </c>
      <c r="I33" s="1">
        <f>'Dot Product'!I17/1000000</f>
        <v>4306.7218876338993</v>
      </c>
      <c r="J33" s="1">
        <f>'Dot Product'!J17/1000000</f>
        <v>22370.689650653399</v>
      </c>
      <c r="K33" s="1">
        <f>'Dot Product'!K17/1000000</f>
        <v>10494.8375927425</v>
      </c>
      <c r="L33" s="1">
        <f>'Dot Product'!L17/1000000</f>
        <v>9209.9693911219001</v>
      </c>
      <c r="M33" s="1">
        <f>'Dot Product'!M17/1000000</f>
        <v>216767.91439426641</v>
      </c>
      <c r="N33" s="1">
        <f>'Dot Product'!N17/1000000</f>
        <v>1950.6120867638001</v>
      </c>
    </row>
    <row r="34" spans="1:14" x14ac:dyDescent="0.25">
      <c r="A34" t="s">
        <v>22</v>
      </c>
      <c r="B34" s="1">
        <f>'Dot Product'!B16/1000000</f>
        <v>744207.63019954227</v>
      </c>
      <c r="C34" s="1">
        <f>'Dot Product'!C16/1000000</f>
        <v>50429.790937900507</v>
      </c>
      <c r="D34" s="1">
        <f>'Dot Product'!D16/1000000</f>
        <v>3308.8038911350004</v>
      </c>
      <c r="E34" s="1">
        <f>'Dot Product'!E16/1000000</f>
        <v>23461.877677112301</v>
      </c>
      <c r="F34" s="1">
        <f>'Dot Product'!F16/1000000</f>
        <v>3826.0319156579999</v>
      </c>
      <c r="G34" s="1">
        <f>'Dot Product'!G16/1000000</f>
        <v>1689.9947225529002</v>
      </c>
      <c r="H34" s="1">
        <f>'Dot Product'!H16/1000000</f>
        <v>11227.394311166401</v>
      </c>
      <c r="I34" s="1">
        <f>'Dot Product'!I16/1000000</f>
        <v>3413.8651979565998</v>
      </c>
      <c r="J34" s="1">
        <f>'Dot Product'!J16/1000000</f>
        <v>17732.860011605801</v>
      </c>
      <c r="K34" s="1">
        <f>'Dot Product'!K16/1000000</f>
        <v>8319.074228236801</v>
      </c>
      <c r="L34" s="1">
        <f>'Dot Product'!L16/1000000</f>
        <v>7300.5704396558012</v>
      </c>
      <c r="M34" s="1">
        <f>'Dot Product'!M16/1000000</f>
        <v>171828.15066184092</v>
      </c>
      <c r="N34" s="1">
        <f>'Dot Product'!N16/1000000</f>
        <v>1546.2157812630001</v>
      </c>
    </row>
    <row r="35" spans="1:14" x14ac:dyDescent="0.25">
      <c r="A35" t="s">
        <v>48</v>
      </c>
      <c r="B35" s="1">
        <f>'Dot Product'!B42/1000000</f>
        <v>3062451.6979705868</v>
      </c>
      <c r="C35" s="1">
        <f>'Dot Product'!C42/1000000</f>
        <v>36575.094788800903</v>
      </c>
      <c r="D35" s="1">
        <f>'Dot Product'!D42/1000000</f>
        <v>6766.4752801836003</v>
      </c>
      <c r="E35" s="1">
        <f>'Dot Product'!E42/1000000</f>
        <v>11203.4365031528</v>
      </c>
      <c r="F35" s="1">
        <f>'Dot Product'!F42/1000000</f>
        <v>20269.256322300796</v>
      </c>
      <c r="G35" s="1">
        <f>'Dot Product'!G42/1000000</f>
        <v>10064.366120525901</v>
      </c>
      <c r="H35" s="1">
        <f>'Dot Product'!H42/1000000</f>
        <v>58838.178291922603</v>
      </c>
      <c r="I35" s="1">
        <f>'Dot Product'!I42/1000000</f>
        <v>3319.2523775017994</v>
      </c>
      <c r="J35" s="1">
        <f>'Dot Product'!J42/1000000</f>
        <v>10356.3871164962</v>
      </c>
      <c r="K35" s="1">
        <f>'Dot Product'!K42/1000000</f>
        <v>53801.082010893399</v>
      </c>
      <c r="L35" s="1">
        <f>'Dot Product'!L42/1000000</f>
        <v>21461.2729949444</v>
      </c>
      <c r="M35" s="1">
        <f>'Dot Product'!M42/1000000</f>
        <v>1004726.1912703315</v>
      </c>
      <c r="N35" s="1">
        <f>'Dot Product'!N42/1000000</f>
        <v>9892.0411606831985</v>
      </c>
    </row>
    <row r="36" spans="1:14" x14ac:dyDescent="0.25">
      <c r="A36" t="s">
        <v>32</v>
      </c>
      <c r="B36" s="1">
        <f>'Dot Product'!B26/1000000</f>
        <v>2322020.4961444349</v>
      </c>
      <c r="C36" s="1">
        <f>'Dot Product'!C26/1000000</f>
        <v>17091.307371012099</v>
      </c>
      <c r="D36" s="1">
        <f>'Dot Product'!D26/1000000</f>
        <v>19710.476759382</v>
      </c>
      <c r="E36" s="1">
        <f>'Dot Product'!E26/1000000</f>
        <v>6243.1997402440993</v>
      </c>
      <c r="F36" s="1">
        <f>'Dot Product'!F26/1000000</f>
        <v>14314.5674975946</v>
      </c>
      <c r="G36" s="1">
        <f>'Dot Product'!G26/1000000</f>
        <v>9850.0347775281007</v>
      </c>
      <c r="H36" s="1">
        <f>'Dot Product'!H26/1000000</f>
        <v>62941.570272237404</v>
      </c>
      <c r="I36" s="1">
        <f>'Dot Product'!I26/1000000</f>
        <v>12639.091240176202</v>
      </c>
      <c r="J36" s="1">
        <f>'Dot Product'!J26/1000000</f>
        <v>45529.198042527998</v>
      </c>
      <c r="K36" s="1">
        <f>'Dot Product'!K26/1000000</f>
        <v>40342.024437094202</v>
      </c>
      <c r="L36" s="1">
        <f>'Dot Product'!L26/1000000</f>
        <v>15982.008402211999</v>
      </c>
      <c r="M36" s="1">
        <f>'Dot Product'!M26/1000000</f>
        <v>714598.16447937745</v>
      </c>
      <c r="N36" s="1">
        <f>'Dot Product'!N26/1000000</f>
        <v>7875.9180340793991</v>
      </c>
    </row>
    <row r="37" spans="1:14" x14ac:dyDescent="0.25">
      <c r="A37" t="s">
        <v>26</v>
      </c>
      <c r="B37" s="1">
        <f>'Dot Product'!B20/1000000</f>
        <v>279628.87581984926</v>
      </c>
      <c r="C37" s="1">
        <f>'Dot Product'!C20/1000000</f>
        <v>16361.247752981199</v>
      </c>
      <c r="D37" s="1">
        <f>'Dot Product'!D20/1000000</f>
        <v>20785.821253873797</v>
      </c>
      <c r="E37" s="1">
        <f>'Dot Product'!E20/1000000</f>
        <v>4778.6790242844991</v>
      </c>
      <c r="F37" s="1">
        <f>'Dot Product'!F20/1000000</f>
        <v>211.86813364119999</v>
      </c>
      <c r="G37" s="1">
        <f>'Dot Product'!G20/1000000</f>
        <v>3943.0782156836003</v>
      </c>
      <c r="H37" s="1">
        <f>'Dot Product'!H20/1000000</f>
        <v>30626.325983810806</v>
      </c>
      <c r="I37" s="1">
        <f>'Dot Product'!I20/1000000</f>
        <v>14497.6583896672</v>
      </c>
      <c r="J37" s="1">
        <f>'Dot Product'!J20/1000000</f>
        <v>55037.049592906595</v>
      </c>
      <c r="K37" s="1">
        <f>'Dot Product'!K20/1000000</f>
        <v>3965.8048003616</v>
      </c>
      <c r="L37" s="1">
        <f>'Dot Product'!L20/1000000</f>
        <v>1765.1949024795999</v>
      </c>
      <c r="M37" s="1">
        <f>'Dot Product'!M20/1000000</f>
        <v>17351.828304087299</v>
      </c>
      <c r="N37" s="1">
        <f>'Dot Product'!N20/1000000</f>
        <v>1371.2429585557002</v>
      </c>
    </row>
    <row r="38" spans="1:14" x14ac:dyDescent="0.25">
      <c r="A38" t="s">
        <v>30</v>
      </c>
      <c r="B38" s="1">
        <f>'Dot Product'!B24/1000000</f>
        <v>32842.159433404304</v>
      </c>
      <c r="C38" s="1">
        <f>'Dot Product'!C24/1000000</f>
        <v>4639.8909388868005</v>
      </c>
      <c r="D38" s="1">
        <f>'Dot Product'!D24/1000000</f>
        <v>231.9596116491</v>
      </c>
      <c r="E38" s="1">
        <f>'Dot Product'!E24/1000000</f>
        <v>2298.0851963996001</v>
      </c>
      <c r="F38" s="1">
        <f>'Dot Product'!F24/1000000</f>
        <v>101.88796470560001</v>
      </c>
      <c r="G38" s="1">
        <f>'Dot Product'!G24/1000000</f>
        <v>23.825243387500002</v>
      </c>
      <c r="H38" s="1">
        <f>'Dot Product'!H24/1000000</f>
        <v>275.70775129460009</v>
      </c>
      <c r="I38" s="1">
        <f>'Dot Product'!I24/1000000</f>
        <v>301.02956591029999</v>
      </c>
      <c r="J38" s="1">
        <f>'Dot Product'!J24/1000000</f>
        <v>1682.0436061570999</v>
      </c>
      <c r="K38" s="1">
        <f>'Dot Product'!K24/1000000</f>
        <v>67.890428840200002</v>
      </c>
      <c r="L38" s="1">
        <f>'Dot Product'!L24/1000000</f>
        <v>453.50887298360004</v>
      </c>
      <c r="M38" s="1">
        <f>'Dot Product'!M24/1000000</f>
        <v>3123.4122228674996</v>
      </c>
      <c r="N38" s="1">
        <f>'Dot Product'!N24/1000000</f>
        <v>13.578486789200001</v>
      </c>
    </row>
    <row r="39" spans="1:14" x14ac:dyDescent="0.25">
      <c r="A39" t="s">
        <v>28</v>
      </c>
      <c r="B39" s="1">
        <f>'Dot Product'!B22/1000000</f>
        <v>15849.047721721601</v>
      </c>
      <c r="C39" s="1">
        <f>'Dot Product'!C22/1000000</f>
        <v>2310.1990357716004</v>
      </c>
      <c r="D39" s="1">
        <f>'Dot Product'!D22/1000000</f>
        <v>54.119501386200014</v>
      </c>
      <c r="E39" s="1">
        <f>'Dot Product'!E22/1000000</f>
        <v>1154.4200452057003</v>
      </c>
      <c r="F39" s="1">
        <f>'Dot Product'!F22/1000000</f>
        <v>51.185687086200005</v>
      </c>
      <c r="G39" s="1">
        <f>'Dot Product'!G22/1000000</f>
        <v>3.1627029999999998E-3</v>
      </c>
      <c r="H39" s="1">
        <f>'Dot Product'!H22/1000000</f>
        <v>46.139888032199998</v>
      </c>
      <c r="I39" s="1">
        <f>'Dot Product'!I22/1000000</f>
        <v>108.58364863860001</v>
      </c>
      <c r="J39" s="1">
        <f>'Dot Product'!J22/1000000</f>
        <v>686.56207296620005</v>
      </c>
      <c r="K39" s="1">
        <f>'Dot Product'!K22/1000000</f>
        <v>22.359268181400001</v>
      </c>
      <c r="L39" s="1">
        <f>'Dot Product'!L22/1000000</f>
        <v>225.32742684420003</v>
      </c>
      <c r="M39" s="1">
        <f>'Dot Product'!M22/1000000</f>
        <v>1535.8176732515003</v>
      </c>
      <c r="N39" s="1">
        <f>'Dot Product'!N22/1000000</f>
        <v>2.6959561199000004</v>
      </c>
    </row>
    <row r="40" spans="1:14" x14ac:dyDescent="0.25">
      <c r="A40" t="s">
        <v>27</v>
      </c>
      <c r="B40" s="1">
        <f>'Dot Product'!B21/1000000</f>
        <v>12119.517210068701</v>
      </c>
      <c r="C40" s="1">
        <f>'Dot Product'!C21/1000000</f>
        <v>1766.5984026004</v>
      </c>
      <c r="D40" s="1">
        <f>'Dot Product'!D21/1000000</f>
        <v>41.383875061500007</v>
      </c>
      <c r="E40" s="1">
        <f>'Dot Product'!E21/1000000</f>
        <v>882.78491713879987</v>
      </c>
      <c r="F40" s="1">
        <f>'Dot Product'!F21/1000000</f>
        <v>39.140527130200006</v>
      </c>
      <c r="G40" s="1">
        <f>'Dot Product'!G21/1000000</f>
        <v>1.5899328999999999E-3</v>
      </c>
      <c r="H40" s="1">
        <f>'Dot Product'!H21/1000000</f>
        <v>35.277950923599995</v>
      </c>
      <c r="I40" s="1">
        <f>'Dot Product'!I21/1000000</f>
        <v>83.033249897299996</v>
      </c>
      <c r="J40" s="1">
        <f>'Dot Product'!J21/1000000</f>
        <v>525.0065982351</v>
      </c>
      <c r="K40" s="1">
        <f>'Dot Product'!K21/1000000</f>
        <v>17.094256773200001</v>
      </c>
      <c r="L40" s="1">
        <f>'Dot Product'!L21/1000000</f>
        <v>172.29412428859999</v>
      </c>
      <c r="M40" s="1">
        <f>'Dot Product'!M21/1000000</f>
        <v>1174.3781858005</v>
      </c>
      <c r="N40" s="1">
        <f>'Dot Product'!N21/1000000</f>
        <v>2.0605582077999998</v>
      </c>
    </row>
    <row r="41" spans="1:14" x14ac:dyDescent="0.25">
      <c r="A41" t="s">
        <v>7</v>
      </c>
      <c r="B41" s="1">
        <f>'Dot Product'!B2/1000000000</f>
        <v>46641.923328000172</v>
      </c>
      <c r="C41" s="1">
        <f>'Dot Product'!C2/1000000000</f>
        <v>820.0726754622101</v>
      </c>
      <c r="D41" s="1">
        <f>'Dot Product'!D2/1000000000</f>
        <v>162.43891997578109</v>
      </c>
      <c r="E41" s="1">
        <f>'Dot Product'!E2/1000000000</f>
        <v>332.8366817207305</v>
      </c>
      <c r="F41" s="1">
        <f>'Dot Product'!F2/1000000000</f>
        <v>295.9873460774117</v>
      </c>
      <c r="G41" s="1">
        <f>'Dot Product'!G2/1000000000</f>
        <v>153.20175052221529</v>
      </c>
      <c r="H41" s="1">
        <f>'Dot Product'!H2/1000000000</f>
        <v>923.70388178660221</v>
      </c>
      <c r="I41" s="1">
        <f>'Dot Product'!I2/1000000000</f>
        <v>104.504869666039</v>
      </c>
      <c r="J41" s="1">
        <f>'Dot Product'!J2/1000000000</f>
        <v>405.2251571517495</v>
      </c>
      <c r="K41" s="1">
        <f>'Dot Product'!K2/1000000000</f>
        <v>775.40432395336927</v>
      </c>
      <c r="L41" s="1">
        <f>'Dot Product'!L2/1000000000</f>
        <v>344.47366886072172</v>
      </c>
      <c r="M41" s="1">
        <f>'Dot Product'!M2/1000000000</f>
        <v>14523.850015514154</v>
      </c>
      <c r="N41" s="1">
        <f>'Dot Product'!N2/1000000000</f>
        <v>144.0838809557483</v>
      </c>
    </row>
    <row r="42" spans="1:14" x14ac:dyDescent="0.25">
      <c r="A42" t="s">
        <v>47</v>
      </c>
      <c r="B42" s="1">
        <f>'Dot Product'!B41/1000000</f>
        <v>333151.59318667022</v>
      </c>
      <c r="C42" s="1">
        <f>'Dot Product'!C41/1000000</f>
        <v>711.0302197922</v>
      </c>
      <c r="D42" s="1">
        <f>'Dot Product'!D41/1000000</f>
        <v>692.7050268813</v>
      </c>
      <c r="E42" s="1">
        <f>'Dot Product'!E41/1000000</f>
        <v>387.47866492429995</v>
      </c>
      <c r="F42" s="1">
        <f>'Dot Product'!F41/1000000</f>
        <v>2231.0627235716001</v>
      </c>
      <c r="G42" s="1">
        <f>'Dot Product'!G41/1000000</f>
        <v>1095.5338681748999</v>
      </c>
      <c r="H42" s="1">
        <f>'Dot Product'!H41/1000000</f>
        <v>6368.1646302565996</v>
      </c>
      <c r="I42" s="1">
        <f>'Dot Product'!I41/1000000</f>
        <v>305.73137639589999</v>
      </c>
      <c r="J42" s="1">
        <f>'Dot Product'!J41/1000000</f>
        <v>763.88343960049997</v>
      </c>
      <c r="K42" s="1">
        <f>'Dot Product'!K41/1000000</f>
        <v>5900.9421998553998</v>
      </c>
      <c r="L42" s="1">
        <f>'Dot Product'!L41/1000000</f>
        <v>2307.3027585700002</v>
      </c>
      <c r="M42" s="1">
        <f>'Dot Product'!M41/1000000</f>
        <v>110627.4487057126</v>
      </c>
      <c r="N42" s="1">
        <f>'Dot Product'!N41/1000000</f>
        <v>1082.7647321232998</v>
      </c>
    </row>
  </sheetData>
  <autoFilter ref="A1:N1">
    <sortState ref="A2:N42">
      <sortCondition descending="1" ref="C1"/>
    </sortState>
  </autoFilter>
  <conditionalFormatting sqref="B1:N1048576">
    <cfRule type="colorScale" priority="4">
      <colorScale>
        <cfvo type="min"/>
        <cfvo type="max"/>
        <color theme="0"/>
        <color theme="5" tint="-0.249977111117893"/>
      </colorScale>
    </cfRule>
  </conditionalFormatting>
  <conditionalFormatting sqref="C1:C1048576">
    <cfRule type="colorScale" priority="3">
      <colorScale>
        <cfvo type="min"/>
        <cfvo type="max"/>
        <color theme="0"/>
        <color rgb="FFF6F644"/>
      </colorScale>
    </cfRule>
  </conditionalFormatting>
  <conditionalFormatting sqref="B1:B1048576">
    <cfRule type="colorScale" priority="2">
      <colorScale>
        <cfvo type="min"/>
        <cfvo type="max"/>
        <color theme="0"/>
        <color rgb="FFF6F644"/>
      </colorScale>
    </cfRule>
  </conditionalFormatting>
  <conditionalFormatting sqref="K1:K1048576">
    <cfRule type="colorScale" priority="1">
      <colorScale>
        <cfvo type="min"/>
        <cfvo type="max"/>
        <color theme="0"/>
        <color rgb="FFF6F644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ProSub</vt:lpstr>
      <vt:lpstr>Dot Product</vt:lpstr>
      <vt:lpstr>ProSub_dotProduct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Chin-Rang (NIH/NHLBI) [E]</dc:creator>
  <cp:lastModifiedBy>Knepper, Mark A (NIH/NHLBI) [E]</cp:lastModifiedBy>
  <dcterms:created xsi:type="dcterms:W3CDTF">2015-05-21T19:47:27Z</dcterms:created>
  <dcterms:modified xsi:type="dcterms:W3CDTF">2015-07-16T18:57:46Z</dcterms:modified>
</cp:coreProperties>
</file>